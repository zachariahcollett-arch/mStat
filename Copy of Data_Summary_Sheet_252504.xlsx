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raidermailwright-my.sharepoint.com/personal/collett_21_wright_edu/Documents/grad School/WSU MSTAT/"/>
    </mc:Choice>
  </mc:AlternateContent>
  <xr:revisionPtr revIDLastSave="0" documentId="8_{F1F138B6-BE50-4650-A522-75ED7F04997A}" xr6:coauthVersionLast="47" xr6:coauthVersionMax="47" xr10:uidLastSave="{00000000-0000-0000-0000-000000000000}"/>
  <bookViews>
    <workbookView xWindow="0" yWindow="660" windowWidth="34560" windowHeight="21680" firstSheet="4" activeTab="4" xr2:uid="{D65F67EB-53A0-48D9-89D5-37FD78A048D6}"/>
  </bookViews>
  <sheets>
    <sheet name="All" sheetId="3" r:id="rId1"/>
    <sheet name="Didactic plus mSTAT" sheetId="1" r:id="rId2"/>
    <sheet name="Didactic only" sheetId="2" r:id="rId3"/>
    <sheet name="All Groups" sheetId="8" r:id="rId4"/>
    <sheet name="USE THIS" sheetId="11" r:id="rId5"/>
    <sheet name="Sheet6" sheetId="14" r:id="rId6"/>
    <sheet name="Sheet4" sheetId="12" r:id="rId7"/>
    <sheet name="Sheet2" sheetId="10" r:id="rId8"/>
    <sheet name="Sheet5" sheetId="13" r:id="rId9"/>
    <sheet name="IPS and Adj_IPS Correlations" sheetId="9" r:id="rId10"/>
    <sheet name="mstat only " sheetId="7" r:id="rId11"/>
    <sheet name="IPS summary" sheetId="4" r:id="rId12"/>
    <sheet name="Success summary" sheetId="6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C12" i="8" l="1"/>
  <c r="U61" i="14"/>
  <c r="R61" i="14"/>
  <c r="M6" i="14"/>
  <c r="N6" i="14" s="1"/>
  <c r="M54" i="14"/>
  <c r="I6" i="14"/>
  <c r="I5" i="14"/>
  <c r="B61" i="9" l="1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A61" i="9"/>
  <c r="C61" i="9" s="1"/>
  <c r="A60" i="9"/>
  <c r="C60" i="9" s="1"/>
  <c r="A59" i="9"/>
  <c r="C59" i="9" s="1"/>
  <c r="A58" i="9"/>
  <c r="C58" i="9" s="1"/>
  <c r="A57" i="9"/>
  <c r="C57" i="9" s="1"/>
  <c r="A56" i="9"/>
  <c r="C56" i="9" s="1"/>
  <c r="A55" i="9"/>
  <c r="C55" i="9" s="1"/>
  <c r="A54" i="9"/>
  <c r="C54" i="9" s="1"/>
  <c r="A53" i="9"/>
  <c r="C53" i="9" s="1"/>
  <c r="A52" i="9"/>
  <c r="C52" i="9" s="1"/>
  <c r="A51" i="9"/>
  <c r="C51" i="9" s="1"/>
  <c r="A50" i="9"/>
  <c r="C50" i="9" s="1"/>
  <c r="A49" i="9"/>
  <c r="C49" i="9" s="1"/>
  <c r="A48" i="9"/>
  <c r="C48" i="9" s="1"/>
  <c r="A47" i="9"/>
  <c r="C47" i="9" s="1"/>
  <c r="A46" i="9"/>
  <c r="C46" i="9" s="1"/>
  <c r="A45" i="9"/>
  <c r="C45" i="9" s="1"/>
  <c r="A44" i="9"/>
  <c r="C44" i="9" s="1"/>
  <c r="A43" i="9"/>
  <c r="C43" i="9" s="1"/>
  <c r="A42" i="9"/>
  <c r="C42" i="9" s="1"/>
  <c r="A41" i="9"/>
  <c r="C41" i="9" s="1"/>
  <c r="A40" i="9"/>
  <c r="C40" i="9" s="1"/>
  <c r="A39" i="9"/>
  <c r="C39" i="9" s="1"/>
  <c r="A38" i="9"/>
  <c r="C38" i="9" s="1"/>
  <c r="A37" i="9"/>
  <c r="C37" i="9" s="1"/>
  <c r="A36" i="9"/>
  <c r="C36" i="9" s="1"/>
  <c r="A35" i="9"/>
  <c r="C35" i="9" s="1"/>
  <c r="A34" i="9"/>
  <c r="C34" i="9" s="1"/>
  <c r="A33" i="9"/>
  <c r="C33" i="9" s="1"/>
  <c r="A32" i="9"/>
  <c r="C32" i="9" s="1"/>
  <c r="A31" i="9"/>
  <c r="C31" i="9" s="1"/>
  <c r="A30" i="9"/>
  <c r="C30" i="9" s="1"/>
  <c r="A29" i="9"/>
  <c r="C29" i="9" s="1"/>
  <c r="A28" i="9"/>
  <c r="C28" i="9" s="1"/>
  <c r="A27" i="9"/>
  <c r="C27" i="9" s="1"/>
  <c r="A26" i="9"/>
  <c r="C26" i="9" s="1"/>
  <c r="A25" i="9"/>
  <c r="C25" i="9" s="1"/>
  <c r="A24" i="9"/>
  <c r="C24" i="9" s="1"/>
  <c r="A23" i="9"/>
  <c r="C23" i="9" s="1"/>
  <c r="A22" i="9"/>
  <c r="C22" i="9" s="1"/>
  <c r="A21" i="9"/>
  <c r="C21" i="9" s="1"/>
  <c r="A20" i="9"/>
  <c r="C20" i="9" s="1"/>
  <c r="A19" i="9"/>
  <c r="C19" i="9" s="1"/>
  <c r="A18" i="9"/>
  <c r="C18" i="9" s="1"/>
  <c r="A17" i="9"/>
  <c r="C17" i="9" s="1"/>
  <c r="A16" i="9"/>
  <c r="C16" i="9" s="1"/>
  <c r="A15" i="9"/>
  <c r="C15" i="9" s="1"/>
  <c r="A14" i="9"/>
  <c r="C14" i="9" s="1"/>
  <c r="A13" i="9"/>
  <c r="C13" i="9" s="1"/>
  <c r="A12" i="9"/>
  <c r="C12" i="9" s="1"/>
  <c r="A11" i="9"/>
  <c r="C11" i="9" s="1"/>
  <c r="A10" i="9"/>
  <c r="C10" i="9" s="1"/>
  <c r="A9" i="9"/>
  <c r="C9" i="9" s="1"/>
  <c r="A8" i="9"/>
  <c r="C8" i="9" s="1"/>
  <c r="A7" i="9"/>
  <c r="C7" i="9" s="1"/>
  <c r="A6" i="9"/>
  <c r="C6" i="9" s="1"/>
  <c r="A5" i="9"/>
  <c r="C5" i="9" s="1"/>
  <c r="A4" i="9"/>
  <c r="C4" i="9" s="1"/>
  <c r="A3" i="9"/>
  <c r="C3" i="9" s="1"/>
  <c r="A2" i="9"/>
  <c r="C2" i="9" s="1"/>
  <c r="N60" i="9"/>
  <c r="M60" i="9"/>
  <c r="L60" i="9"/>
  <c r="K60" i="9"/>
  <c r="J60" i="9"/>
  <c r="H60" i="9"/>
  <c r="G60" i="9"/>
  <c r="F60" i="9"/>
  <c r="E60" i="9"/>
  <c r="D60" i="9"/>
  <c r="N59" i="9"/>
  <c r="M59" i="9"/>
  <c r="L59" i="9"/>
  <c r="K59" i="9"/>
  <c r="J59" i="9"/>
  <c r="H59" i="9"/>
  <c r="G59" i="9"/>
  <c r="F59" i="9"/>
  <c r="E59" i="9"/>
  <c r="D59" i="9"/>
  <c r="N58" i="9"/>
  <c r="M58" i="9"/>
  <c r="L58" i="9"/>
  <c r="K58" i="9"/>
  <c r="J58" i="9"/>
  <c r="H58" i="9"/>
  <c r="G58" i="9"/>
  <c r="F58" i="9"/>
  <c r="E58" i="9"/>
  <c r="D58" i="9"/>
  <c r="N57" i="9"/>
  <c r="M57" i="9"/>
  <c r="L57" i="9"/>
  <c r="K57" i="9"/>
  <c r="J57" i="9"/>
  <c r="H57" i="9"/>
  <c r="G57" i="9"/>
  <c r="F57" i="9"/>
  <c r="E57" i="9"/>
  <c r="D57" i="9"/>
  <c r="N56" i="9"/>
  <c r="M56" i="9"/>
  <c r="L56" i="9"/>
  <c r="K56" i="9"/>
  <c r="J56" i="9"/>
  <c r="H56" i="9"/>
  <c r="G56" i="9"/>
  <c r="F56" i="9"/>
  <c r="E56" i="9"/>
  <c r="D56" i="9"/>
  <c r="N55" i="9"/>
  <c r="M55" i="9"/>
  <c r="L55" i="9"/>
  <c r="K55" i="9"/>
  <c r="J55" i="9"/>
  <c r="H55" i="9"/>
  <c r="G55" i="9"/>
  <c r="F55" i="9"/>
  <c r="E55" i="9"/>
  <c r="D55" i="9"/>
  <c r="N54" i="9"/>
  <c r="M54" i="9"/>
  <c r="L54" i="9"/>
  <c r="K54" i="9"/>
  <c r="J54" i="9"/>
  <c r="H54" i="9"/>
  <c r="G54" i="9"/>
  <c r="F54" i="9"/>
  <c r="E54" i="9"/>
  <c r="D54" i="9"/>
  <c r="N53" i="9"/>
  <c r="M53" i="9"/>
  <c r="L53" i="9"/>
  <c r="K53" i="9"/>
  <c r="J53" i="9"/>
  <c r="H53" i="9"/>
  <c r="G53" i="9"/>
  <c r="F53" i="9"/>
  <c r="E53" i="9"/>
  <c r="D53" i="9"/>
  <c r="N52" i="9"/>
  <c r="M52" i="9"/>
  <c r="L52" i="9"/>
  <c r="K52" i="9"/>
  <c r="J52" i="9"/>
  <c r="H52" i="9"/>
  <c r="G52" i="9"/>
  <c r="F52" i="9"/>
  <c r="E52" i="9"/>
  <c r="D52" i="9"/>
  <c r="N51" i="9"/>
  <c r="M51" i="9"/>
  <c r="L51" i="9"/>
  <c r="K51" i="9"/>
  <c r="J51" i="9"/>
  <c r="H51" i="9"/>
  <c r="G51" i="9"/>
  <c r="F51" i="9"/>
  <c r="E51" i="9"/>
  <c r="D51" i="9"/>
  <c r="N50" i="9"/>
  <c r="M50" i="9"/>
  <c r="L50" i="9"/>
  <c r="K50" i="9"/>
  <c r="J50" i="9"/>
  <c r="H50" i="9"/>
  <c r="G50" i="9"/>
  <c r="F50" i="9"/>
  <c r="E50" i="9"/>
  <c r="D50" i="9"/>
  <c r="N49" i="9"/>
  <c r="M49" i="9"/>
  <c r="L49" i="9"/>
  <c r="K49" i="9"/>
  <c r="J49" i="9"/>
  <c r="H49" i="9"/>
  <c r="G49" i="9"/>
  <c r="F49" i="9"/>
  <c r="E49" i="9"/>
  <c r="D49" i="9"/>
  <c r="N48" i="9"/>
  <c r="M48" i="9"/>
  <c r="L48" i="9"/>
  <c r="K48" i="9"/>
  <c r="J48" i="9"/>
  <c r="H48" i="9"/>
  <c r="G48" i="9"/>
  <c r="F48" i="9"/>
  <c r="E48" i="9"/>
  <c r="D48" i="9"/>
  <c r="N47" i="9"/>
  <c r="M47" i="9"/>
  <c r="L47" i="9"/>
  <c r="K47" i="9"/>
  <c r="J47" i="9"/>
  <c r="H47" i="9"/>
  <c r="G47" i="9"/>
  <c r="F47" i="9"/>
  <c r="E47" i="9"/>
  <c r="D47" i="9"/>
  <c r="N46" i="9"/>
  <c r="M46" i="9"/>
  <c r="L46" i="9"/>
  <c r="K46" i="9"/>
  <c r="J46" i="9"/>
  <c r="H46" i="9"/>
  <c r="G46" i="9"/>
  <c r="F46" i="9"/>
  <c r="E46" i="9"/>
  <c r="D46" i="9"/>
  <c r="N45" i="9"/>
  <c r="M45" i="9"/>
  <c r="L45" i="9"/>
  <c r="K45" i="9"/>
  <c r="J45" i="9"/>
  <c r="H45" i="9"/>
  <c r="G45" i="9"/>
  <c r="F45" i="9"/>
  <c r="E45" i="9"/>
  <c r="D45" i="9"/>
  <c r="N44" i="9"/>
  <c r="M44" i="9"/>
  <c r="L44" i="9"/>
  <c r="K44" i="9"/>
  <c r="J44" i="9"/>
  <c r="H44" i="9"/>
  <c r="G44" i="9"/>
  <c r="F44" i="9"/>
  <c r="E44" i="9"/>
  <c r="D44" i="9"/>
  <c r="N43" i="9"/>
  <c r="M43" i="9"/>
  <c r="L43" i="9"/>
  <c r="K43" i="9"/>
  <c r="J43" i="9"/>
  <c r="H43" i="9"/>
  <c r="G43" i="9"/>
  <c r="F43" i="9"/>
  <c r="E43" i="9"/>
  <c r="D43" i="9"/>
  <c r="N42" i="9"/>
  <c r="M42" i="9"/>
  <c r="L42" i="9"/>
  <c r="K42" i="9"/>
  <c r="J42" i="9"/>
  <c r="H42" i="9"/>
  <c r="G42" i="9"/>
  <c r="F42" i="9"/>
  <c r="E42" i="9"/>
  <c r="D42" i="9"/>
  <c r="N41" i="9"/>
  <c r="M41" i="9"/>
  <c r="L41" i="9"/>
  <c r="K41" i="9"/>
  <c r="J41" i="9"/>
  <c r="H41" i="9"/>
  <c r="G41" i="9"/>
  <c r="F41" i="9"/>
  <c r="E41" i="9"/>
  <c r="D41" i="9"/>
  <c r="N40" i="9"/>
  <c r="M40" i="9"/>
  <c r="L40" i="9"/>
  <c r="K40" i="9"/>
  <c r="J40" i="9"/>
  <c r="H40" i="9"/>
  <c r="G40" i="9"/>
  <c r="F40" i="9"/>
  <c r="E40" i="9"/>
  <c r="D40" i="9"/>
  <c r="N39" i="9"/>
  <c r="M39" i="9"/>
  <c r="L39" i="9"/>
  <c r="K39" i="9"/>
  <c r="J39" i="9"/>
  <c r="H39" i="9"/>
  <c r="G39" i="9"/>
  <c r="F39" i="9"/>
  <c r="E39" i="9"/>
  <c r="D39" i="9"/>
  <c r="N38" i="9"/>
  <c r="M38" i="9"/>
  <c r="L38" i="9"/>
  <c r="K38" i="9"/>
  <c r="J38" i="9"/>
  <c r="H38" i="9"/>
  <c r="G38" i="9"/>
  <c r="F38" i="9"/>
  <c r="E38" i="9"/>
  <c r="D38" i="9"/>
  <c r="N37" i="9"/>
  <c r="M37" i="9"/>
  <c r="L37" i="9"/>
  <c r="K37" i="9"/>
  <c r="J37" i="9"/>
  <c r="H37" i="9"/>
  <c r="G37" i="9"/>
  <c r="F37" i="9"/>
  <c r="E37" i="9"/>
  <c r="D37" i="9"/>
  <c r="N36" i="9"/>
  <c r="M36" i="9"/>
  <c r="L36" i="9"/>
  <c r="K36" i="9"/>
  <c r="J36" i="9"/>
  <c r="H36" i="9"/>
  <c r="G36" i="9"/>
  <c r="F36" i="9"/>
  <c r="E36" i="9"/>
  <c r="D36" i="9"/>
  <c r="N35" i="9"/>
  <c r="M35" i="9"/>
  <c r="L35" i="9"/>
  <c r="K35" i="9"/>
  <c r="J35" i="9"/>
  <c r="H35" i="9"/>
  <c r="G35" i="9"/>
  <c r="F35" i="9"/>
  <c r="E35" i="9"/>
  <c r="D35" i="9"/>
  <c r="N34" i="9"/>
  <c r="M34" i="9"/>
  <c r="L34" i="9"/>
  <c r="K34" i="9"/>
  <c r="J34" i="9"/>
  <c r="H34" i="9"/>
  <c r="G34" i="9"/>
  <c r="F34" i="9"/>
  <c r="E34" i="9"/>
  <c r="D34" i="9"/>
  <c r="N33" i="9"/>
  <c r="M33" i="9"/>
  <c r="L33" i="9"/>
  <c r="K33" i="9"/>
  <c r="J33" i="9"/>
  <c r="H33" i="9"/>
  <c r="G33" i="9"/>
  <c r="F33" i="9"/>
  <c r="E33" i="9"/>
  <c r="D33" i="9"/>
  <c r="N32" i="9"/>
  <c r="M32" i="9"/>
  <c r="L32" i="9"/>
  <c r="K32" i="9"/>
  <c r="J32" i="9"/>
  <c r="H32" i="9"/>
  <c r="G32" i="9"/>
  <c r="F32" i="9"/>
  <c r="E32" i="9"/>
  <c r="D32" i="9"/>
  <c r="N31" i="9"/>
  <c r="M31" i="9"/>
  <c r="L31" i="9"/>
  <c r="K31" i="9"/>
  <c r="J31" i="9"/>
  <c r="H31" i="9"/>
  <c r="G31" i="9"/>
  <c r="F31" i="9"/>
  <c r="E31" i="9"/>
  <c r="D31" i="9"/>
  <c r="N30" i="9"/>
  <c r="M30" i="9"/>
  <c r="L30" i="9"/>
  <c r="K30" i="9"/>
  <c r="J30" i="9"/>
  <c r="H30" i="9"/>
  <c r="G30" i="9"/>
  <c r="F30" i="9"/>
  <c r="E30" i="9"/>
  <c r="D30" i="9"/>
  <c r="N29" i="9"/>
  <c r="M29" i="9"/>
  <c r="L29" i="9"/>
  <c r="K29" i="9"/>
  <c r="J29" i="9"/>
  <c r="H29" i="9"/>
  <c r="G29" i="9"/>
  <c r="F29" i="9"/>
  <c r="E29" i="9"/>
  <c r="D29" i="9"/>
  <c r="N28" i="9"/>
  <c r="M28" i="9"/>
  <c r="L28" i="9"/>
  <c r="K28" i="9"/>
  <c r="J28" i="9"/>
  <c r="H28" i="9"/>
  <c r="G28" i="9"/>
  <c r="F28" i="9"/>
  <c r="E28" i="9"/>
  <c r="D28" i="9"/>
  <c r="N27" i="9"/>
  <c r="M27" i="9"/>
  <c r="L27" i="9"/>
  <c r="K27" i="9"/>
  <c r="J27" i="9"/>
  <c r="H27" i="9"/>
  <c r="G27" i="9"/>
  <c r="F27" i="9"/>
  <c r="E27" i="9"/>
  <c r="D27" i="9"/>
  <c r="N26" i="9"/>
  <c r="M26" i="9"/>
  <c r="L26" i="9"/>
  <c r="K26" i="9"/>
  <c r="J26" i="9"/>
  <c r="H26" i="9"/>
  <c r="G26" i="9"/>
  <c r="F26" i="9"/>
  <c r="E26" i="9"/>
  <c r="D26" i="9"/>
  <c r="N25" i="9"/>
  <c r="M25" i="9"/>
  <c r="L25" i="9"/>
  <c r="K25" i="9"/>
  <c r="J25" i="9"/>
  <c r="H25" i="9"/>
  <c r="G25" i="9"/>
  <c r="F25" i="9"/>
  <c r="E25" i="9"/>
  <c r="D25" i="9"/>
  <c r="N24" i="9"/>
  <c r="M24" i="9"/>
  <c r="L24" i="9"/>
  <c r="K24" i="9"/>
  <c r="J24" i="9"/>
  <c r="H24" i="9"/>
  <c r="G24" i="9"/>
  <c r="F24" i="9"/>
  <c r="E24" i="9"/>
  <c r="D24" i="9"/>
  <c r="N23" i="9"/>
  <c r="M23" i="9"/>
  <c r="L23" i="9"/>
  <c r="K23" i="9"/>
  <c r="J23" i="9"/>
  <c r="H23" i="9"/>
  <c r="G23" i="9"/>
  <c r="F23" i="9"/>
  <c r="E23" i="9"/>
  <c r="D23" i="9"/>
  <c r="N22" i="9"/>
  <c r="M22" i="9"/>
  <c r="L22" i="9"/>
  <c r="K22" i="9"/>
  <c r="J22" i="9"/>
  <c r="H22" i="9"/>
  <c r="G22" i="9"/>
  <c r="F22" i="9"/>
  <c r="E22" i="9"/>
  <c r="D22" i="9"/>
  <c r="N21" i="9"/>
  <c r="M21" i="9"/>
  <c r="L21" i="9"/>
  <c r="K21" i="9"/>
  <c r="J21" i="9"/>
  <c r="H21" i="9"/>
  <c r="G21" i="9"/>
  <c r="F21" i="9"/>
  <c r="E21" i="9"/>
  <c r="D21" i="9"/>
  <c r="N20" i="9"/>
  <c r="M20" i="9"/>
  <c r="L20" i="9"/>
  <c r="K20" i="9"/>
  <c r="J20" i="9"/>
  <c r="H20" i="9"/>
  <c r="G20" i="9"/>
  <c r="F20" i="9"/>
  <c r="E20" i="9"/>
  <c r="D20" i="9"/>
  <c r="N19" i="9"/>
  <c r="M19" i="9"/>
  <c r="L19" i="9"/>
  <c r="K19" i="9"/>
  <c r="J19" i="9"/>
  <c r="H19" i="9"/>
  <c r="G19" i="9"/>
  <c r="F19" i="9"/>
  <c r="E19" i="9"/>
  <c r="D19" i="9"/>
  <c r="N18" i="9"/>
  <c r="M18" i="9"/>
  <c r="L18" i="9"/>
  <c r="K18" i="9"/>
  <c r="J18" i="9"/>
  <c r="H18" i="9"/>
  <c r="G18" i="9"/>
  <c r="F18" i="9"/>
  <c r="E18" i="9"/>
  <c r="D18" i="9"/>
  <c r="N17" i="9"/>
  <c r="M17" i="9"/>
  <c r="L17" i="9"/>
  <c r="K17" i="9"/>
  <c r="J17" i="9"/>
  <c r="H17" i="9"/>
  <c r="G17" i="9"/>
  <c r="F17" i="9"/>
  <c r="E17" i="9"/>
  <c r="D17" i="9"/>
  <c r="N16" i="9"/>
  <c r="M16" i="9"/>
  <c r="L16" i="9"/>
  <c r="K16" i="9"/>
  <c r="J16" i="9"/>
  <c r="H16" i="9"/>
  <c r="G16" i="9"/>
  <c r="F16" i="9"/>
  <c r="E16" i="9"/>
  <c r="D16" i="9"/>
  <c r="N15" i="9"/>
  <c r="M15" i="9"/>
  <c r="L15" i="9"/>
  <c r="K15" i="9"/>
  <c r="J15" i="9"/>
  <c r="H15" i="9"/>
  <c r="G15" i="9"/>
  <c r="F15" i="9"/>
  <c r="E15" i="9"/>
  <c r="D15" i="9"/>
  <c r="N14" i="9"/>
  <c r="M14" i="9"/>
  <c r="L14" i="9"/>
  <c r="K14" i="9"/>
  <c r="J14" i="9"/>
  <c r="H14" i="9"/>
  <c r="G14" i="9"/>
  <c r="F14" i="9"/>
  <c r="E14" i="9"/>
  <c r="D14" i="9"/>
  <c r="N13" i="9"/>
  <c r="M13" i="9"/>
  <c r="L13" i="9"/>
  <c r="K13" i="9"/>
  <c r="J13" i="9"/>
  <c r="H13" i="9"/>
  <c r="G13" i="9"/>
  <c r="F13" i="9"/>
  <c r="E13" i="9"/>
  <c r="D13" i="9"/>
  <c r="N12" i="9"/>
  <c r="M12" i="9"/>
  <c r="L12" i="9"/>
  <c r="K12" i="9"/>
  <c r="J12" i="9"/>
  <c r="H12" i="9"/>
  <c r="G12" i="9"/>
  <c r="F12" i="9"/>
  <c r="E12" i="9"/>
  <c r="D12" i="9"/>
  <c r="N11" i="9"/>
  <c r="M11" i="9"/>
  <c r="L11" i="9"/>
  <c r="K11" i="9"/>
  <c r="J11" i="9"/>
  <c r="H11" i="9"/>
  <c r="G11" i="9"/>
  <c r="F11" i="9"/>
  <c r="E11" i="9"/>
  <c r="D11" i="9"/>
  <c r="N10" i="9"/>
  <c r="M10" i="9"/>
  <c r="L10" i="9"/>
  <c r="K10" i="9"/>
  <c r="J10" i="9"/>
  <c r="H10" i="9"/>
  <c r="G10" i="9"/>
  <c r="F10" i="9"/>
  <c r="E10" i="9"/>
  <c r="D10" i="9"/>
  <c r="N9" i="9"/>
  <c r="M9" i="9"/>
  <c r="L9" i="9"/>
  <c r="K9" i="9"/>
  <c r="J9" i="9"/>
  <c r="H9" i="9"/>
  <c r="G9" i="9"/>
  <c r="F9" i="9"/>
  <c r="E9" i="9"/>
  <c r="D9" i="9"/>
  <c r="N8" i="9"/>
  <c r="M8" i="9"/>
  <c r="L8" i="9"/>
  <c r="K8" i="9"/>
  <c r="J8" i="9"/>
  <c r="H8" i="9"/>
  <c r="G8" i="9"/>
  <c r="F8" i="9"/>
  <c r="E8" i="9"/>
  <c r="D8" i="9"/>
  <c r="N7" i="9"/>
  <c r="M7" i="9"/>
  <c r="L7" i="9"/>
  <c r="K7" i="9"/>
  <c r="J7" i="9"/>
  <c r="H7" i="9"/>
  <c r="G7" i="9"/>
  <c r="F7" i="9"/>
  <c r="E7" i="9"/>
  <c r="D7" i="9"/>
  <c r="N6" i="9"/>
  <c r="M6" i="9"/>
  <c r="L6" i="9"/>
  <c r="K6" i="9"/>
  <c r="J6" i="9"/>
  <c r="H6" i="9"/>
  <c r="G6" i="9"/>
  <c r="F6" i="9"/>
  <c r="E6" i="9"/>
  <c r="D6" i="9"/>
  <c r="N5" i="9"/>
  <c r="M5" i="9"/>
  <c r="L5" i="9"/>
  <c r="K5" i="9"/>
  <c r="J5" i="9"/>
  <c r="H5" i="9"/>
  <c r="G5" i="9"/>
  <c r="F5" i="9"/>
  <c r="E5" i="9"/>
  <c r="D5" i="9"/>
  <c r="N4" i="9"/>
  <c r="M4" i="9"/>
  <c r="L4" i="9"/>
  <c r="K4" i="9"/>
  <c r="J4" i="9"/>
  <c r="H4" i="9"/>
  <c r="G4" i="9"/>
  <c r="F4" i="9"/>
  <c r="E4" i="9"/>
  <c r="D4" i="9"/>
  <c r="N3" i="9"/>
  <c r="M3" i="9"/>
  <c r="L3" i="9"/>
  <c r="K3" i="9"/>
  <c r="J3" i="9"/>
  <c r="H3" i="9"/>
  <c r="G3" i="9"/>
  <c r="F3" i="9"/>
  <c r="E3" i="9"/>
  <c r="D3" i="9"/>
  <c r="N2" i="9"/>
  <c r="M2" i="9"/>
  <c r="L2" i="9"/>
  <c r="K2" i="9"/>
  <c r="J2" i="9"/>
  <c r="H2" i="9"/>
  <c r="G2" i="9"/>
  <c r="F2" i="9"/>
  <c r="E2" i="9"/>
  <c r="D2" i="9"/>
  <c r="B70" i="9" l="1"/>
  <c r="B71" i="9"/>
  <c r="B72" i="9"/>
  <c r="B68" i="9"/>
  <c r="B69" i="9"/>
  <c r="C48" i="4"/>
  <c r="C47" i="4"/>
  <c r="D49" i="4"/>
  <c r="E49" i="4"/>
  <c r="F49" i="4"/>
  <c r="G49" i="4"/>
  <c r="C49" i="4"/>
  <c r="C18" i="4"/>
  <c r="F48" i="4"/>
  <c r="E48" i="4"/>
  <c r="G48" i="4"/>
  <c r="D48" i="4"/>
  <c r="G42" i="4"/>
  <c r="F42" i="4"/>
  <c r="E42" i="4"/>
  <c r="D42" i="4"/>
  <c r="C42" i="4"/>
  <c r="C40" i="4"/>
  <c r="FL5" i="7"/>
  <c r="FL24" i="7" s="1"/>
  <c r="FV23" i="7"/>
  <c r="FU23" i="7"/>
  <c r="FT23" i="7"/>
  <c r="FS23" i="7"/>
  <c r="FR23" i="7"/>
  <c r="FP23" i="7"/>
  <c r="FO23" i="7"/>
  <c r="FN23" i="7"/>
  <c r="FM23" i="7"/>
  <c r="FL23" i="7"/>
  <c r="FA23" i="7"/>
  <c r="EZ23" i="7"/>
  <c r="EY23" i="7"/>
  <c r="EX23" i="7"/>
  <c r="EW23" i="7"/>
  <c r="EV23" i="7"/>
  <c r="EU23" i="7"/>
  <c r="ET23" i="7"/>
  <c r="ES23" i="7"/>
  <c r="ER23" i="7"/>
  <c r="EQ23" i="7"/>
  <c r="EN23" i="7"/>
  <c r="EM23" i="7"/>
  <c r="EL23" i="7"/>
  <c r="EK23" i="7"/>
  <c r="EJ23" i="7"/>
  <c r="EI23" i="7"/>
  <c r="EH23" i="7"/>
  <c r="EG23" i="7"/>
  <c r="EF23" i="7"/>
  <c r="EE23" i="7"/>
  <c r="ED23" i="7"/>
  <c r="EA23" i="7"/>
  <c r="DZ23" i="7"/>
  <c r="DY23" i="7"/>
  <c r="DX23" i="7"/>
  <c r="DW23" i="7"/>
  <c r="DV23" i="7"/>
  <c r="DU23" i="7"/>
  <c r="DT23" i="7"/>
  <c r="DS23" i="7"/>
  <c r="DR23" i="7"/>
  <c r="DQ23" i="7"/>
  <c r="DP23" i="7"/>
  <c r="DN23" i="7"/>
  <c r="DM23" i="7"/>
  <c r="DL23" i="7"/>
  <c r="DK23" i="7"/>
  <c r="DJ23" i="7"/>
  <c r="DI23" i="7"/>
  <c r="DH23" i="7"/>
  <c r="DG23" i="7"/>
  <c r="DF23" i="7"/>
  <c r="DE23" i="7"/>
  <c r="DC23" i="7"/>
  <c r="DB23" i="7"/>
  <c r="DA23" i="7"/>
  <c r="CZ23" i="7"/>
  <c r="CY23" i="7"/>
  <c r="CS23" i="7"/>
  <c r="CR23" i="7"/>
  <c r="CQ23" i="7"/>
  <c r="CP23" i="7"/>
  <c r="CO23" i="7"/>
  <c r="CN23" i="7"/>
  <c r="CM23" i="7"/>
  <c r="CL23" i="7"/>
  <c r="CK23" i="7"/>
  <c r="CJ23" i="7"/>
  <c r="CU23" i="7" s="1"/>
  <c r="CI23" i="7"/>
  <c r="CH23" i="7"/>
  <c r="CG23" i="7"/>
  <c r="CF23" i="7"/>
  <c r="CT23" i="7" s="1"/>
  <c r="CV23" i="7" s="1"/>
  <c r="CC23" i="7"/>
  <c r="CB23" i="7"/>
  <c r="CA23" i="7"/>
  <c r="BZ23" i="7"/>
  <c r="BY23" i="7"/>
  <c r="BW23" i="7"/>
  <c r="BV23" i="7"/>
  <c r="BU23" i="7"/>
  <c r="BT23" i="7"/>
  <c r="BS23" i="7"/>
  <c r="BQ23" i="7"/>
  <c r="BP23" i="7"/>
  <c r="BO23" i="7"/>
  <c r="BN23" i="7"/>
  <c r="BM23" i="7"/>
  <c r="BK23" i="7"/>
  <c r="BJ23" i="7"/>
  <c r="BI23" i="7"/>
  <c r="BH23" i="7"/>
  <c r="BG23" i="7"/>
  <c r="BE23" i="7"/>
  <c r="BD23" i="7"/>
  <c r="BC23" i="7"/>
  <c r="BB23" i="7"/>
  <c r="BA23" i="7"/>
  <c r="AZ23" i="7"/>
  <c r="AX23" i="7"/>
  <c r="AW23" i="7"/>
  <c r="AV23" i="7"/>
  <c r="AU23" i="7"/>
  <c r="AT23" i="7"/>
  <c r="AR23" i="7"/>
  <c r="AQ23" i="7"/>
  <c r="AP23" i="7"/>
  <c r="AO23" i="7"/>
  <c r="AN23" i="7"/>
  <c r="AM23" i="7"/>
  <c r="AK23" i="7"/>
  <c r="AJ23" i="7"/>
  <c r="AI23" i="7"/>
  <c r="AH23" i="7"/>
  <c r="AG23" i="7"/>
  <c r="AE23" i="7"/>
  <c r="AD23" i="7"/>
  <c r="AC23" i="7"/>
  <c r="AB23" i="7"/>
  <c r="AA23" i="7"/>
  <c r="Z23" i="7"/>
  <c r="X23" i="7"/>
  <c r="W23" i="7"/>
  <c r="V23" i="7"/>
  <c r="U23" i="7"/>
  <c r="T23" i="7"/>
  <c r="R23" i="7"/>
  <c r="Q23" i="7"/>
  <c r="P23" i="7"/>
  <c r="O23" i="7"/>
  <c r="N23" i="7"/>
  <c r="M23" i="7"/>
  <c r="K23" i="7"/>
  <c r="J23" i="7"/>
  <c r="I23" i="7"/>
  <c r="H23" i="7"/>
  <c r="G23" i="7"/>
  <c r="E23" i="7"/>
  <c r="C23" i="7"/>
  <c r="A23" i="7"/>
  <c r="FV22" i="7"/>
  <c r="FU22" i="7"/>
  <c r="FT22" i="7"/>
  <c r="FS22" i="7"/>
  <c r="FR22" i="7"/>
  <c r="FP22" i="7"/>
  <c r="FO22" i="7"/>
  <c r="FN22" i="7"/>
  <c r="FM22" i="7"/>
  <c r="FL22" i="7"/>
  <c r="FA22" i="7"/>
  <c r="EZ22" i="7"/>
  <c r="EY22" i="7"/>
  <c r="EX22" i="7"/>
  <c r="EW22" i="7"/>
  <c r="EV22" i="7"/>
  <c r="EU22" i="7"/>
  <c r="ET22" i="7"/>
  <c r="ES22" i="7"/>
  <c r="ER22" i="7"/>
  <c r="EQ22" i="7"/>
  <c r="EN22" i="7"/>
  <c r="EM22" i="7"/>
  <c r="EL22" i="7"/>
  <c r="EK22" i="7"/>
  <c r="EJ22" i="7"/>
  <c r="EI22" i="7"/>
  <c r="EH22" i="7"/>
  <c r="EG22" i="7"/>
  <c r="EF22" i="7"/>
  <c r="EE22" i="7"/>
  <c r="ED22" i="7"/>
  <c r="EA22" i="7"/>
  <c r="DZ22" i="7"/>
  <c r="DY22" i="7"/>
  <c r="DX22" i="7"/>
  <c r="DW22" i="7"/>
  <c r="DV22" i="7"/>
  <c r="DU22" i="7"/>
  <c r="DT22" i="7"/>
  <c r="DS22" i="7"/>
  <c r="DR22" i="7"/>
  <c r="DQ22" i="7"/>
  <c r="DP22" i="7"/>
  <c r="DN22" i="7"/>
  <c r="DM22" i="7"/>
  <c r="DL22" i="7"/>
  <c r="DK22" i="7"/>
  <c r="DJ22" i="7"/>
  <c r="DI22" i="7"/>
  <c r="DH22" i="7"/>
  <c r="DG22" i="7"/>
  <c r="DF22" i="7"/>
  <c r="DE22" i="7"/>
  <c r="DC22" i="7"/>
  <c r="DB22" i="7"/>
  <c r="DA22" i="7"/>
  <c r="CZ22" i="7"/>
  <c r="CY22" i="7"/>
  <c r="CS22" i="7"/>
  <c r="CR22" i="7"/>
  <c r="CQ22" i="7"/>
  <c r="CP22" i="7"/>
  <c r="CO22" i="7"/>
  <c r="CN22" i="7"/>
  <c r="CM22" i="7"/>
  <c r="CL22" i="7"/>
  <c r="CK22" i="7"/>
  <c r="CJ22" i="7"/>
  <c r="CI22" i="7"/>
  <c r="CH22" i="7"/>
  <c r="CG22" i="7"/>
  <c r="CF22" i="7"/>
  <c r="CC22" i="7"/>
  <c r="CB22" i="7"/>
  <c r="CA22" i="7"/>
  <c r="BZ22" i="7"/>
  <c r="BY22" i="7"/>
  <c r="BW22" i="7"/>
  <c r="BV22" i="7"/>
  <c r="BU22" i="7"/>
  <c r="BT22" i="7"/>
  <c r="BS22" i="7"/>
  <c r="BQ22" i="7"/>
  <c r="BP22" i="7"/>
  <c r="BO22" i="7"/>
  <c r="BN22" i="7"/>
  <c r="BM22" i="7"/>
  <c r="BK22" i="7"/>
  <c r="BJ22" i="7"/>
  <c r="BI22" i="7"/>
  <c r="BH22" i="7"/>
  <c r="BG22" i="7"/>
  <c r="BE22" i="7"/>
  <c r="BD22" i="7"/>
  <c r="BC22" i="7"/>
  <c r="BB22" i="7"/>
  <c r="BA22" i="7"/>
  <c r="AZ22" i="7"/>
  <c r="AX22" i="7"/>
  <c r="AW22" i="7"/>
  <c r="AV22" i="7"/>
  <c r="AU22" i="7"/>
  <c r="AT22" i="7"/>
  <c r="AR22" i="7"/>
  <c r="AQ22" i="7"/>
  <c r="AP22" i="7"/>
  <c r="AO22" i="7"/>
  <c r="AN22" i="7"/>
  <c r="AM22" i="7"/>
  <c r="AK22" i="7"/>
  <c r="AJ22" i="7"/>
  <c r="AI22" i="7"/>
  <c r="AH22" i="7"/>
  <c r="AG22" i="7"/>
  <c r="AE22" i="7"/>
  <c r="AD22" i="7"/>
  <c r="AC22" i="7"/>
  <c r="AB22" i="7"/>
  <c r="AA22" i="7"/>
  <c r="Z22" i="7"/>
  <c r="X22" i="7"/>
  <c r="W22" i="7"/>
  <c r="V22" i="7"/>
  <c r="U22" i="7"/>
  <c r="T22" i="7"/>
  <c r="R22" i="7"/>
  <c r="Q22" i="7"/>
  <c r="P22" i="7"/>
  <c r="O22" i="7"/>
  <c r="N22" i="7"/>
  <c r="M22" i="7"/>
  <c r="K22" i="7"/>
  <c r="J22" i="7"/>
  <c r="I22" i="7"/>
  <c r="H22" i="7"/>
  <c r="G22" i="7"/>
  <c r="E22" i="7"/>
  <c r="A22" i="7"/>
  <c r="C22" i="7" s="1"/>
  <c r="FV21" i="7"/>
  <c r="FU21" i="7"/>
  <c r="FT21" i="7"/>
  <c r="FS21" i="7"/>
  <c r="FR21" i="7"/>
  <c r="FP21" i="7"/>
  <c r="FO21" i="7"/>
  <c r="FN21" i="7"/>
  <c r="FM21" i="7"/>
  <c r="FL21" i="7"/>
  <c r="FA21" i="7"/>
  <c r="EZ21" i="7"/>
  <c r="EY21" i="7"/>
  <c r="EX21" i="7"/>
  <c r="EW21" i="7"/>
  <c r="EV21" i="7"/>
  <c r="EU21" i="7"/>
  <c r="ET21" i="7"/>
  <c r="ES21" i="7"/>
  <c r="ER21" i="7"/>
  <c r="EQ21" i="7"/>
  <c r="EN21" i="7"/>
  <c r="EM21" i="7"/>
  <c r="EL21" i="7"/>
  <c r="EK21" i="7"/>
  <c r="EJ21" i="7"/>
  <c r="EI21" i="7"/>
  <c r="EH21" i="7"/>
  <c r="EG21" i="7"/>
  <c r="EF21" i="7"/>
  <c r="EE21" i="7"/>
  <c r="ED21" i="7"/>
  <c r="EA21" i="7"/>
  <c r="DZ21" i="7"/>
  <c r="DY21" i="7"/>
  <c r="DX21" i="7"/>
  <c r="DW21" i="7"/>
  <c r="DV21" i="7"/>
  <c r="DU21" i="7"/>
  <c r="DT21" i="7"/>
  <c r="DS21" i="7"/>
  <c r="DR21" i="7"/>
  <c r="DQ21" i="7"/>
  <c r="DP21" i="7"/>
  <c r="DN21" i="7"/>
  <c r="DM21" i="7"/>
  <c r="DL21" i="7"/>
  <c r="DK21" i="7"/>
  <c r="DJ21" i="7"/>
  <c r="DI21" i="7"/>
  <c r="DH21" i="7"/>
  <c r="DG21" i="7"/>
  <c r="DF21" i="7"/>
  <c r="DE21" i="7"/>
  <c r="DC21" i="7"/>
  <c r="DB21" i="7"/>
  <c r="DA21" i="7"/>
  <c r="CZ21" i="7"/>
  <c r="CY21" i="7"/>
  <c r="CS21" i="7"/>
  <c r="CR21" i="7"/>
  <c r="CQ21" i="7"/>
  <c r="CP21" i="7"/>
  <c r="CO21" i="7"/>
  <c r="CN21" i="7"/>
  <c r="CM21" i="7"/>
  <c r="CL21" i="7"/>
  <c r="CK21" i="7"/>
  <c r="CJ21" i="7"/>
  <c r="CI21" i="7"/>
  <c r="CH21" i="7"/>
  <c r="CG21" i="7"/>
  <c r="CF21" i="7"/>
  <c r="CC21" i="7"/>
  <c r="CB21" i="7"/>
  <c r="CA21" i="7"/>
  <c r="BZ21" i="7"/>
  <c r="BY21" i="7"/>
  <c r="BW21" i="7"/>
  <c r="BV21" i="7"/>
  <c r="BU21" i="7"/>
  <c r="BT21" i="7"/>
  <c r="BS21" i="7"/>
  <c r="BQ21" i="7"/>
  <c r="BP21" i="7"/>
  <c r="BO21" i="7"/>
  <c r="BN21" i="7"/>
  <c r="BM21" i="7"/>
  <c r="BK21" i="7"/>
  <c r="BJ21" i="7"/>
  <c r="BI21" i="7"/>
  <c r="BH21" i="7"/>
  <c r="BG21" i="7"/>
  <c r="BE21" i="7"/>
  <c r="BD21" i="7"/>
  <c r="BC21" i="7"/>
  <c r="BB21" i="7"/>
  <c r="BA21" i="7"/>
  <c r="AZ21" i="7"/>
  <c r="AX21" i="7"/>
  <c r="AW21" i="7"/>
  <c r="AV21" i="7"/>
  <c r="AU21" i="7"/>
  <c r="AT21" i="7"/>
  <c r="AR21" i="7"/>
  <c r="AQ21" i="7"/>
  <c r="AP21" i="7"/>
  <c r="AO21" i="7"/>
  <c r="AN21" i="7"/>
  <c r="AM21" i="7"/>
  <c r="AK21" i="7"/>
  <c r="AJ21" i="7"/>
  <c r="AI21" i="7"/>
  <c r="AH21" i="7"/>
  <c r="AG21" i="7"/>
  <c r="AE21" i="7"/>
  <c r="AD21" i="7"/>
  <c r="AC21" i="7"/>
  <c r="AB21" i="7"/>
  <c r="AA21" i="7"/>
  <c r="Z21" i="7"/>
  <c r="X21" i="7"/>
  <c r="W21" i="7"/>
  <c r="V21" i="7"/>
  <c r="U21" i="7"/>
  <c r="T21" i="7"/>
  <c r="R21" i="7"/>
  <c r="Q21" i="7"/>
  <c r="P21" i="7"/>
  <c r="O21" i="7"/>
  <c r="N21" i="7"/>
  <c r="M21" i="7"/>
  <c r="K21" i="7"/>
  <c r="J21" i="7"/>
  <c r="I21" i="7"/>
  <c r="H21" i="7"/>
  <c r="G21" i="7"/>
  <c r="E21" i="7"/>
  <c r="A21" i="7"/>
  <c r="C21" i="7" s="1"/>
  <c r="FV20" i="7"/>
  <c r="FU20" i="7"/>
  <c r="FT20" i="7"/>
  <c r="FS20" i="7"/>
  <c r="FR20" i="7"/>
  <c r="FP20" i="7"/>
  <c r="FO20" i="7"/>
  <c r="FN20" i="7"/>
  <c r="FM20" i="7"/>
  <c r="FL20" i="7"/>
  <c r="FA20" i="7"/>
  <c r="EZ20" i="7"/>
  <c r="EY20" i="7"/>
  <c r="EX20" i="7"/>
  <c r="EW20" i="7"/>
  <c r="EV20" i="7"/>
  <c r="EU20" i="7"/>
  <c r="ET20" i="7"/>
  <c r="ES20" i="7"/>
  <c r="ER20" i="7"/>
  <c r="EQ20" i="7"/>
  <c r="EN20" i="7"/>
  <c r="EM20" i="7"/>
  <c r="EL20" i="7"/>
  <c r="EK20" i="7"/>
  <c r="EJ20" i="7"/>
  <c r="EI20" i="7"/>
  <c r="EH20" i="7"/>
  <c r="EG20" i="7"/>
  <c r="EF20" i="7"/>
  <c r="EE20" i="7"/>
  <c r="ED20" i="7"/>
  <c r="EA20" i="7"/>
  <c r="DZ20" i="7"/>
  <c r="DY20" i="7"/>
  <c r="DX20" i="7"/>
  <c r="DW20" i="7"/>
  <c r="DV20" i="7"/>
  <c r="DU20" i="7"/>
  <c r="DT20" i="7"/>
  <c r="DS20" i="7"/>
  <c r="DR20" i="7"/>
  <c r="DQ20" i="7"/>
  <c r="DP20" i="7"/>
  <c r="DN20" i="7"/>
  <c r="DM20" i="7"/>
  <c r="DL20" i="7"/>
  <c r="DK20" i="7"/>
  <c r="DJ20" i="7"/>
  <c r="DI20" i="7"/>
  <c r="DH20" i="7"/>
  <c r="DG20" i="7"/>
  <c r="DF20" i="7"/>
  <c r="DE20" i="7"/>
  <c r="DC20" i="7"/>
  <c r="DB20" i="7"/>
  <c r="DA20" i="7"/>
  <c r="CZ20" i="7"/>
  <c r="CY20" i="7"/>
  <c r="CS20" i="7"/>
  <c r="CR20" i="7"/>
  <c r="CQ20" i="7"/>
  <c r="CP20" i="7"/>
  <c r="CO20" i="7"/>
  <c r="CN20" i="7"/>
  <c r="CM20" i="7"/>
  <c r="CL20" i="7"/>
  <c r="CK20" i="7"/>
  <c r="CU20" i="7" s="1"/>
  <c r="CJ20" i="7"/>
  <c r="CI20" i="7"/>
  <c r="CH20" i="7"/>
  <c r="CG20" i="7"/>
  <c r="CF20" i="7"/>
  <c r="CT20" i="7" s="1"/>
  <c r="CC20" i="7"/>
  <c r="CB20" i="7"/>
  <c r="CA20" i="7"/>
  <c r="BZ20" i="7"/>
  <c r="BY20" i="7"/>
  <c r="BW20" i="7"/>
  <c r="BV20" i="7"/>
  <c r="BU20" i="7"/>
  <c r="BT20" i="7"/>
  <c r="BS20" i="7"/>
  <c r="BQ20" i="7"/>
  <c r="BP20" i="7"/>
  <c r="BO20" i="7"/>
  <c r="BN20" i="7"/>
  <c r="BM20" i="7"/>
  <c r="BK20" i="7"/>
  <c r="BJ20" i="7"/>
  <c r="BI20" i="7"/>
  <c r="BH20" i="7"/>
  <c r="BG20" i="7"/>
  <c r="BE20" i="7"/>
  <c r="BD20" i="7"/>
  <c r="BC20" i="7"/>
  <c r="BB20" i="7"/>
  <c r="BA20" i="7"/>
  <c r="AZ20" i="7"/>
  <c r="AX20" i="7"/>
  <c r="AW20" i="7"/>
  <c r="AV20" i="7"/>
  <c r="AU20" i="7"/>
  <c r="AT20" i="7"/>
  <c r="AR20" i="7"/>
  <c r="AQ20" i="7"/>
  <c r="AP20" i="7"/>
  <c r="AO20" i="7"/>
  <c r="AN20" i="7"/>
  <c r="AM20" i="7"/>
  <c r="AK20" i="7"/>
  <c r="AJ20" i="7"/>
  <c r="AI20" i="7"/>
  <c r="AH20" i="7"/>
  <c r="AG20" i="7"/>
  <c r="AE20" i="7"/>
  <c r="AD20" i="7"/>
  <c r="AC20" i="7"/>
  <c r="AB20" i="7"/>
  <c r="AA20" i="7"/>
  <c r="Z20" i="7"/>
  <c r="X20" i="7"/>
  <c r="W20" i="7"/>
  <c r="V20" i="7"/>
  <c r="U20" i="7"/>
  <c r="T20" i="7"/>
  <c r="R20" i="7"/>
  <c r="Q20" i="7"/>
  <c r="P20" i="7"/>
  <c r="O20" i="7"/>
  <c r="N20" i="7"/>
  <c r="M20" i="7"/>
  <c r="K20" i="7"/>
  <c r="J20" i="7"/>
  <c r="I20" i="7"/>
  <c r="H20" i="7"/>
  <c r="G20" i="7"/>
  <c r="E20" i="7"/>
  <c r="A20" i="7"/>
  <c r="C20" i="7" s="1"/>
  <c r="FV19" i="7"/>
  <c r="FU19" i="7"/>
  <c r="FT19" i="7"/>
  <c r="FS19" i="7"/>
  <c r="FR19" i="7"/>
  <c r="FP19" i="7"/>
  <c r="FO19" i="7"/>
  <c r="FN19" i="7"/>
  <c r="FM19" i="7"/>
  <c r="FL19" i="7"/>
  <c r="FA19" i="7"/>
  <c r="EZ19" i="7"/>
  <c r="EY19" i="7"/>
  <c r="EX19" i="7"/>
  <c r="EW19" i="7"/>
  <c r="EV19" i="7"/>
  <c r="EU19" i="7"/>
  <c r="ET19" i="7"/>
  <c r="ES19" i="7"/>
  <c r="ER19" i="7"/>
  <c r="EQ19" i="7"/>
  <c r="EN19" i="7"/>
  <c r="EM19" i="7"/>
  <c r="EL19" i="7"/>
  <c r="EK19" i="7"/>
  <c r="EJ19" i="7"/>
  <c r="EI19" i="7"/>
  <c r="EH19" i="7"/>
  <c r="EG19" i="7"/>
  <c r="EF19" i="7"/>
  <c r="EE19" i="7"/>
  <c r="ED19" i="7"/>
  <c r="EA19" i="7"/>
  <c r="DZ19" i="7"/>
  <c r="DY19" i="7"/>
  <c r="DX19" i="7"/>
  <c r="DW19" i="7"/>
  <c r="DV19" i="7"/>
  <c r="DU19" i="7"/>
  <c r="DT19" i="7"/>
  <c r="DS19" i="7"/>
  <c r="DR19" i="7"/>
  <c r="DQ19" i="7"/>
  <c r="DP19" i="7"/>
  <c r="DN19" i="7"/>
  <c r="DM19" i="7"/>
  <c r="DL19" i="7"/>
  <c r="DK19" i="7"/>
  <c r="DJ19" i="7"/>
  <c r="DI19" i="7"/>
  <c r="DH19" i="7"/>
  <c r="DG19" i="7"/>
  <c r="DF19" i="7"/>
  <c r="DE19" i="7"/>
  <c r="DC19" i="7"/>
  <c r="DB19" i="7"/>
  <c r="DA19" i="7"/>
  <c r="CZ19" i="7"/>
  <c r="CY19" i="7"/>
  <c r="CS19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T19" i="7" s="1"/>
  <c r="CC19" i="7"/>
  <c r="CB19" i="7"/>
  <c r="CA19" i="7"/>
  <c r="BZ19" i="7"/>
  <c r="BY19" i="7"/>
  <c r="BW19" i="7"/>
  <c r="BV19" i="7"/>
  <c r="BU19" i="7"/>
  <c r="BT19" i="7"/>
  <c r="BS19" i="7"/>
  <c r="BQ19" i="7"/>
  <c r="BP19" i="7"/>
  <c r="BO19" i="7"/>
  <c r="BN19" i="7"/>
  <c r="BM19" i="7"/>
  <c r="BK19" i="7"/>
  <c r="BJ19" i="7"/>
  <c r="BI19" i="7"/>
  <c r="BH19" i="7"/>
  <c r="BG19" i="7"/>
  <c r="BE19" i="7"/>
  <c r="BD19" i="7"/>
  <c r="BC19" i="7"/>
  <c r="BB19" i="7"/>
  <c r="BA19" i="7"/>
  <c r="AZ19" i="7"/>
  <c r="AX19" i="7"/>
  <c r="AW19" i="7"/>
  <c r="AV19" i="7"/>
  <c r="AU19" i="7"/>
  <c r="AT19" i="7"/>
  <c r="AR19" i="7"/>
  <c r="AQ19" i="7"/>
  <c r="AP19" i="7"/>
  <c r="AO19" i="7"/>
  <c r="AN19" i="7"/>
  <c r="AM19" i="7"/>
  <c r="AK19" i="7"/>
  <c r="AJ19" i="7"/>
  <c r="AI19" i="7"/>
  <c r="AH19" i="7"/>
  <c r="AG19" i="7"/>
  <c r="AE19" i="7"/>
  <c r="AD19" i="7"/>
  <c r="AC19" i="7"/>
  <c r="AB19" i="7"/>
  <c r="AA19" i="7"/>
  <c r="Z19" i="7"/>
  <c r="X19" i="7"/>
  <c r="W19" i="7"/>
  <c r="V19" i="7"/>
  <c r="U19" i="7"/>
  <c r="T19" i="7"/>
  <c r="R19" i="7"/>
  <c r="Q19" i="7"/>
  <c r="P19" i="7"/>
  <c r="O19" i="7"/>
  <c r="N19" i="7"/>
  <c r="M19" i="7"/>
  <c r="K19" i="7"/>
  <c r="J19" i="7"/>
  <c r="I19" i="7"/>
  <c r="H19" i="7"/>
  <c r="G19" i="7"/>
  <c r="E19" i="7"/>
  <c r="A19" i="7"/>
  <c r="C19" i="7" s="1"/>
  <c r="FV18" i="7"/>
  <c r="FU18" i="7"/>
  <c r="FT18" i="7"/>
  <c r="FS18" i="7"/>
  <c r="FR18" i="7"/>
  <c r="FP18" i="7"/>
  <c r="FO18" i="7"/>
  <c r="FN18" i="7"/>
  <c r="FM18" i="7"/>
  <c r="FL18" i="7"/>
  <c r="FA18" i="7"/>
  <c r="EZ18" i="7"/>
  <c r="EY18" i="7"/>
  <c r="EX18" i="7"/>
  <c r="EW18" i="7"/>
  <c r="EV18" i="7"/>
  <c r="EU18" i="7"/>
  <c r="ET18" i="7"/>
  <c r="ES18" i="7"/>
  <c r="ER18" i="7"/>
  <c r="EQ18" i="7"/>
  <c r="EN18" i="7"/>
  <c r="EM18" i="7"/>
  <c r="EL18" i="7"/>
  <c r="EK18" i="7"/>
  <c r="EJ18" i="7"/>
  <c r="EI18" i="7"/>
  <c r="EH18" i="7"/>
  <c r="EG18" i="7"/>
  <c r="EF18" i="7"/>
  <c r="EE18" i="7"/>
  <c r="ED18" i="7"/>
  <c r="EA18" i="7"/>
  <c r="DZ18" i="7"/>
  <c r="DY18" i="7"/>
  <c r="DX18" i="7"/>
  <c r="DW18" i="7"/>
  <c r="DV18" i="7"/>
  <c r="DU18" i="7"/>
  <c r="DT18" i="7"/>
  <c r="DS18" i="7"/>
  <c r="DR18" i="7"/>
  <c r="DQ18" i="7"/>
  <c r="DP18" i="7"/>
  <c r="DN18" i="7"/>
  <c r="DM18" i="7"/>
  <c r="DL18" i="7"/>
  <c r="DK18" i="7"/>
  <c r="DJ18" i="7"/>
  <c r="DI18" i="7"/>
  <c r="DH18" i="7"/>
  <c r="DG18" i="7"/>
  <c r="DF18" i="7"/>
  <c r="DE18" i="7"/>
  <c r="DC18" i="7"/>
  <c r="DB18" i="7"/>
  <c r="DA18" i="7"/>
  <c r="CZ18" i="7"/>
  <c r="CY18" i="7"/>
  <c r="CS18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T18" i="7" s="1"/>
  <c r="CC18" i="7"/>
  <c r="CB18" i="7"/>
  <c r="CA18" i="7"/>
  <c r="BZ18" i="7"/>
  <c r="BY18" i="7"/>
  <c r="BW18" i="7"/>
  <c r="BV18" i="7"/>
  <c r="BU18" i="7"/>
  <c r="BT18" i="7"/>
  <c r="BS18" i="7"/>
  <c r="BQ18" i="7"/>
  <c r="BP18" i="7"/>
  <c r="BO18" i="7"/>
  <c r="BN18" i="7"/>
  <c r="BM18" i="7"/>
  <c r="BK18" i="7"/>
  <c r="BJ18" i="7"/>
  <c r="BI18" i="7"/>
  <c r="BH18" i="7"/>
  <c r="BG18" i="7"/>
  <c r="BE18" i="7"/>
  <c r="BD18" i="7"/>
  <c r="BC18" i="7"/>
  <c r="BB18" i="7"/>
  <c r="BA18" i="7"/>
  <c r="AZ18" i="7"/>
  <c r="AX18" i="7"/>
  <c r="AW18" i="7"/>
  <c r="AV18" i="7"/>
  <c r="AU18" i="7"/>
  <c r="AT18" i="7"/>
  <c r="AR18" i="7"/>
  <c r="AQ18" i="7"/>
  <c r="AP18" i="7"/>
  <c r="AO18" i="7"/>
  <c r="AN18" i="7"/>
  <c r="AM18" i="7"/>
  <c r="AK18" i="7"/>
  <c r="AJ18" i="7"/>
  <c r="AI18" i="7"/>
  <c r="AH18" i="7"/>
  <c r="AG18" i="7"/>
  <c r="AE18" i="7"/>
  <c r="AD18" i="7"/>
  <c r="AC18" i="7"/>
  <c r="AB18" i="7"/>
  <c r="AA18" i="7"/>
  <c r="Z18" i="7"/>
  <c r="X18" i="7"/>
  <c r="W18" i="7"/>
  <c r="V18" i="7"/>
  <c r="U18" i="7"/>
  <c r="T18" i="7"/>
  <c r="R18" i="7"/>
  <c r="Q18" i="7"/>
  <c r="P18" i="7"/>
  <c r="O18" i="7"/>
  <c r="N18" i="7"/>
  <c r="M18" i="7"/>
  <c r="K18" i="7"/>
  <c r="J18" i="7"/>
  <c r="I18" i="7"/>
  <c r="H18" i="7"/>
  <c r="G18" i="7"/>
  <c r="E18" i="7"/>
  <c r="A18" i="7"/>
  <c r="C18" i="7" s="1"/>
  <c r="FV17" i="7"/>
  <c r="FU17" i="7"/>
  <c r="FT17" i="7"/>
  <c r="FS17" i="7"/>
  <c r="FR17" i="7"/>
  <c r="FP17" i="7"/>
  <c r="FO17" i="7"/>
  <c r="FN17" i="7"/>
  <c r="FM17" i="7"/>
  <c r="FL17" i="7"/>
  <c r="FA17" i="7"/>
  <c r="EZ17" i="7"/>
  <c r="EY17" i="7"/>
  <c r="EX17" i="7"/>
  <c r="EW17" i="7"/>
  <c r="EV17" i="7"/>
  <c r="EU17" i="7"/>
  <c r="ET17" i="7"/>
  <c r="ES17" i="7"/>
  <c r="ER17" i="7"/>
  <c r="EQ17" i="7"/>
  <c r="EN17" i="7"/>
  <c r="EM17" i="7"/>
  <c r="EL17" i="7"/>
  <c r="EK17" i="7"/>
  <c r="EJ17" i="7"/>
  <c r="EI17" i="7"/>
  <c r="EH17" i="7"/>
  <c r="EG17" i="7"/>
  <c r="EF17" i="7"/>
  <c r="EE17" i="7"/>
  <c r="ED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N17" i="7"/>
  <c r="DM17" i="7"/>
  <c r="DL17" i="7"/>
  <c r="DK17" i="7"/>
  <c r="DJ17" i="7"/>
  <c r="DI17" i="7"/>
  <c r="DH17" i="7"/>
  <c r="DG17" i="7"/>
  <c r="DF17" i="7"/>
  <c r="DE17" i="7"/>
  <c r="DC17" i="7"/>
  <c r="DB17" i="7"/>
  <c r="DA17" i="7"/>
  <c r="CZ17" i="7"/>
  <c r="CY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C17" i="7"/>
  <c r="CB17" i="7"/>
  <c r="CA17" i="7"/>
  <c r="BZ17" i="7"/>
  <c r="BY17" i="7"/>
  <c r="BW17" i="7"/>
  <c r="BV17" i="7"/>
  <c r="BU17" i="7"/>
  <c r="BT17" i="7"/>
  <c r="BS17" i="7"/>
  <c r="BQ17" i="7"/>
  <c r="BP17" i="7"/>
  <c r="BO17" i="7"/>
  <c r="BN17" i="7"/>
  <c r="BM17" i="7"/>
  <c r="BK17" i="7"/>
  <c r="BJ17" i="7"/>
  <c r="BI17" i="7"/>
  <c r="BH17" i="7"/>
  <c r="BG17" i="7"/>
  <c r="BE17" i="7"/>
  <c r="BD17" i="7"/>
  <c r="BC17" i="7"/>
  <c r="BB17" i="7"/>
  <c r="BA17" i="7"/>
  <c r="AZ17" i="7"/>
  <c r="AX17" i="7"/>
  <c r="AW17" i="7"/>
  <c r="AV17" i="7"/>
  <c r="AU17" i="7"/>
  <c r="AT17" i="7"/>
  <c r="AR17" i="7"/>
  <c r="AQ17" i="7"/>
  <c r="AP17" i="7"/>
  <c r="AO17" i="7"/>
  <c r="AN17" i="7"/>
  <c r="AM17" i="7"/>
  <c r="AK17" i="7"/>
  <c r="AJ17" i="7"/>
  <c r="AI17" i="7"/>
  <c r="AH17" i="7"/>
  <c r="AG17" i="7"/>
  <c r="AE17" i="7"/>
  <c r="AD17" i="7"/>
  <c r="AC17" i="7"/>
  <c r="AB17" i="7"/>
  <c r="AA17" i="7"/>
  <c r="Z17" i="7"/>
  <c r="X17" i="7"/>
  <c r="W17" i="7"/>
  <c r="V17" i="7"/>
  <c r="U17" i="7"/>
  <c r="T17" i="7"/>
  <c r="R17" i="7"/>
  <c r="Q17" i="7"/>
  <c r="P17" i="7"/>
  <c r="O17" i="7"/>
  <c r="N17" i="7"/>
  <c r="M17" i="7"/>
  <c r="K17" i="7"/>
  <c r="J17" i="7"/>
  <c r="I17" i="7"/>
  <c r="H17" i="7"/>
  <c r="G17" i="7"/>
  <c r="E17" i="7"/>
  <c r="A17" i="7"/>
  <c r="C17" i="7" s="1"/>
  <c r="FV16" i="7"/>
  <c r="FU16" i="7"/>
  <c r="FT16" i="7"/>
  <c r="FS16" i="7"/>
  <c r="FR16" i="7"/>
  <c r="FP16" i="7"/>
  <c r="FO16" i="7"/>
  <c r="FN16" i="7"/>
  <c r="FM16" i="7"/>
  <c r="FL16" i="7"/>
  <c r="FA16" i="7"/>
  <c r="EZ16" i="7"/>
  <c r="EY16" i="7"/>
  <c r="EX16" i="7"/>
  <c r="EW16" i="7"/>
  <c r="EV16" i="7"/>
  <c r="EU16" i="7"/>
  <c r="ET16" i="7"/>
  <c r="ES16" i="7"/>
  <c r="ER16" i="7"/>
  <c r="EQ16" i="7"/>
  <c r="EN16" i="7"/>
  <c r="EM16" i="7"/>
  <c r="EL16" i="7"/>
  <c r="EK16" i="7"/>
  <c r="EJ16" i="7"/>
  <c r="EI16" i="7"/>
  <c r="EH16" i="7"/>
  <c r="EG16" i="7"/>
  <c r="EF16" i="7"/>
  <c r="EE16" i="7"/>
  <c r="ED16" i="7"/>
  <c r="EA16" i="7"/>
  <c r="DZ16" i="7"/>
  <c r="DY16" i="7"/>
  <c r="DX16" i="7"/>
  <c r="DW16" i="7"/>
  <c r="DV16" i="7"/>
  <c r="DU16" i="7"/>
  <c r="DT16" i="7"/>
  <c r="DS16" i="7"/>
  <c r="DR16" i="7"/>
  <c r="DQ16" i="7"/>
  <c r="DP16" i="7"/>
  <c r="DN16" i="7"/>
  <c r="DM16" i="7"/>
  <c r="DL16" i="7"/>
  <c r="DK16" i="7"/>
  <c r="DJ16" i="7"/>
  <c r="DI16" i="7"/>
  <c r="DH16" i="7"/>
  <c r="DG16" i="7"/>
  <c r="DF16" i="7"/>
  <c r="DE16" i="7"/>
  <c r="DC16" i="7"/>
  <c r="DB16" i="7"/>
  <c r="DA16" i="7"/>
  <c r="CZ16" i="7"/>
  <c r="CY16" i="7"/>
  <c r="CS16" i="7"/>
  <c r="CR16" i="7"/>
  <c r="CQ16" i="7"/>
  <c r="CP16" i="7"/>
  <c r="CO16" i="7"/>
  <c r="CN16" i="7"/>
  <c r="CM16" i="7"/>
  <c r="CL16" i="7"/>
  <c r="CK16" i="7"/>
  <c r="CU16" i="7" s="1"/>
  <c r="CJ16" i="7"/>
  <c r="CI16" i="7"/>
  <c r="CH16" i="7"/>
  <c r="CG16" i="7"/>
  <c r="CF16" i="7"/>
  <c r="CT16" i="7" s="1"/>
  <c r="CC16" i="7"/>
  <c r="CB16" i="7"/>
  <c r="CA16" i="7"/>
  <c r="BZ16" i="7"/>
  <c r="BY16" i="7"/>
  <c r="BW16" i="7"/>
  <c r="BV16" i="7"/>
  <c r="BU16" i="7"/>
  <c r="BT16" i="7"/>
  <c r="BS16" i="7"/>
  <c r="BQ16" i="7"/>
  <c r="BP16" i="7"/>
  <c r="BO16" i="7"/>
  <c r="BN16" i="7"/>
  <c r="BM16" i="7"/>
  <c r="BK16" i="7"/>
  <c r="BJ16" i="7"/>
  <c r="BI16" i="7"/>
  <c r="BH16" i="7"/>
  <c r="BG16" i="7"/>
  <c r="BE16" i="7"/>
  <c r="BD16" i="7"/>
  <c r="BC16" i="7"/>
  <c r="BB16" i="7"/>
  <c r="BA16" i="7"/>
  <c r="AZ16" i="7"/>
  <c r="AX16" i="7"/>
  <c r="AW16" i="7"/>
  <c r="AV16" i="7"/>
  <c r="AU16" i="7"/>
  <c r="AT16" i="7"/>
  <c r="AR16" i="7"/>
  <c r="AQ16" i="7"/>
  <c r="AP16" i="7"/>
  <c r="AO16" i="7"/>
  <c r="AN16" i="7"/>
  <c r="AM16" i="7"/>
  <c r="AK16" i="7"/>
  <c r="AJ16" i="7"/>
  <c r="AI16" i="7"/>
  <c r="AH16" i="7"/>
  <c r="AG16" i="7"/>
  <c r="AE16" i="7"/>
  <c r="AD16" i="7"/>
  <c r="AC16" i="7"/>
  <c r="AB16" i="7"/>
  <c r="AA16" i="7"/>
  <c r="Z16" i="7"/>
  <c r="X16" i="7"/>
  <c r="W16" i="7"/>
  <c r="V16" i="7"/>
  <c r="U16" i="7"/>
  <c r="T16" i="7"/>
  <c r="R16" i="7"/>
  <c r="Q16" i="7"/>
  <c r="P16" i="7"/>
  <c r="O16" i="7"/>
  <c r="N16" i="7"/>
  <c r="M16" i="7"/>
  <c r="K16" i="7"/>
  <c r="J16" i="7"/>
  <c r="I16" i="7"/>
  <c r="H16" i="7"/>
  <c r="G16" i="7"/>
  <c r="E16" i="7"/>
  <c r="A16" i="7"/>
  <c r="C16" i="7" s="1"/>
  <c r="FV15" i="7"/>
  <c r="FU15" i="7"/>
  <c r="FT15" i="7"/>
  <c r="FS15" i="7"/>
  <c r="FR15" i="7"/>
  <c r="FP15" i="7"/>
  <c r="FO15" i="7"/>
  <c r="FN15" i="7"/>
  <c r="FM15" i="7"/>
  <c r="FL15" i="7"/>
  <c r="FA15" i="7"/>
  <c r="EZ15" i="7"/>
  <c r="EY15" i="7"/>
  <c r="EX15" i="7"/>
  <c r="EW15" i="7"/>
  <c r="EV15" i="7"/>
  <c r="EU15" i="7"/>
  <c r="ET15" i="7"/>
  <c r="ES15" i="7"/>
  <c r="ER15" i="7"/>
  <c r="EQ15" i="7"/>
  <c r="EN15" i="7"/>
  <c r="EM15" i="7"/>
  <c r="EL15" i="7"/>
  <c r="EK15" i="7"/>
  <c r="EJ15" i="7"/>
  <c r="EI15" i="7"/>
  <c r="EH15" i="7"/>
  <c r="EG15" i="7"/>
  <c r="EF15" i="7"/>
  <c r="EE15" i="7"/>
  <c r="ED15" i="7"/>
  <c r="EA15" i="7"/>
  <c r="DZ15" i="7"/>
  <c r="DY15" i="7"/>
  <c r="DX15" i="7"/>
  <c r="DW15" i="7"/>
  <c r="DV15" i="7"/>
  <c r="DU15" i="7"/>
  <c r="DT15" i="7"/>
  <c r="DS15" i="7"/>
  <c r="DR15" i="7"/>
  <c r="DQ15" i="7"/>
  <c r="DP15" i="7"/>
  <c r="DN15" i="7"/>
  <c r="DM15" i="7"/>
  <c r="DL15" i="7"/>
  <c r="DK15" i="7"/>
  <c r="DJ15" i="7"/>
  <c r="DI15" i="7"/>
  <c r="DH15" i="7"/>
  <c r="DG15" i="7"/>
  <c r="DF15" i="7"/>
  <c r="DE15" i="7"/>
  <c r="DC15" i="7"/>
  <c r="DB15" i="7"/>
  <c r="DA15" i="7"/>
  <c r="CZ15" i="7"/>
  <c r="CY15" i="7"/>
  <c r="CS15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C15" i="7"/>
  <c r="CB15" i="7"/>
  <c r="CA15" i="7"/>
  <c r="BZ15" i="7"/>
  <c r="BY15" i="7"/>
  <c r="BW15" i="7"/>
  <c r="BV15" i="7"/>
  <c r="BU15" i="7"/>
  <c r="BT15" i="7"/>
  <c r="BS15" i="7"/>
  <c r="BQ15" i="7"/>
  <c r="BP15" i="7"/>
  <c r="BO15" i="7"/>
  <c r="BN15" i="7"/>
  <c r="BM15" i="7"/>
  <c r="BK15" i="7"/>
  <c r="BJ15" i="7"/>
  <c r="BI15" i="7"/>
  <c r="BH15" i="7"/>
  <c r="BG15" i="7"/>
  <c r="BE15" i="7"/>
  <c r="BD15" i="7"/>
  <c r="BC15" i="7"/>
  <c r="BB15" i="7"/>
  <c r="BA15" i="7"/>
  <c r="AZ15" i="7"/>
  <c r="AX15" i="7"/>
  <c r="AW15" i="7"/>
  <c r="AV15" i="7"/>
  <c r="AU15" i="7"/>
  <c r="AT15" i="7"/>
  <c r="AR15" i="7"/>
  <c r="AQ15" i="7"/>
  <c r="AP15" i="7"/>
  <c r="AO15" i="7"/>
  <c r="AN15" i="7"/>
  <c r="AM15" i="7"/>
  <c r="AK15" i="7"/>
  <c r="AJ15" i="7"/>
  <c r="AI15" i="7"/>
  <c r="AH15" i="7"/>
  <c r="AG15" i="7"/>
  <c r="AE15" i="7"/>
  <c r="AD15" i="7"/>
  <c r="AC15" i="7"/>
  <c r="AB15" i="7"/>
  <c r="AA15" i="7"/>
  <c r="Z15" i="7"/>
  <c r="X15" i="7"/>
  <c r="W15" i="7"/>
  <c r="V15" i="7"/>
  <c r="U15" i="7"/>
  <c r="T15" i="7"/>
  <c r="R15" i="7"/>
  <c r="Q15" i="7"/>
  <c r="P15" i="7"/>
  <c r="O15" i="7"/>
  <c r="N15" i="7"/>
  <c r="M15" i="7"/>
  <c r="K15" i="7"/>
  <c r="J15" i="7"/>
  <c r="I15" i="7"/>
  <c r="H15" i="7"/>
  <c r="G15" i="7"/>
  <c r="E15" i="7"/>
  <c r="A15" i="7"/>
  <c r="C15" i="7" s="1"/>
  <c r="FV14" i="7"/>
  <c r="FU14" i="7"/>
  <c r="FT14" i="7"/>
  <c r="FS14" i="7"/>
  <c r="FR14" i="7"/>
  <c r="FP14" i="7"/>
  <c r="FO14" i="7"/>
  <c r="FN14" i="7"/>
  <c r="FM14" i="7"/>
  <c r="FL14" i="7"/>
  <c r="FA14" i="7"/>
  <c r="EZ14" i="7"/>
  <c r="EY14" i="7"/>
  <c r="EX14" i="7"/>
  <c r="EW14" i="7"/>
  <c r="EV14" i="7"/>
  <c r="EU14" i="7"/>
  <c r="ET14" i="7"/>
  <c r="ES14" i="7"/>
  <c r="ER14" i="7"/>
  <c r="EQ14" i="7"/>
  <c r="EN14" i="7"/>
  <c r="EM14" i="7"/>
  <c r="EL14" i="7"/>
  <c r="EK14" i="7"/>
  <c r="EJ14" i="7"/>
  <c r="EI14" i="7"/>
  <c r="EH14" i="7"/>
  <c r="EG14" i="7"/>
  <c r="EF14" i="7"/>
  <c r="EE14" i="7"/>
  <c r="ED14" i="7"/>
  <c r="EA14" i="7"/>
  <c r="DZ14" i="7"/>
  <c r="DY14" i="7"/>
  <c r="DX14" i="7"/>
  <c r="DW14" i="7"/>
  <c r="DV14" i="7"/>
  <c r="DU14" i="7"/>
  <c r="DT14" i="7"/>
  <c r="DS14" i="7"/>
  <c r="DR14" i="7"/>
  <c r="DQ14" i="7"/>
  <c r="DP14" i="7"/>
  <c r="DN14" i="7"/>
  <c r="DM14" i="7"/>
  <c r="DL14" i="7"/>
  <c r="DK14" i="7"/>
  <c r="DJ14" i="7"/>
  <c r="DI14" i="7"/>
  <c r="DH14" i="7"/>
  <c r="DG14" i="7"/>
  <c r="DF14" i="7"/>
  <c r="DE14" i="7"/>
  <c r="DC14" i="7"/>
  <c r="DB14" i="7"/>
  <c r="DA14" i="7"/>
  <c r="CZ14" i="7"/>
  <c r="CY14" i="7"/>
  <c r="CS14" i="7"/>
  <c r="CR14" i="7"/>
  <c r="CQ14" i="7"/>
  <c r="CP14" i="7"/>
  <c r="CO14" i="7"/>
  <c r="CN14" i="7"/>
  <c r="CM14" i="7"/>
  <c r="CL14" i="7"/>
  <c r="CK14" i="7"/>
  <c r="CU14" i="7" s="1"/>
  <c r="CJ14" i="7"/>
  <c r="CI14" i="7"/>
  <c r="CH14" i="7"/>
  <c r="CG14" i="7"/>
  <c r="CF14" i="7"/>
  <c r="CT14" i="7" s="1"/>
  <c r="CV14" i="7" s="1"/>
  <c r="CC14" i="7"/>
  <c r="CB14" i="7"/>
  <c r="CA14" i="7"/>
  <c r="BZ14" i="7"/>
  <c r="BY14" i="7"/>
  <c r="BW14" i="7"/>
  <c r="BV14" i="7"/>
  <c r="BU14" i="7"/>
  <c r="BT14" i="7"/>
  <c r="BS14" i="7"/>
  <c r="BQ14" i="7"/>
  <c r="BP14" i="7"/>
  <c r="BO14" i="7"/>
  <c r="BN14" i="7"/>
  <c r="BM14" i="7"/>
  <c r="BK14" i="7"/>
  <c r="BJ14" i="7"/>
  <c r="BI14" i="7"/>
  <c r="BH14" i="7"/>
  <c r="BG14" i="7"/>
  <c r="BE14" i="7"/>
  <c r="BD14" i="7"/>
  <c r="BC14" i="7"/>
  <c r="BB14" i="7"/>
  <c r="BA14" i="7"/>
  <c r="AZ14" i="7"/>
  <c r="AX14" i="7"/>
  <c r="AW14" i="7"/>
  <c r="AV14" i="7"/>
  <c r="AU14" i="7"/>
  <c r="AT14" i="7"/>
  <c r="AR14" i="7"/>
  <c r="AQ14" i="7"/>
  <c r="AP14" i="7"/>
  <c r="AO14" i="7"/>
  <c r="AN14" i="7"/>
  <c r="AM14" i="7"/>
  <c r="AK14" i="7"/>
  <c r="AJ14" i="7"/>
  <c r="AI14" i="7"/>
  <c r="AH14" i="7"/>
  <c r="AG14" i="7"/>
  <c r="AE14" i="7"/>
  <c r="AD14" i="7"/>
  <c r="AC14" i="7"/>
  <c r="AB14" i="7"/>
  <c r="AA14" i="7"/>
  <c r="Z14" i="7"/>
  <c r="X14" i="7"/>
  <c r="W14" i="7"/>
  <c r="V14" i="7"/>
  <c r="U14" i="7"/>
  <c r="T14" i="7"/>
  <c r="R14" i="7"/>
  <c r="Q14" i="7"/>
  <c r="P14" i="7"/>
  <c r="O14" i="7"/>
  <c r="N14" i="7"/>
  <c r="M14" i="7"/>
  <c r="K14" i="7"/>
  <c r="J14" i="7"/>
  <c r="I14" i="7"/>
  <c r="H14" i="7"/>
  <c r="G14" i="7"/>
  <c r="E14" i="7"/>
  <c r="A14" i="7"/>
  <c r="C14" i="7" s="1"/>
  <c r="FV13" i="7"/>
  <c r="FU13" i="7"/>
  <c r="FT13" i="7"/>
  <c r="FS13" i="7"/>
  <c r="FR13" i="7"/>
  <c r="FP13" i="7"/>
  <c r="FO13" i="7"/>
  <c r="FN13" i="7"/>
  <c r="FM13" i="7"/>
  <c r="FL13" i="7"/>
  <c r="FA13" i="7"/>
  <c r="EZ13" i="7"/>
  <c r="EY13" i="7"/>
  <c r="EX13" i="7"/>
  <c r="EW13" i="7"/>
  <c r="EV13" i="7"/>
  <c r="EU13" i="7"/>
  <c r="ET13" i="7"/>
  <c r="ES13" i="7"/>
  <c r="ER13" i="7"/>
  <c r="EQ13" i="7"/>
  <c r="EN13" i="7"/>
  <c r="EM13" i="7"/>
  <c r="EL13" i="7"/>
  <c r="EK13" i="7"/>
  <c r="EJ13" i="7"/>
  <c r="EI13" i="7"/>
  <c r="EH13" i="7"/>
  <c r="EG13" i="7"/>
  <c r="EF13" i="7"/>
  <c r="EE13" i="7"/>
  <c r="ED13" i="7"/>
  <c r="EA13" i="7"/>
  <c r="DZ13" i="7"/>
  <c r="DY13" i="7"/>
  <c r="DX13" i="7"/>
  <c r="DW13" i="7"/>
  <c r="DV13" i="7"/>
  <c r="DU13" i="7"/>
  <c r="DT13" i="7"/>
  <c r="DS13" i="7"/>
  <c r="DR13" i="7"/>
  <c r="DQ13" i="7"/>
  <c r="DP13" i="7"/>
  <c r="DN13" i="7"/>
  <c r="DM13" i="7"/>
  <c r="DL13" i="7"/>
  <c r="DK13" i="7"/>
  <c r="DJ13" i="7"/>
  <c r="DI13" i="7"/>
  <c r="DH13" i="7"/>
  <c r="DG13" i="7"/>
  <c r="DF13" i="7"/>
  <c r="DE13" i="7"/>
  <c r="DC13" i="7"/>
  <c r="DB13" i="7"/>
  <c r="DA13" i="7"/>
  <c r="CZ13" i="7"/>
  <c r="CY13" i="7"/>
  <c r="CS13" i="7"/>
  <c r="CR13" i="7"/>
  <c r="CQ13" i="7"/>
  <c r="CP13" i="7"/>
  <c r="CO13" i="7"/>
  <c r="CN13" i="7"/>
  <c r="CM13" i="7"/>
  <c r="CL13" i="7"/>
  <c r="CK13" i="7"/>
  <c r="CJ13" i="7"/>
  <c r="CU13" i="7" s="1"/>
  <c r="CI13" i="7"/>
  <c r="CH13" i="7"/>
  <c r="CG13" i="7"/>
  <c r="CF13" i="7"/>
  <c r="CT13" i="7" s="1"/>
  <c r="CV13" i="7" s="1"/>
  <c r="CC13" i="7"/>
  <c r="CB13" i="7"/>
  <c r="CA13" i="7"/>
  <c r="BZ13" i="7"/>
  <c r="BY13" i="7"/>
  <c r="BW13" i="7"/>
  <c r="BV13" i="7"/>
  <c r="BU13" i="7"/>
  <c r="BT13" i="7"/>
  <c r="BS13" i="7"/>
  <c r="BQ13" i="7"/>
  <c r="BP13" i="7"/>
  <c r="BO13" i="7"/>
  <c r="BN13" i="7"/>
  <c r="BM13" i="7"/>
  <c r="BK13" i="7"/>
  <c r="BJ13" i="7"/>
  <c r="BI13" i="7"/>
  <c r="BH13" i="7"/>
  <c r="BG13" i="7"/>
  <c r="BE13" i="7"/>
  <c r="BD13" i="7"/>
  <c r="BC13" i="7"/>
  <c r="BB13" i="7"/>
  <c r="BA13" i="7"/>
  <c r="AZ13" i="7"/>
  <c r="AX13" i="7"/>
  <c r="AW13" i="7"/>
  <c r="AV13" i="7"/>
  <c r="AU13" i="7"/>
  <c r="AT13" i="7"/>
  <c r="AR13" i="7"/>
  <c r="AQ13" i="7"/>
  <c r="AP13" i="7"/>
  <c r="AO13" i="7"/>
  <c r="AN13" i="7"/>
  <c r="AM13" i="7"/>
  <c r="AK13" i="7"/>
  <c r="AJ13" i="7"/>
  <c r="AI13" i="7"/>
  <c r="AH13" i="7"/>
  <c r="AG13" i="7"/>
  <c r="AE13" i="7"/>
  <c r="AD13" i="7"/>
  <c r="AC13" i="7"/>
  <c r="AB13" i="7"/>
  <c r="AA13" i="7"/>
  <c r="Z13" i="7"/>
  <c r="X13" i="7"/>
  <c r="W13" i="7"/>
  <c r="V13" i="7"/>
  <c r="U13" i="7"/>
  <c r="T13" i="7"/>
  <c r="R13" i="7"/>
  <c r="Q13" i="7"/>
  <c r="P13" i="7"/>
  <c r="O13" i="7"/>
  <c r="N13" i="7"/>
  <c r="M13" i="7"/>
  <c r="K13" i="7"/>
  <c r="J13" i="7"/>
  <c r="I13" i="7"/>
  <c r="H13" i="7"/>
  <c r="G13" i="7"/>
  <c r="E13" i="7"/>
  <c r="A13" i="7"/>
  <c r="C13" i="7" s="1"/>
  <c r="FV12" i="7"/>
  <c r="FU12" i="7"/>
  <c r="FT12" i="7"/>
  <c r="FS12" i="7"/>
  <c r="FR12" i="7"/>
  <c r="FP12" i="7"/>
  <c r="FO12" i="7"/>
  <c r="FN12" i="7"/>
  <c r="FM12" i="7"/>
  <c r="FL12" i="7"/>
  <c r="FA12" i="7"/>
  <c r="EZ12" i="7"/>
  <c r="EY12" i="7"/>
  <c r="EX12" i="7"/>
  <c r="EW12" i="7"/>
  <c r="EV12" i="7"/>
  <c r="EU12" i="7"/>
  <c r="ET12" i="7"/>
  <c r="ES12" i="7"/>
  <c r="ER12" i="7"/>
  <c r="EQ12" i="7"/>
  <c r="EN12" i="7"/>
  <c r="EM12" i="7"/>
  <c r="EL12" i="7"/>
  <c r="EK12" i="7"/>
  <c r="EJ12" i="7"/>
  <c r="EI12" i="7"/>
  <c r="EH12" i="7"/>
  <c r="EG12" i="7"/>
  <c r="EF12" i="7"/>
  <c r="EE12" i="7"/>
  <c r="ED12" i="7"/>
  <c r="EA12" i="7"/>
  <c r="DZ12" i="7"/>
  <c r="DY12" i="7"/>
  <c r="DX12" i="7"/>
  <c r="DW12" i="7"/>
  <c r="DV12" i="7"/>
  <c r="DU12" i="7"/>
  <c r="DT12" i="7"/>
  <c r="DS12" i="7"/>
  <c r="DR12" i="7"/>
  <c r="DQ12" i="7"/>
  <c r="DP12" i="7"/>
  <c r="DN12" i="7"/>
  <c r="DM12" i="7"/>
  <c r="DL12" i="7"/>
  <c r="DK12" i="7"/>
  <c r="DJ12" i="7"/>
  <c r="DI12" i="7"/>
  <c r="DH12" i="7"/>
  <c r="DG12" i="7"/>
  <c r="DF12" i="7"/>
  <c r="DE12" i="7"/>
  <c r="DC12" i="7"/>
  <c r="DB12" i="7"/>
  <c r="DA12" i="7"/>
  <c r="CZ12" i="7"/>
  <c r="CY12" i="7"/>
  <c r="CS12" i="7"/>
  <c r="CR12" i="7"/>
  <c r="CQ12" i="7"/>
  <c r="CP12" i="7"/>
  <c r="CO12" i="7"/>
  <c r="CN12" i="7"/>
  <c r="CM12" i="7"/>
  <c r="CL12" i="7"/>
  <c r="CK12" i="7"/>
  <c r="CJ12" i="7"/>
  <c r="CI12" i="7"/>
  <c r="CH12" i="7"/>
  <c r="CG12" i="7"/>
  <c r="CF12" i="7"/>
  <c r="CT12" i="7" s="1"/>
  <c r="CC12" i="7"/>
  <c r="CB12" i="7"/>
  <c r="CA12" i="7"/>
  <c r="BZ12" i="7"/>
  <c r="BY12" i="7"/>
  <c r="BW12" i="7"/>
  <c r="BV12" i="7"/>
  <c r="BU12" i="7"/>
  <c r="BT12" i="7"/>
  <c r="BS12" i="7"/>
  <c r="BQ12" i="7"/>
  <c r="BP12" i="7"/>
  <c r="BO12" i="7"/>
  <c r="BN12" i="7"/>
  <c r="BM12" i="7"/>
  <c r="BK12" i="7"/>
  <c r="BJ12" i="7"/>
  <c r="BI12" i="7"/>
  <c r="BH12" i="7"/>
  <c r="BG12" i="7"/>
  <c r="BE12" i="7"/>
  <c r="BD12" i="7"/>
  <c r="BC12" i="7"/>
  <c r="BB12" i="7"/>
  <c r="BA12" i="7"/>
  <c r="AZ12" i="7"/>
  <c r="AX12" i="7"/>
  <c r="AW12" i="7"/>
  <c r="AV12" i="7"/>
  <c r="AU12" i="7"/>
  <c r="AT12" i="7"/>
  <c r="AR12" i="7"/>
  <c r="AQ12" i="7"/>
  <c r="AP12" i="7"/>
  <c r="AO12" i="7"/>
  <c r="AN12" i="7"/>
  <c r="AM12" i="7"/>
  <c r="AK12" i="7"/>
  <c r="AJ12" i="7"/>
  <c r="AI12" i="7"/>
  <c r="AH12" i="7"/>
  <c r="AG12" i="7"/>
  <c r="AE12" i="7"/>
  <c r="AD12" i="7"/>
  <c r="AC12" i="7"/>
  <c r="AB12" i="7"/>
  <c r="AA12" i="7"/>
  <c r="Z12" i="7"/>
  <c r="X12" i="7"/>
  <c r="W12" i="7"/>
  <c r="V12" i="7"/>
  <c r="U12" i="7"/>
  <c r="T12" i="7"/>
  <c r="R12" i="7"/>
  <c r="Q12" i="7"/>
  <c r="P12" i="7"/>
  <c r="O12" i="7"/>
  <c r="N12" i="7"/>
  <c r="M12" i="7"/>
  <c r="K12" i="7"/>
  <c r="J12" i="7"/>
  <c r="I12" i="7"/>
  <c r="H12" i="7"/>
  <c r="G12" i="7"/>
  <c r="E12" i="7"/>
  <c r="A12" i="7"/>
  <c r="C12" i="7" s="1"/>
  <c r="FV11" i="7"/>
  <c r="FU11" i="7"/>
  <c r="FT11" i="7"/>
  <c r="FS11" i="7"/>
  <c r="FR11" i="7"/>
  <c r="FP11" i="7"/>
  <c r="FO11" i="7"/>
  <c r="FN11" i="7"/>
  <c r="FM11" i="7"/>
  <c r="FL11" i="7"/>
  <c r="FA11" i="7"/>
  <c r="EZ11" i="7"/>
  <c r="EY11" i="7"/>
  <c r="EX11" i="7"/>
  <c r="EW11" i="7"/>
  <c r="EV11" i="7"/>
  <c r="EU11" i="7"/>
  <c r="ET11" i="7"/>
  <c r="ES11" i="7"/>
  <c r="ER11" i="7"/>
  <c r="EQ11" i="7"/>
  <c r="EN11" i="7"/>
  <c r="EM11" i="7"/>
  <c r="EL11" i="7"/>
  <c r="EK11" i="7"/>
  <c r="EJ11" i="7"/>
  <c r="EI11" i="7"/>
  <c r="EH11" i="7"/>
  <c r="EG11" i="7"/>
  <c r="EF11" i="7"/>
  <c r="EE11" i="7"/>
  <c r="ED11" i="7"/>
  <c r="EA11" i="7"/>
  <c r="DZ11" i="7"/>
  <c r="DY11" i="7"/>
  <c r="DX11" i="7"/>
  <c r="DW11" i="7"/>
  <c r="DV11" i="7"/>
  <c r="DU11" i="7"/>
  <c r="DT11" i="7"/>
  <c r="DS11" i="7"/>
  <c r="DR11" i="7"/>
  <c r="DQ11" i="7"/>
  <c r="DP11" i="7"/>
  <c r="DN11" i="7"/>
  <c r="DM11" i="7"/>
  <c r="DL11" i="7"/>
  <c r="DK11" i="7"/>
  <c r="DJ11" i="7"/>
  <c r="DI11" i="7"/>
  <c r="DH11" i="7"/>
  <c r="DG11" i="7"/>
  <c r="DF11" i="7"/>
  <c r="DE11" i="7"/>
  <c r="DC11" i="7"/>
  <c r="DB11" i="7"/>
  <c r="DA11" i="7"/>
  <c r="CZ11" i="7"/>
  <c r="CY11" i="7"/>
  <c r="CS11" i="7"/>
  <c r="CR11" i="7"/>
  <c r="CQ11" i="7"/>
  <c r="CP11" i="7"/>
  <c r="CO11" i="7"/>
  <c r="CN11" i="7"/>
  <c r="CM11" i="7"/>
  <c r="CL11" i="7"/>
  <c r="CK11" i="7"/>
  <c r="CJ11" i="7"/>
  <c r="CI11" i="7"/>
  <c r="CH11" i="7"/>
  <c r="CG11" i="7"/>
  <c r="CF11" i="7"/>
  <c r="CC11" i="7"/>
  <c r="CB11" i="7"/>
  <c r="CA11" i="7"/>
  <c r="BZ11" i="7"/>
  <c r="BY11" i="7"/>
  <c r="BW11" i="7"/>
  <c r="BV11" i="7"/>
  <c r="BU11" i="7"/>
  <c r="BT11" i="7"/>
  <c r="BS11" i="7"/>
  <c r="BQ11" i="7"/>
  <c r="BP11" i="7"/>
  <c r="BO11" i="7"/>
  <c r="BN11" i="7"/>
  <c r="BM11" i="7"/>
  <c r="BK11" i="7"/>
  <c r="BJ11" i="7"/>
  <c r="BI11" i="7"/>
  <c r="BH11" i="7"/>
  <c r="BG11" i="7"/>
  <c r="BE11" i="7"/>
  <c r="BD11" i="7"/>
  <c r="BC11" i="7"/>
  <c r="BB11" i="7"/>
  <c r="BA11" i="7"/>
  <c r="AZ11" i="7"/>
  <c r="AX11" i="7"/>
  <c r="AW11" i="7"/>
  <c r="AV11" i="7"/>
  <c r="AU11" i="7"/>
  <c r="AT11" i="7"/>
  <c r="AR11" i="7"/>
  <c r="AQ11" i="7"/>
  <c r="AP11" i="7"/>
  <c r="AO11" i="7"/>
  <c r="AN11" i="7"/>
  <c r="AM11" i="7"/>
  <c r="AK11" i="7"/>
  <c r="AJ11" i="7"/>
  <c r="AI11" i="7"/>
  <c r="AH11" i="7"/>
  <c r="AG11" i="7"/>
  <c r="AE11" i="7"/>
  <c r="AD11" i="7"/>
  <c r="AC11" i="7"/>
  <c r="AB11" i="7"/>
  <c r="AA11" i="7"/>
  <c r="Z11" i="7"/>
  <c r="X11" i="7"/>
  <c r="W11" i="7"/>
  <c r="V11" i="7"/>
  <c r="U11" i="7"/>
  <c r="T11" i="7"/>
  <c r="R11" i="7"/>
  <c r="Q11" i="7"/>
  <c r="P11" i="7"/>
  <c r="O11" i="7"/>
  <c r="N11" i="7"/>
  <c r="M11" i="7"/>
  <c r="K11" i="7"/>
  <c r="J11" i="7"/>
  <c r="I11" i="7"/>
  <c r="H11" i="7"/>
  <c r="G11" i="7"/>
  <c r="E11" i="7"/>
  <c r="A11" i="7"/>
  <c r="C11" i="7" s="1"/>
  <c r="FV10" i="7"/>
  <c r="FU10" i="7"/>
  <c r="FT10" i="7"/>
  <c r="FS10" i="7"/>
  <c r="FR10" i="7"/>
  <c r="FP10" i="7"/>
  <c r="FO10" i="7"/>
  <c r="FN10" i="7"/>
  <c r="FM10" i="7"/>
  <c r="FL10" i="7"/>
  <c r="FA10" i="7"/>
  <c r="EZ10" i="7"/>
  <c r="EY10" i="7"/>
  <c r="EX10" i="7"/>
  <c r="EW10" i="7"/>
  <c r="EV10" i="7"/>
  <c r="EU10" i="7"/>
  <c r="ET10" i="7"/>
  <c r="ES10" i="7"/>
  <c r="ER10" i="7"/>
  <c r="EQ10" i="7"/>
  <c r="EN10" i="7"/>
  <c r="EM10" i="7"/>
  <c r="EL10" i="7"/>
  <c r="EK10" i="7"/>
  <c r="EJ10" i="7"/>
  <c r="EI10" i="7"/>
  <c r="EH10" i="7"/>
  <c r="EG10" i="7"/>
  <c r="EF10" i="7"/>
  <c r="EE10" i="7"/>
  <c r="ED10" i="7"/>
  <c r="EA10" i="7"/>
  <c r="DZ10" i="7"/>
  <c r="DY10" i="7"/>
  <c r="DX10" i="7"/>
  <c r="DW10" i="7"/>
  <c r="DV10" i="7"/>
  <c r="DU10" i="7"/>
  <c r="DT10" i="7"/>
  <c r="DS10" i="7"/>
  <c r="DR10" i="7"/>
  <c r="DQ10" i="7"/>
  <c r="DP10" i="7"/>
  <c r="DN10" i="7"/>
  <c r="DM10" i="7"/>
  <c r="DL10" i="7"/>
  <c r="DK10" i="7"/>
  <c r="DJ10" i="7"/>
  <c r="DI10" i="7"/>
  <c r="DH10" i="7"/>
  <c r="DG10" i="7"/>
  <c r="DF10" i="7"/>
  <c r="DE10" i="7"/>
  <c r="DC10" i="7"/>
  <c r="DB10" i="7"/>
  <c r="DA10" i="7"/>
  <c r="CZ10" i="7"/>
  <c r="CY10" i="7"/>
  <c r="CS10" i="7"/>
  <c r="CR10" i="7"/>
  <c r="CQ10" i="7"/>
  <c r="CP10" i="7"/>
  <c r="CO10" i="7"/>
  <c r="CN10" i="7"/>
  <c r="CM10" i="7"/>
  <c r="CL10" i="7"/>
  <c r="CK10" i="7"/>
  <c r="CU10" i="7" s="1"/>
  <c r="CJ10" i="7"/>
  <c r="CI10" i="7"/>
  <c r="CH10" i="7"/>
  <c r="CG10" i="7"/>
  <c r="CF10" i="7"/>
  <c r="CT10" i="7" s="1"/>
  <c r="CC10" i="7"/>
  <c r="CB10" i="7"/>
  <c r="CA10" i="7"/>
  <c r="BZ10" i="7"/>
  <c r="BY10" i="7"/>
  <c r="BW10" i="7"/>
  <c r="BV10" i="7"/>
  <c r="BU10" i="7"/>
  <c r="BT10" i="7"/>
  <c r="BS10" i="7"/>
  <c r="BQ10" i="7"/>
  <c r="BP10" i="7"/>
  <c r="BO10" i="7"/>
  <c r="BN10" i="7"/>
  <c r="BM10" i="7"/>
  <c r="BK10" i="7"/>
  <c r="BJ10" i="7"/>
  <c r="BI10" i="7"/>
  <c r="BH10" i="7"/>
  <c r="BG10" i="7"/>
  <c r="BE10" i="7"/>
  <c r="BD10" i="7"/>
  <c r="BC10" i="7"/>
  <c r="BB10" i="7"/>
  <c r="BA10" i="7"/>
  <c r="AZ10" i="7"/>
  <c r="AX10" i="7"/>
  <c r="AW10" i="7"/>
  <c r="AV10" i="7"/>
  <c r="AU10" i="7"/>
  <c r="AT10" i="7"/>
  <c r="AR10" i="7"/>
  <c r="AQ10" i="7"/>
  <c r="AP10" i="7"/>
  <c r="AO10" i="7"/>
  <c r="AN10" i="7"/>
  <c r="AM10" i="7"/>
  <c r="AK10" i="7"/>
  <c r="AJ10" i="7"/>
  <c r="AI10" i="7"/>
  <c r="AH10" i="7"/>
  <c r="AG10" i="7"/>
  <c r="AE10" i="7"/>
  <c r="AD10" i="7"/>
  <c r="AC10" i="7"/>
  <c r="AB10" i="7"/>
  <c r="AA10" i="7"/>
  <c r="Z10" i="7"/>
  <c r="X10" i="7"/>
  <c r="W10" i="7"/>
  <c r="V10" i="7"/>
  <c r="U10" i="7"/>
  <c r="T10" i="7"/>
  <c r="R10" i="7"/>
  <c r="Q10" i="7"/>
  <c r="P10" i="7"/>
  <c r="O10" i="7"/>
  <c r="N10" i="7"/>
  <c r="M10" i="7"/>
  <c r="K10" i="7"/>
  <c r="J10" i="7"/>
  <c r="I10" i="7"/>
  <c r="H10" i="7"/>
  <c r="G10" i="7"/>
  <c r="E10" i="7"/>
  <c r="A10" i="7"/>
  <c r="C10" i="7" s="1"/>
  <c r="FV9" i="7"/>
  <c r="FU9" i="7"/>
  <c r="FT9" i="7"/>
  <c r="FS9" i="7"/>
  <c r="FR9" i="7"/>
  <c r="FP9" i="7"/>
  <c r="FO9" i="7"/>
  <c r="FN9" i="7"/>
  <c r="FM9" i="7"/>
  <c r="FL9" i="7"/>
  <c r="FA9" i="7"/>
  <c r="EZ9" i="7"/>
  <c r="EY9" i="7"/>
  <c r="EX9" i="7"/>
  <c r="EW9" i="7"/>
  <c r="EV9" i="7"/>
  <c r="EU9" i="7"/>
  <c r="ET9" i="7"/>
  <c r="ES9" i="7"/>
  <c r="ER9" i="7"/>
  <c r="EQ9" i="7"/>
  <c r="EN9" i="7"/>
  <c r="EM9" i="7"/>
  <c r="EL9" i="7"/>
  <c r="EK9" i="7"/>
  <c r="EJ9" i="7"/>
  <c r="EI9" i="7"/>
  <c r="EH9" i="7"/>
  <c r="EG9" i="7"/>
  <c r="EF9" i="7"/>
  <c r="EE9" i="7"/>
  <c r="ED9" i="7"/>
  <c r="EA9" i="7"/>
  <c r="DZ9" i="7"/>
  <c r="DY9" i="7"/>
  <c r="DX9" i="7"/>
  <c r="DW9" i="7"/>
  <c r="DV9" i="7"/>
  <c r="DU9" i="7"/>
  <c r="DT9" i="7"/>
  <c r="DS9" i="7"/>
  <c r="DR9" i="7"/>
  <c r="DQ9" i="7"/>
  <c r="DP9" i="7"/>
  <c r="DN9" i="7"/>
  <c r="DM9" i="7"/>
  <c r="DL9" i="7"/>
  <c r="DK9" i="7"/>
  <c r="DJ9" i="7"/>
  <c r="DI9" i="7"/>
  <c r="DH9" i="7"/>
  <c r="DG9" i="7"/>
  <c r="DF9" i="7"/>
  <c r="DE9" i="7"/>
  <c r="DC9" i="7"/>
  <c r="DB9" i="7"/>
  <c r="DA9" i="7"/>
  <c r="CZ9" i="7"/>
  <c r="CY9" i="7"/>
  <c r="CS9" i="7"/>
  <c r="CR9" i="7"/>
  <c r="CQ9" i="7"/>
  <c r="CP9" i="7"/>
  <c r="CO9" i="7"/>
  <c r="CN9" i="7"/>
  <c r="CM9" i="7"/>
  <c r="CL9" i="7"/>
  <c r="CK9" i="7"/>
  <c r="CJ9" i="7"/>
  <c r="CI9" i="7"/>
  <c r="CH9" i="7"/>
  <c r="CG9" i="7"/>
  <c r="CF9" i="7"/>
  <c r="CT9" i="7" s="1"/>
  <c r="CC9" i="7"/>
  <c r="CB9" i="7"/>
  <c r="CA9" i="7"/>
  <c r="BZ9" i="7"/>
  <c r="BY9" i="7"/>
  <c r="BW9" i="7"/>
  <c r="BV9" i="7"/>
  <c r="BU9" i="7"/>
  <c r="BT9" i="7"/>
  <c r="BS9" i="7"/>
  <c r="BQ9" i="7"/>
  <c r="BP9" i="7"/>
  <c r="BO9" i="7"/>
  <c r="BN9" i="7"/>
  <c r="BM9" i="7"/>
  <c r="BK9" i="7"/>
  <c r="BJ9" i="7"/>
  <c r="BI9" i="7"/>
  <c r="BH9" i="7"/>
  <c r="BG9" i="7"/>
  <c r="BE9" i="7"/>
  <c r="BD9" i="7"/>
  <c r="BC9" i="7"/>
  <c r="BB9" i="7"/>
  <c r="BA9" i="7"/>
  <c r="AZ9" i="7"/>
  <c r="AX9" i="7"/>
  <c r="AW9" i="7"/>
  <c r="AV9" i="7"/>
  <c r="AU9" i="7"/>
  <c r="AT9" i="7"/>
  <c r="AR9" i="7"/>
  <c r="AQ9" i="7"/>
  <c r="AP9" i="7"/>
  <c r="AO9" i="7"/>
  <c r="AN9" i="7"/>
  <c r="AM9" i="7"/>
  <c r="AK9" i="7"/>
  <c r="AJ9" i="7"/>
  <c r="AI9" i="7"/>
  <c r="AH9" i="7"/>
  <c r="AG9" i="7"/>
  <c r="AE9" i="7"/>
  <c r="AD9" i="7"/>
  <c r="AC9" i="7"/>
  <c r="AB9" i="7"/>
  <c r="AA9" i="7"/>
  <c r="Z9" i="7"/>
  <c r="X9" i="7"/>
  <c r="W9" i="7"/>
  <c r="V9" i="7"/>
  <c r="U9" i="7"/>
  <c r="T9" i="7"/>
  <c r="R9" i="7"/>
  <c r="Q9" i="7"/>
  <c r="P9" i="7"/>
  <c r="O9" i="7"/>
  <c r="N9" i="7"/>
  <c r="M9" i="7"/>
  <c r="K9" i="7"/>
  <c r="J9" i="7"/>
  <c r="I9" i="7"/>
  <c r="H9" i="7"/>
  <c r="G9" i="7"/>
  <c r="E9" i="7"/>
  <c r="A9" i="7"/>
  <c r="C9" i="7" s="1"/>
  <c r="FV8" i="7"/>
  <c r="FU8" i="7"/>
  <c r="FT8" i="7"/>
  <c r="FS8" i="7"/>
  <c r="FR8" i="7"/>
  <c r="FP8" i="7"/>
  <c r="FO8" i="7"/>
  <c r="FN8" i="7"/>
  <c r="FM8" i="7"/>
  <c r="FL8" i="7"/>
  <c r="FA8" i="7"/>
  <c r="EZ8" i="7"/>
  <c r="EY8" i="7"/>
  <c r="EX8" i="7"/>
  <c r="EW8" i="7"/>
  <c r="EV8" i="7"/>
  <c r="EU8" i="7"/>
  <c r="ET8" i="7"/>
  <c r="ES8" i="7"/>
  <c r="ER8" i="7"/>
  <c r="EQ8" i="7"/>
  <c r="EN8" i="7"/>
  <c r="EM8" i="7"/>
  <c r="EL8" i="7"/>
  <c r="EK8" i="7"/>
  <c r="EJ8" i="7"/>
  <c r="EI8" i="7"/>
  <c r="EH8" i="7"/>
  <c r="EG8" i="7"/>
  <c r="EF8" i="7"/>
  <c r="EE8" i="7"/>
  <c r="ED8" i="7"/>
  <c r="EA8" i="7"/>
  <c r="DZ8" i="7"/>
  <c r="DY8" i="7"/>
  <c r="DX8" i="7"/>
  <c r="DW8" i="7"/>
  <c r="DV8" i="7"/>
  <c r="DU8" i="7"/>
  <c r="DT8" i="7"/>
  <c r="DS8" i="7"/>
  <c r="DR8" i="7"/>
  <c r="DQ8" i="7"/>
  <c r="DP8" i="7"/>
  <c r="DN8" i="7"/>
  <c r="DM8" i="7"/>
  <c r="DL8" i="7"/>
  <c r="DK8" i="7"/>
  <c r="DJ8" i="7"/>
  <c r="DI8" i="7"/>
  <c r="DH8" i="7"/>
  <c r="DG8" i="7"/>
  <c r="DF8" i="7"/>
  <c r="DE8" i="7"/>
  <c r="DC8" i="7"/>
  <c r="DB8" i="7"/>
  <c r="DA8" i="7"/>
  <c r="CZ8" i="7"/>
  <c r="CY8" i="7"/>
  <c r="CS8" i="7"/>
  <c r="CR8" i="7"/>
  <c r="CQ8" i="7"/>
  <c r="CP8" i="7"/>
  <c r="CO8" i="7"/>
  <c r="CN8" i="7"/>
  <c r="CM8" i="7"/>
  <c r="CL8" i="7"/>
  <c r="CK8" i="7"/>
  <c r="CJ8" i="7"/>
  <c r="CI8" i="7"/>
  <c r="CH8" i="7"/>
  <c r="CG8" i="7"/>
  <c r="CF8" i="7"/>
  <c r="CT8" i="7" s="1"/>
  <c r="CC8" i="7"/>
  <c r="CB8" i="7"/>
  <c r="CA8" i="7"/>
  <c r="BZ8" i="7"/>
  <c r="BY8" i="7"/>
  <c r="BW8" i="7"/>
  <c r="BV8" i="7"/>
  <c r="BU8" i="7"/>
  <c r="BT8" i="7"/>
  <c r="BS8" i="7"/>
  <c r="BQ8" i="7"/>
  <c r="BP8" i="7"/>
  <c r="BO8" i="7"/>
  <c r="BN8" i="7"/>
  <c r="BM8" i="7"/>
  <c r="BK8" i="7"/>
  <c r="BJ8" i="7"/>
  <c r="BI8" i="7"/>
  <c r="BH8" i="7"/>
  <c r="BG8" i="7"/>
  <c r="BE8" i="7"/>
  <c r="BD8" i="7"/>
  <c r="BC8" i="7"/>
  <c r="BB8" i="7"/>
  <c r="BA8" i="7"/>
  <c r="AZ8" i="7"/>
  <c r="AX8" i="7"/>
  <c r="AW8" i="7"/>
  <c r="AV8" i="7"/>
  <c r="AU8" i="7"/>
  <c r="AT8" i="7"/>
  <c r="AR8" i="7"/>
  <c r="AQ8" i="7"/>
  <c r="AP8" i="7"/>
  <c r="AO8" i="7"/>
  <c r="AN8" i="7"/>
  <c r="AM8" i="7"/>
  <c r="AK8" i="7"/>
  <c r="AJ8" i="7"/>
  <c r="AI8" i="7"/>
  <c r="AH8" i="7"/>
  <c r="AG8" i="7"/>
  <c r="AE8" i="7"/>
  <c r="AD8" i="7"/>
  <c r="AC8" i="7"/>
  <c r="AB8" i="7"/>
  <c r="AA8" i="7"/>
  <c r="Z8" i="7"/>
  <c r="X8" i="7"/>
  <c r="W8" i="7"/>
  <c r="V8" i="7"/>
  <c r="U8" i="7"/>
  <c r="T8" i="7"/>
  <c r="R8" i="7"/>
  <c r="Q8" i="7"/>
  <c r="P8" i="7"/>
  <c r="O8" i="7"/>
  <c r="N8" i="7"/>
  <c r="M8" i="7"/>
  <c r="K8" i="7"/>
  <c r="J8" i="7"/>
  <c r="I8" i="7"/>
  <c r="H8" i="7"/>
  <c r="G8" i="7"/>
  <c r="E8" i="7"/>
  <c r="A8" i="7"/>
  <c r="C8" i="7" s="1"/>
  <c r="FV7" i="7"/>
  <c r="FU7" i="7"/>
  <c r="FT7" i="7"/>
  <c r="FS7" i="7"/>
  <c r="FR7" i="7"/>
  <c r="FP7" i="7"/>
  <c r="FO7" i="7"/>
  <c r="FN7" i="7"/>
  <c r="FM7" i="7"/>
  <c r="FL7" i="7"/>
  <c r="FA7" i="7"/>
  <c r="EZ7" i="7"/>
  <c r="EY7" i="7"/>
  <c r="EX7" i="7"/>
  <c r="EW7" i="7"/>
  <c r="EV7" i="7"/>
  <c r="EU7" i="7"/>
  <c r="ET7" i="7"/>
  <c r="ES7" i="7"/>
  <c r="ER7" i="7"/>
  <c r="EQ7" i="7"/>
  <c r="EN7" i="7"/>
  <c r="EM7" i="7"/>
  <c r="EL7" i="7"/>
  <c r="EK7" i="7"/>
  <c r="EJ7" i="7"/>
  <c r="EI7" i="7"/>
  <c r="EH7" i="7"/>
  <c r="EG7" i="7"/>
  <c r="EF7" i="7"/>
  <c r="EE7" i="7"/>
  <c r="ED7" i="7"/>
  <c r="EA7" i="7"/>
  <c r="DZ7" i="7"/>
  <c r="DY7" i="7"/>
  <c r="DX7" i="7"/>
  <c r="DW7" i="7"/>
  <c r="DV7" i="7"/>
  <c r="DU7" i="7"/>
  <c r="DT7" i="7"/>
  <c r="DS7" i="7"/>
  <c r="DR7" i="7"/>
  <c r="DQ7" i="7"/>
  <c r="DP7" i="7"/>
  <c r="DN7" i="7"/>
  <c r="DM7" i="7"/>
  <c r="DL7" i="7"/>
  <c r="DK7" i="7"/>
  <c r="DJ7" i="7"/>
  <c r="DI7" i="7"/>
  <c r="DH7" i="7"/>
  <c r="DG7" i="7"/>
  <c r="DF7" i="7"/>
  <c r="DE7" i="7"/>
  <c r="DC7" i="7"/>
  <c r="DB7" i="7"/>
  <c r="DA7" i="7"/>
  <c r="CZ7" i="7"/>
  <c r="CY7" i="7"/>
  <c r="CS7" i="7"/>
  <c r="CR7" i="7"/>
  <c r="CQ7" i="7"/>
  <c r="CP7" i="7"/>
  <c r="CO7" i="7"/>
  <c r="CN7" i="7"/>
  <c r="CM7" i="7"/>
  <c r="CL7" i="7"/>
  <c r="CK7" i="7"/>
  <c r="CJ7" i="7"/>
  <c r="CU7" i="7" s="1"/>
  <c r="CI7" i="7"/>
  <c r="CH7" i="7"/>
  <c r="CG7" i="7"/>
  <c r="CF7" i="7"/>
  <c r="CT7" i="7" s="1"/>
  <c r="CV7" i="7" s="1"/>
  <c r="CC7" i="7"/>
  <c r="CB7" i="7"/>
  <c r="CA7" i="7"/>
  <c r="BZ7" i="7"/>
  <c r="BY7" i="7"/>
  <c r="BW7" i="7"/>
  <c r="BV7" i="7"/>
  <c r="BU7" i="7"/>
  <c r="BT7" i="7"/>
  <c r="BS7" i="7"/>
  <c r="BQ7" i="7"/>
  <c r="BP7" i="7"/>
  <c r="BO7" i="7"/>
  <c r="BN7" i="7"/>
  <c r="BM7" i="7"/>
  <c r="BK7" i="7"/>
  <c r="BJ7" i="7"/>
  <c r="BI7" i="7"/>
  <c r="BH7" i="7"/>
  <c r="BG7" i="7"/>
  <c r="BE7" i="7"/>
  <c r="BD7" i="7"/>
  <c r="BC7" i="7"/>
  <c r="BB7" i="7"/>
  <c r="BA7" i="7"/>
  <c r="AZ7" i="7"/>
  <c r="AX7" i="7"/>
  <c r="AW7" i="7"/>
  <c r="AV7" i="7"/>
  <c r="AU7" i="7"/>
  <c r="AT7" i="7"/>
  <c r="AR7" i="7"/>
  <c r="AQ7" i="7"/>
  <c r="AP7" i="7"/>
  <c r="AO7" i="7"/>
  <c r="AN7" i="7"/>
  <c r="AM7" i="7"/>
  <c r="AK7" i="7"/>
  <c r="AJ7" i="7"/>
  <c r="AI7" i="7"/>
  <c r="AH7" i="7"/>
  <c r="AG7" i="7"/>
  <c r="AE7" i="7"/>
  <c r="AD7" i="7"/>
  <c r="AC7" i="7"/>
  <c r="AB7" i="7"/>
  <c r="AA7" i="7"/>
  <c r="Z7" i="7"/>
  <c r="X7" i="7"/>
  <c r="W7" i="7"/>
  <c r="V7" i="7"/>
  <c r="U7" i="7"/>
  <c r="T7" i="7"/>
  <c r="R7" i="7"/>
  <c r="Q7" i="7"/>
  <c r="P7" i="7"/>
  <c r="O7" i="7"/>
  <c r="N7" i="7"/>
  <c r="M7" i="7"/>
  <c r="K7" i="7"/>
  <c r="J7" i="7"/>
  <c r="I7" i="7"/>
  <c r="H7" i="7"/>
  <c r="G7" i="7"/>
  <c r="E7" i="7"/>
  <c r="A7" i="7"/>
  <c r="C7" i="7" s="1"/>
  <c r="FV6" i="7"/>
  <c r="FU6" i="7"/>
  <c r="FT6" i="7"/>
  <c r="FS6" i="7"/>
  <c r="FR6" i="7"/>
  <c r="FP6" i="7"/>
  <c r="FO6" i="7"/>
  <c r="FN6" i="7"/>
  <c r="FM6" i="7"/>
  <c r="FL6" i="7"/>
  <c r="FA6" i="7"/>
  <c r="EZ6" i="7"/>
  <c r="EY6" i="7"/>
  <c r="EX6" i="7"/>
  <c r="EW6" i="7"/>
  <c r="EV6" i="7"/>
  <c r="EU6" i="7"/>
  <c r="ET6" i="7"/>
  <c r="ES6" i="7"/>
  <c r="ER6" i="7"/>
  <c r="EQ6" i="7"/>
  <c r="EN6" i="7"/>
  <c r="EM6" i="7"/>
  <c r="EL6" i="7"/>
  <c r="EK6" i="7"/>
  <c r="EJ6" i="7"/>
  <c r="EI6" i="7"/>
  <c r="EH6" i="7"/>
  <c r="EG6" i="7"/>
  <c r="EF6" i="7"/>
  <c r="EE6" i="7"/>
  <c r="ED6" i="7"/>
  <c r="EA6" i="7"/>
  <c r="DZ6" i="7"/>
  <c r="DY6" i="7"/>
  <c r="DX6" i="7"/>
  <c r="DW6" i="7"/>
  <c r="DV6" i="7"/>
  <c r="DU6" i="7"/>
  <c r="DT6" i="7"/>
  <c r="DS6" i="7"/>
  <c r="DR6" i="7"/>
  <c r="DQ6" i="7"/>
  <c r="DP6" i="7"/>
  <c r="DN6" i="7"/>
  <c r="DM6" i="7"/>
  <c r="DL6" i="7"/>
  <c r="DK6" i="7"/>
  <c r="DJ6" i="7"/>
  <c r="DI6" i="7"/>
  <c r="DH6" i="7"/>
  <c r="DG6" i="7"/>
  <c r="DF6" i="7"/>
  <c r="DE6" i="7"/>
  <c r="DC6" i="7"/>
  <c r="DB6" i="7"/>
  <c r="DA6" i="7"/>
  <c r="CZ6" i="7"/>
  <c r="CY6" i="7"/>
  <c r="CS6" i="7"/>
  <c r="CR6" i="7"/>
  <c r="CQ6" i="7"/>
  <c r="CP6" i="7"/>
  <c r="CO6" i="7"/>
  <c r="CN6" i="7"/>
  <c r="CM6" i="7"/>
  <c r="CL6" i="7"/>
  <c r="CK6" i="7"/>
  <c r="CU6" i="7" s="1"/>
  <c r="CJ6" i="7"/>
  <c r="CI6" i="7"/>
  <c r="CH6" i="7"/>
  <c r="CG6" i="7"/>
  <c r="CF6" i="7"/>
  <c r="CT6" i="7" s="1"/>
  <c r="CV6" i="7" s="1"/>
  <c r="CC6" i="7"/>
  <c r="CB6" i="7"/>
  <c r="CA6" i="7"/>
  <c r="BZ6" i="7"/>
  <c r="BY6" i="7"/>
  <c r="BW6" i="7"/>
  <c r="BV6" i="7"/>
  <c r="BU6" i="7"/>
  <c r="BT6" i="7"/>
  <c r="BS6" i="7"/>
  <c r="BQ6" i="7"/>
  <c r="BP6" i="7"/>
  <c r="BO6" i="7"/>
  <c r="BN6" i="7"/>
  <c r="BM6" i="7"/>
  <c r="BK6" i="7"/>
  <c r="BJ6" i="7"/>
  <c r="BI6" i="7"/>
  <c r="BH6" i="7"/>
  <c r="BG6" i="7"/>
  <c r="BE6" i="7"/>
  <c r="BD6" i="7"/>
  <c r="BC6" i="7"/>
  <c r="BB6" i="7"/>
  <c r="BA6" i="7"/>
  <c r="AZ6" i="7"/>
  <c r="AX6" i="7"/>
  <c r="AW6" i="7"/>
  <c r="AV6" i="7"/>
  <c r="AU6" i="7"/>
  <c r="AT6" i="7"/>
  <c r="AR6" i="7"/>
  <c r="AQ6" i="7"/>
  <c r="AP6" i="7"/>
  <c r="AO6" i="7"/>
  <c r="AN6" i="7"/>
  <c r="AM6" i="7"/>
  <c r="AK6" i="7"/>
  <c r="AJ6" i="7"/>
  <c r="AI6" i="7"/>
  <c r="AH6" i="7"/>
  <c r="AG6" i="7"/>
  <c r="AE6" i="7"/>
  <c r="AD6" i="7"/>
  <c r="AC6" i="7"/>
  <c r="AB6" i="7"/>
  <c r="AA6" i="7"/>
  <c r="Z6" i="7"/>
  <c r="X6" i="7"/>
  <c r="W6" i="7"/>
  <c r="V6" i="7"/>
  <c r="U6" i="7"/>
  <c r="T6" i="7"/>
  <c r="R6" i="7"/>
  <c r="Q6" i="7"/>
  <c r="P6" i="7"/>
  <c r="O6" i="7"/>
  <c r="N6" i="7"/>
  <c r="M6" i="7"/>
  <c r="K6" i="7"/>
  <c r="J6" i="7"/>
  <c r="I6" i="7"/>
  <c r="H6" i="7"/>
  <c r="G6" i="7"/>
  <c r="E6" i="7"/>
  <c r="A6" i="7"/>
  <c r="C6" i="7" s="1"/>
  <c r="FV5" i="7"/>
  <c r="FV24" i="7" s="1"/>
  <c r="FU5" i="7"/>
  <c r="FU24" i="7" s="1"/>
  <c r="FT5" i="7"/>
  <c r="FT24" i="7" s="1"/>
  <c r="FS5" i="7"/>
  <c r="FS24" i="7" s="1"/>
  <c r="FR5" i="7"/>
  <c r="FR24" i="7" s="1"/>
  <c r="FP5" i="7"/>
  <c r="FP24" i="7" s="1"/>
  <c r="FO5" i="7"/>
  <c r="FO24" i="7" s="1"/>
  <c r="FN5" i="7"/>
  <c r="FN24" i="7" s="1"/>
  <c r="FM5" i="7"/>
  <c r="FM24" i="7" s="1"/>
  <c r="FA5" i="7"/>
  <c r="EZ5" i="7"/>
  <c r="EY5" i="7"/>
  <c r="EX5" i="7"/>
  <c r="EW5" i="7"/>
  <c r="EV5" i="7"/>
  <c r="EU5" i="7"/>
  <c r="ET5" i="7"/>
  <c r="ES5" i="7"/>
  <c r="ER5" i="7"/>
  <c r="EQ5" i="7"/>
  <c r="EN5" i="7"/>
  <c r="EM5" i="7"/>
  <c r="EL5" i="7"/>
  <c r="EK5" i="7"/>
  <c r="EJ5" i="7"/>
  <c r="EI5" i="7"/>
  <c r="EH5" i="7"/>
  <c r="EG5" i="7"/>
  <c r="EF5" i="7"/>
  <c r="EE5" i="7"/>
  <c r="ED5" i="7"/>
  <c r="EA5" i="7"/>
  <c r="DZ5" i="7"/>
  <c r="DY5" i="7"/>
  <c r="DX5" i="7"/>
  <c r="DW5" i="7"/>
  <c r="DV5" i="7"/>
  <c r="DU5" i="7"/>
  <c r="DT5" i="7"/>
  <c r="DS5" i="7"/>
  <c r="DR5" i="7"/>
  <c r="DQ5" i="7"/>
  <c r="DP5" i="7"/>
  <c r="DN5" i="7"/>
  <c r="DM5" i="7"/>
  <c r="DL5" i="7"/>
  <c r="DK5" i="7"/>
  <c r="DJ5" i="7"/>
  <c r="DI5" i="7"/>
  <c r="DH5" i="7"/>
  <c r="DG5" i="7"/>
  <c r="DF5" i="7"/>
  <c r="DE5" i="7"/>
  <c r="DC5" i="7"/>
  <c r="DB5" i="7"/>
  <c r="DA5" i="7"/>
  <c r="CZ5" i="7"/>
  <c r="CY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T5" i="7" s="1"/>
  <c r="CC5" i="7"/>
  <c r="CC24" i="7" s="1"/>
  <c r="CB5" i="7"/>
  <c r="CB24" i="7" s="1"/>
  <c r="CA5" i="7"/>
  <c r="CA24" i="7" s="1"/>
  <c r="BZ5" i="7"/>
  <c r="BZ24" i="7" s="1"/>
  <c r="BY5" i="7"/>
  <c r="BY24" i="7" s="1"/>
  <c r="BW5" i="7"/>
  <c r="BW24" i="7" s="1"/>
  <c r="BV5" i="7"/>
  <c r="BV24" i="7" s="1"/>
  <c r="BU5" i="7"/>
  <c r="BU24" i="7" s="1"/>
  <c r="BT5" i="7"/>
  <c r="BT24" i="7" s="1"/>
  <c r="BS5" i="7"/>
  <c r="BS24" i="7" s="1"/>
  <c r="BQ5" i="7"/>
  <c r="BQ24" i="7" s="1"/>
  <c r="BP5" i="7"/>
  <c r="BP24" i="7" s="1"/>
  <c r="BO5" i="7"/>
  <c r="BO24" i="7" s="1"/>
  <c r="BN5" i="7"/>
  <c r="BN24" i="7" s="1"/>
  <c r="BM5" i="7"/>
  <c r="BM24" i="7" s="1"/>
  <c r="BK5" i="7"/>
  <c r="BK24" i="7" s="1"/>
  <c r="BJ5" i="7"/>
  <c r="BJ24" i="7" s="1"/>
  <c r="BI5" i="7"/>
  <c r="BI24" i="7" s="1"/>
  <c r="BH5" i="7"/>
  <c r="BH24" i="7" s="1"/>
  <c r="BG5" i="7"/>
  <c r="BG24" i="7" s="1"/>
  <c r="BE5" i="7"/>
  <c r="BD5" i="7"/>
  <c r="BC5" i="7"/>
  <c r="BB5" i="7"/>
  <c r="BA5" i="7"/>
  <c r="AZ5" i="7"/>
  <c r="AX5" i="7"/>
  <c r="AX24" i="7" s="1"/>
  <c r="AW5" i="7"/>
  <c r="AW24" i="7" s="1"/>
  <c r="AV5" i="7"/>
  <c r="AV24" i="7" s="1"/>
  <c r="AU5" i="7"/>
  <c r="AU24" i="7" s="1"/>
  <c r="AT5" i="7"/>
  <c r="AT24" i="7" s="1"/>
  <c r="AR5" i="7"/>
  <c r="AQ5" i="7"/>
  <c r="AP5" i="7"/>
  <c r="AO5" i="7"/>
  <c r="AN5" i="7"/>
  <c r="AM5" i="7"/>
  <c r="AK5" i="7"/>
  <c r="AK24" i="7" s="1"/>
  <c r="AJ5" i="7"/>
  <c r="AJ24" i="7" s="1"/>
  <c r="AI5" i="7"/>
  <c r="AI24" i="7" s="1"/>
  <c r="AH5" i="7"/>
  <c r="AH24" i="7" s="1"/>
  <c r="AG5" i="7"/>
  <c r="AG24" i="7" s="1"/>
  <c r="AE5" i="7"/>
  <c r="AD5" i="7"/>
  <c r="AC5" i="7"/>
  <c r="AB5" i="7"/>
  <c r="AA5" i="7"/>
  <c r="Z5" i="7"/>
  <c r="X5" i="7"/>
  <c r="X24" i="7" s="1"/>
  <c r="W5" i="7"/>
  <c r="W24" i="7" s="1"/>
  <c r="V5" i="7"/>
  <c r="V24" i="7" s="1"/>
  <c r="U5" i="7"/>
  <c r="T5" i="7"/>
  <c r="T24" i="7" s="1"/>
  <c r="R5" i="7"/>
  <c r="Q5" i="7"/>
  <c r="P5" i="7"/>
  <c r="O5" i="7"/>
  <c r="N5" i="7"/>
  <c r="M5" i="7"/>
  <c r="K5" i="7"/>
  <c r="K24" i="7" s="1"/>
  <c r="J5" i="7"/>
  <c r="J24" i="7" s="1"/>
  <c r="I5" i="7"/>
  <c r="I24" i="7" s="1"/>
  <c r="H5" i="7"/>
  <c r="H24" i="7" s="1"/>
  <c r="G5" i="7"/>
  <c r="G24" i="7" s="1"/>
  <c r="E5" i="7"/>
  <c r="A5" i="7"/>
  <c r="C5" i="7" s="1"/>
  <c r="FV53" i="8"/>
  <c r="FU53" i="8"/>
  <c r="FT53" i="8"/>
  <c r="FS53" i="8"/>
  <c r="FR53" i="8"/>
  <c r="FP53" i="8"/>
  <c r="FO53" i="8"/>
  <c r="FN53" i="8"/>
  <c r="FM53" i="8"/>
  <c r="FL53" i="8"/>
  <c r="FA53" i="8"/>
  <c r="EZ53" i="8"/>
  <c r="EY53" i="8"/>
  <c r="EX53" i="8"/>
  <c r="EW53" i="8"/>
  <c r="EV53" i="8"/>
  <c r="EU53" i="8"/>
  <c r="ET53" i="8"/>
  <c r="ES53" i="8"/>
  <c r="ER53" i="8"/>
  <c r="EQ53" i="8"/>
  <c r="EN53" i="8"/>
  <c r="EM53" i="8"/>
  <c r="EL53" i="8"/>
  <c r="EK53" i="8"/>
  <c r="EJ53" i="8"/>
  <c r="EI53" i="8"/>
  <c r="EH53" i="8"/>
  <c r="EG53" i="8"/>
  <c r="EF53" i="8"/>
  <c r="EE53" i="8"/>
  <c r="ED53" i="8"/>
  <c r="EA53" i="8"/>
  <c r="DZ53" i="8"/>
  <c r="DY53" i="8"/>
  <c r="DX53" i="8"/>
  <c r="DW53" i="8"/>
  <c r="DV53" i="8"/>
  <c r="DU53" i="8"/>
  <c r="DT53" i="8"/>
  <c r="DS53" i="8"/>
  <c r="DR53" i="8"/>
  <c r="DQ53" i="8"/>
  <c r="DP53" i="8"/>
  <c r="DN53" i="8"/>
  <c r="DM53" i="8"/>
  <c r="DL53" i="8"/>
  <c r="DK53" i="8"/>
  <c r="DJ53" i="8"/>
  <c r="DI53" i="8"/>
  <c r="DH53" i="8"/>
  <c r="DG53" i="8"/>
  <c r="DF53" i="8"/>
  <c r="DE53" i="8"/>
  <c r="DC53" i="8"/>
  <c r="DB53" i="8"/>
  <c r="DA53" i="8"/>
  <c r="CZ53" i="8"/>
  <c r="CY53" i="8"/>
  <c r="CS53" i="8"/>
  <c r="CR53" i="8"/>
  <c r="CQ53" i="8"/>
  <c r="CP53" i="8"/>
  <c r="CO53" i="8"/>
  <c r="CN53" i="8"/>
  <c r="CM53" i="8"/>
  <c r="CL53" i="8"/>
  <c r="CK53" i="8"/>
  <c r="CJ53" i="8"/>
  <c r="CI53" i="8"/>
  <c r="CH53" i="8"/>
  <c r="CG53" i="8"/>
  <c r="CT53" i="8" s="1"/>
  <c r="CF53" i="8"/>
  <c r="CC53" i="8"/>
  <c r="CB53" i="8"/>
  <c r="CA53" i="8"/>
  <c r="BZ53" i="8"/>
  <c r="BY53" i="8"/>
  <c r="BW53" i="8"/>
  <c r="BV53" i="8"/>
  <c r="BU53" i="8"/>
  <c r="BT53" i="8"/>
  <c r="BS53" i="8"/>
  <c r="BQ53" i="8"/>
  <c r="BP53" i="8"/>
  <c r="BO53" i="8"/>
  <c r="BN53" i="8"/>
  <c r="BM53" i="8"/>
  <c r="BK53" i="8"/>
  <c r="BJ53" i="8"/>
  <c r="BI53" i="8"/>
  <c r="BH53" i="8"/>
  <c r="BG53" i="8"/>
  <c r="BE53" i="8"/>
  <c r="BD53" i="8"/>
  <c r="BC53" i="8"/>
  <c r="BB53" i="8"/>
  <c r="BA53" i="8"/>
  <c r="AZ53" i="8"/>
  <c r="AX53" i="8"/>
  <c r="AW53" i="8"/>
  <c r="AV53" i="8"/>
  <c r="AU53" i="8"/>
  <c r="AT53" i="8"/>
  <c r="AR53" i="8"/>
  <c r="AQ53" i="8"/>
  <c r="AP53" i="8"/>
  <c r="AO53" i="8"/>
  <c r="AN53" i="8"/>
  <c r="AM53" i="8"/>
  <c r="AK53" i="8"/>
  <c r="AJ53" i="8"/>
  <c r="AI53" i="8"/>
  <c r="AH53" i="8"/>
  <c r="AG53" i="8"/>
  <c r="AE53" i="8"/>
  <c r="AD53" i="8"/>
  <c r="AC53" i="8"/>
  <c r="AB53" i="8"/>
  <c r="AA53" i="8"/>
  <c r="Z53" i="8"/>
  <c r="X53" i="8"/>
  <c r="W53" i="8"/>
  <c r="V53" i="8"/>
  <c r="U53" i="8"/>
  <c r="T53" i="8"/>
  <c r="R53" i="8"/>
  <c r="Q53" i="8"/>
  <c r="P53" i="8"/>
  <c r="O53" i="8"/>
  <c r="N53" i="8"/>
  <c r="M53" i="8"/>
  <c r="K53" i="8"/>
  <c r="J53" i="8"/>
  <c r="I53" i="8"/>
  <c r="H53" i="8"/>
  <c r="G53" i="8"/>
  <c r="E53" i="8"/>
  <c r="A53" i="8"/>
  <c r="C53" i="8"/>
  <c r="FV48" i="8"/>
  <c r="FU48" i="8"/>
  <c r="FT48" i="8"/>
  <c r="FS48" i="8"/>
  <c r="FR48" i="8"/>
  <c r="FP48" i="8"/>
  <c r="FO48" i="8"/>
  <c r="FN48" i="8"/>
  <c r="FM48" i="8"/>
  <c r="FL48" i="8"/>
  <c r="FA48" i="8"/>
  <c r="EZ48" i="8"/>
  <c r="EY48" i="8"/>
  <c r="EX48" i="8"/>
  <c r="EW48" i="8"/>
  <c r="EV48" i="8"/>
  <c r="EU48" i="8"/>
  <c r="ET48" i="8"/>
  <c r="ES48" i="8"/>
  <c r="ER48" i="8"/>
  <c r="EQ48" i="8"/>
  <c r="EN48" i="8"/>
  <c r="EM48" i="8"/>
  <c r="EL48" i="8"/>
  <c r="EK48" i="8"/>
  <c r="EJ48" i="8"/>
  <c r="EI48" i="8"/>
  <c r="EH48" i="8"/>
  <c r="EG48" i="8"/>
  <c r="EF48" i="8"/>
  <c r="EE48" i="8"/>
  <c r="ED48" i="8"/>
  <c r="EA48" i="8"/>
  <c r="DZ48" i="8"/>
  <c r="DY48" i="8"/>
  <c r="DX48" i="8"/>
  <c r="DW48" i="8"/>
  <c r="DV48" i="8"/>
  <c r="DU48" i="8"/>
  <c r="DT48" i="8"/>
  <c r="DS48" i="8"/>
  <c r="DR48" i="8"/>
  <c r="DQ48" i="8"/>
  <c r="DP48" i="8"/>
  <c r="DN48" i="8"/>
  <c r="DM48" i="8"/>
  <c r="DL48" i="8"/>
  <c r="DK48" i="8"/>
  <c r="DJ48" i="8"/>
  <c r="DI48" i="8"/>
  <c r="DH48" i="8"/>
  <c r="DG48" i="8"/>
  <c r="DF48" i="8"/>
  <c r="DE48" i="8"/>
  <c r="DC48" i="8"/>
  <c r="DB48" i="8"/>
  <c r="DA48" i="8"/>
  <c r="CZ48" i="8"/>
  <c r="CY48" i="8"/>
  <c r="CS48" i="8"/>
  <c r="CR48" i="8"/>
  <c r="CQ48" i="8"/>
  <c r="CP48" i="8"/>
  <c r="CO48" i="8"/>
  <c r="CN48" i="8"/>
  <c r="CM48" i="8"/>
  <c r="CL48" i="8"/>
  <c r="CK48" i="8"/>
  <c r="CJ48" i="8"/>
  <c r="CI48" i="8"/>
  <c r="CH48" i="8"/>
  <c r="CG48" i="8"/>
  <c r="CF48" i="8"/>
  <c r="CC48" i="8"/>
  <c r="CB48" i="8"/>
  <c r="CA48" i="8"/>
  <c r="BZ48" i="8"/>
  <c r="BY48" i="8"/>
  <c r="BW48" i="8"/>
  <c r="BV48" i="8"/>
  <c r="BU48" i="8"/>
  <c r="BT48" i="8"/>
  <c r="BS48" i="8"/>
  <c r="BQ48" i="8"/>
  <c r="BP48" i="8"/>
  <c r="BO48" i="8"/>
  <c r="BN48" i="8"/>
  <c r="BM48" i="8"/>
  <c r="BK48" i="8"/>
  <c r="BJ48" i="8"/>
  <c r="BI48" i="8"/>
  <c r="BH48" i="8"/>
  <c r="BG48" i="8"/>
  <c r="BE48" i="8"/>
  <c r="BD48" i="8"/>
  <c r="BC48" i="8"/>
  <c r="BB48" i="8"/>
  <c r="BA48" i="8"/>
  <c r="AZ48" i="8"/>
  <c r="AX48" i="8"/>
  <c r="AW48" i="8"/>
  <c r="AV48" i="8"/>
  <c r="AU48" i="8"/>
  <c r="AT48" i="8"/>
  <c r="AR48" i="8"/>
  <c r="AQ48" i="8"/>
  <c r="AP48" i="8"/>
  <c r="AO48" i="8"/>
  <c r="AN48" i="8"/>
  <c r="AM48" i="8"/>
  <c r="AK48" i="8"/>
  <c r="AJ48" i="8"/>
  <c r="AI48" i="8"/>
  <c r="AH48" i="8"/>
  <c r="AG48" i="8"/>
  <c r="AE48" i="8"/>
  <c r="AD48" i="8"/>
  <c r="AC48" i="8"/>
  <c r="AB48" i="8"/>
  <c r="AA48" i="8"/>
  <c r="Z48" i="8"/>
  <c r="X48" i="8"/>
  <c r="W48" i="8"/>
  <c r="V48" i="8"/>
  <c r="U48" i="8"/>
  <c r="T48" i="8"/>
  <c r="R48" i="8"/>
  <c r="Q48" i="8"/>
  <c r="P48" i="8"/>
  <c r="O48" i="8"/>
  <c r="N48" i="8"/>
  <c r="M48" i="8"/>
  <c r="K48" i="8"/>
  <c r="J48" i="8"/>
  <c r="I48" i="8"/>
  <c r="H48" i="8"/>
  <c r="G48" i="8"/>
  <c r="E48" i="8"/>
  <c r="A48" i="8"/>
  <c r="AS21" i="2"/>
  <c r="AR21" i="2"/>
  <c r="AQ21" i="2"/>
  <c r="AP21" i="2"/>
  <c r="AO21" i="2"/>
  <c r="AN21" i="2"/>
  <c r="AM21" i="2"/>
  <c r="AL21" i="2"/>
  <c r="AK21" i="2"/>
  <c r="AJ21" i="2"/>
  <c r="AU21" i="2" s="1"/>
  <c r="AI21" i="2"/>
  <c r="AH21" i="2"/>
  <c r="AG21" i="2"/>
  <c r="AF21" i="2"/>
  <c r="AT21" i="2" s="1"/>
  <c r="AD21" i="2"/>
  <c r="AC21" i="2"/>
  <c r="AB21" i="2"/>
  <c r="AA21" i="2"/>
  <c r="Z21" i="2"/>
  <c r="X21" i="2"/>
  <c r="W21" i="2"/>
  <c r="V21" i="2"/>
  <c r="U21" i="2"/>
  <c r="T21" i="2"/>
  <c r="R21" i="2"/>
  <c r="Q21" i="2"/>
  <c r="P21" i="2"/>
  <c r="O21" i="2"/>
  <c r="N21" i="2"/>
  <c r="L21" i="2"/>
  <c r="K21" i="2"/>
  <c r="J21" i="2"/>
  <c r="I21" i="2"/>
  <c r="H21" i="2"/>
  <c r="F21" i="2"/>
  <c r="CU21" i="7" l="1"/>
  <c r="CU5" i="7"/>
  <c r="CT11" i="7"/>
  <c r="CU12" i="7"/>
  <c r="CV18" i="7"/>
  <c r="CU19" i="7"/>
  <c r="CV9" i="7"/>
  <c r="CU17" i="7"/>
  <c r="CU8" i="7"/>
  <c r="CU15" i="7"/>
  <c r="CT21" i="7"/>
  <c r="CV21" i="7" s="1"/>
  <c r="CU22" i="7"/>
  <c r="CV5" i="7"/>
  <c r="CV10" i="7"/>
  <c r="CU11" i="7"/>
  <c r="CV19" i="7"/>
  <c r="CU9" i="7"/>
  <c r="CT17" i="7"/>
  <c r="CU18" i="7"/>
  <c r="CT15" i="7"/>
  <c r="CV15" i="7" s="1"/>
  <c r="CT22" i="7"/>
  <c r="CV22" i="7" s="1"/>
  <c r="CU53" i="8"/>
  <c r="CV8" i="7"/>
  <c r="CV12" i="7"/>
  <c r="CV16" i="7"/>
  <c r="CV20" i="7"/>
  <c r="CV53" i="8"/>
  <c r="AV21" i="2"/>
  <c r="CV11" i="7" l="1"/>
  <c r="CV17" i="7"/>
  <c r="J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D22" i="2"/>
  <c r="AC22" i="2"/>
  <c r="AB22" i="2"/>
  <c r="AA22" i="2"/>
  <c r="Z22" i="2"/>
  <c r="X22" i="2"/>
  <c r="W22" i="2"/>
  <c r="V22" i="2"/>
  <c r="U22" i="2"/>
  <c r="T22" i="2"/>
  <c r="R22" i="2"/>
  <c r="Q22" i="2"/>
  <c r="P22" i="2"/>
  <c r="O22" i="2"/>
  <c r="N22" i="2"/>
  <c r="L22" i="2"/>
  <c r="K22" i="2"/>
  <c r="I22" i="2"/>
  <c r="H22" i="2"/>
  <c r="F20" i="2"/>
  <c r="F22" i="2"/>
  <c r="CU48" i="8"/>
  <c r="CT48" i="8"/>
  <c r="C48" i="8"/>
  <c r="FV35" i="8"/>
  <c r="FU35" i="8"/>
  <c r="FT35" i="8"/>
  <c r="FS35" i="8"/>
  <c r="FR35" i="8"/>
  <c r="FP35" i="8"/>
  <c r="FO35" i="8"/>
  <c r="FN35" i="8"/>
  <c r="FM35" i="8"/>
  <c r="FL35" i="8"/>
  <c r="FA35" i="8"/>
  <c r="EZ35" i="8"/>
  <c r="EY35" i="8"/>
  <c r="EX35" i="8"/>
  <c r="EW35" i="8"/>
  <c r="EV35" i="8"/>
  <c r="EU35" i="8"/>
  <c r="ET35" i="8"/>
  <c r="ES35" i="8"/>
  <c r="ER35" i="8"/>
  <c r="EQ35" i="8"/>
  <c r="EN35" i="8"/>
  <c r="EM35" i="8"/>
  <c r="EL35" i="8"/>
  <c r="EK35" i="8"/>
  <c r="EJ35" i="8"/>
  <c r="EI35" i="8"/>
  <c r="EH35" i="8"/>
  <c r="EG35" i="8"/>
  <c r="EF35" i="8"/>
  <c r="EE35" i="8"/>
  <c r="ED35" i="8"/>
  <c r="EA35" i="8"/>
  <c r="DZ35" i="8"/>
  <c r="DY35" i="8"/>
  <c r="DX35" i="8"/>
  <c r="DW35" i="8"/>
  <c r="DV35" i="8"/>
  <c r="DU35" i="8"/>
  <c r="DT35" i="8"/>
  <c r="DS35" i="8"/>
  <c r="DR35" i="8"/>
  <c r="DQ35" i="8"/>
  <c r="DP35" i="8"/>
  <c r="DN35" i="8"/>
  <c r="DM35" i="8"/>
  <c r="DL35" i="8"/>
  <c r="DK35" i="8"/>
  <c r="DJ35" i="8"/>
  <c r="DI35" i="8"/>
  <c r="DH35" i="8"/>
  <c r="DG35" i="8"/>
  <c r="DF35" i="8"/>
  <c r="DE35" i="8"/>
  <c r="DC35" i="8"/>
  <c r="DB35" i="8"/>
  <c r="DA35" i="8"/>
  <c r="CZ35" i="8"/>
  <c r="CY35" i="8"/>
  <c r="CS35" i="8"/>
  <c r="CR35" i="8"/>
  <c r="CQ35" i="8"/>
  <c r="CP35" i="8"/>
  <c r="CO35" i="8"/>
  <c r="CN35" i="8"/>
  <c r="CM35" i="8"/>
  <c r="CL35" i="8"/>
  <c r="CK35" i="8"/>
  <c r="CJ35" i="8"/>
  <c r="CI35" i="8"/>
  <c r="CH35" i="8"/>
  <c r="CG35" i="8"/>
  <c r="CF35" i="8"/>
  <c r="CC35" i="8"/>
  <c r="CB35" i="8"/>
  <c r="CA35" i="8"/>
  <c r="BZ35" i="8"/>
  <c r="BY35" i="8"/>
  <c r="BW35" i="8"/>
  <c r="BV35" i="8"/>
  <c r="BU35" i="8"/>
  <c r="BT35" i="8"/>
  <c r="BS35" i="8"/>
  <c r="BQ35" i="8"/>
  <c r="BP35" i="8"/>
  <c r="BO35" i="8"/>
  <c r="BN35" i="8"/>
  <c r="BM35" i="8"/>
  <c r="BK35" i="8"/>
  <c r="BJ35" i="8"/>
  <c r="BI35" i="8"/>
  <c r="BH35" i="8"/>
  <c r="BG35" i="8"/>
  <c r="BE35" i="8"/>
  <c r="BD35" i="8"/>
  <c r="BC35" i="8"/>
  <c r="BB35" i="8"/>
  <c r="BA35" i="8"/>
  <c r="AZ35" i="8"/>
  <c r="AX35" i="8"/>
  <c r="AW35" i="8"/>
  <c r="AV35" i="8"/>
  <c r="AU35" i="8"/>
  <c r="AT35" i="8"/>
  <c r="AR35" i="8"/>
  <c r="AQ35" i="8"/>
  <c r="AP35" i="8"/>
  <c r="AO35" i="8"/>
  <c r="AN35" i="8"/>
  <c r="AM35" i="8"/>
  <c r="AK35" i="8"/>
  <c r="AJ35" i="8"/>
  <c r="AI35" i="8"/>
  <c r="AH35" i="8"/>
  <c r="AG35" i="8"/>
  <c r="AE35" i="8"/>
  <c r="AD35" i="8"/>
  <c r="AC35" i="8"/>
  <c r="AB35" i="8"/>
  <c r="AA35" i="8"/>
  <c r="Z35" i="8"/>
  <c r="X35" i="8"/>
  <c r="W35" i="8"/>
  <c r="V35" i="8"/>
  <c r="U35" i="8"/>
  <c r="T35" i="8"/>
  <c r="R35" i="8"/>
  <c r="Q35" i="8"/>
  <c r="P35" i="8"/>
  <c r="O35" i="8"/>
  <c r="N35" i="8"/>
  <c r="M35" i="8"/>
  <c r="K35" i="8"/>
  <c r="J35" i="8"/>
  <c r="I35" i="8"/>
  <c r="H35" i="8"/>
  <c r="G35" i="8"/>
  <c r="E35" i="8"/>
  <c r="A35" i="8"/>
  <c r="C35" i="8" s="1"/>
  <c r="FV66" i="8"/>
  <c r="FU66" i="8"/>
  <c r="FT66" i="8"/>
  <c r="FS66" i="8"/>
  <c r="FR66" i="8"/>
  <c r="FP66" i="8"/>
  <c r="FO66" i="8"/>
  <c r="FN66" i="8"/>
  <c r="FM66" i="8"/>
  <c r="FL66" i="8"/>
  <c r="FA66" i="8"/>
  <c r="EZ66" i="8"/>
  <c r="EY66" i="8"/>
  <c r="EX66" i="8"/>
  <c r="EW66" i="8"/>
  <c r="EV66" i="8"/>
  <c r="EU66" i="8"/>
  <c r="ET66" i="8"/>
  <c r="ES66" i="8"/>
  <c r="ER66" i="8"/>
  <c r="EQ66" i="8"/>
  <c r="EN66" i="8"/>
  <c r="EM66" i="8"/>
  <c r="EL66" i="8"/>
  <c r="EK66" i="8"/>
  <c r="EJ66" i="8"/>
  <c r="EI66" i="8"/>
  <c r="EH66" i="8"/>
  <c r="EG66" i="8"/>
  <c r="EF66" i="8"/>
  <c r="EE66" i="8"/>
  <c r="ED66" i="8"/>
  <c r="EA66" i="8"/>
  <c r="DZ66" i="8"/>
  <c r="DY66" i="8"/>
  <c r="DX66" i="8"/>
  <c r="DW66" i="8"/>
  <c r="DV66" i="8"/>
  <c r="DU66" i="8"/>
  <c r="DT66" i="8"/>
  <c r="DS66" i="8"/>
  <c r="DR66" i="8"/>
  <c r="DQ66" i="8"/>
  <c r="DP66" i="8"/>
  <c r="DN66" i="8"/>
  <c r="DM66" i="8"/>
  <c r="DL66" i="8"/>
  <c r="DK66" i="8"/>
  <c r="DJ66" i="8"/>
  <c r="DI66" i="8"/>
  <c r="DH66" i="8"/>
  <c r="DG66" i="8"/>
  <c r="DF66" i="8"/>
  <c r="DE66" i="8"/>
  <c r="DC66" i="8"/>
  <c r="DB66" i="8"/>
  <c r="DA66" i="8"/>
  <c r="CZ66" i="8"/>
  <c r="CY66" i="8"/>
  <c r="CS66" i="8"/>
  <c r="CR66" i="8"/>
  <c r="CQ66" i="8"/>
  <c r="CP66" i="8"/>
  <c r="CO66" i="8"/>
  <c r="CN66" i="8"/>
  <c r="CM66" i="8"/>
  <c r="CL66" i="8"/>
  <c r="CK66" i="8"/>
  <c r="CJ66" i="8"/>
  <c r="CI66" i="8"/>
  <c r="CH66" i="8"/>
  <c r="CG66" i="8"/>
  <c r="CF66" i="8"/>
  <c r="CC66" i="8"/>
  <c r="CB66" i="8"/>
  <c r="CA66" i="8"/>
  <c r="BZ66" i="8"/>
  <c r="BY66" i="8"/>
  <c r="BW66" i="8"/>
  <c r="BV66" i="8"/>
  <c r="BU66" i="8"/>
  <c r="BT66" i="8"/>
  <c r="BS66" i="8"/>
  <c r="BQ66" i="8"/>
  <c r="BP66" i="8"/>
  <c r="BO66" i="8"/>
  <c r="BN66" i="8"/>
  <c r="BM66" i="8"/>
  <c r="BK66" i="8"/>
  <c r="BJ66" i="8"/>
  <c r="BI66" i="8"/>
  <c r="BH66" i="8"/>
  <c r="BG66" i="8"/>
  <c r="BE66" i="8"/>
  <c r="BD66" i="8"/>
  <c r="BC66" i="8"/>
  <c r="BB66" i="8"/>
  <c r="BA66" i="8"/>
  <c r="AZ66" i="8"/>
  <c r="AX66" i="8"/>
  <c r="AW66" i="8"/>
  <c r="AV66" i="8"/>
  <c r="AU66" i="8"/>
  <c r="AT66" i="8"/>
  <c r="AR66" i="8"/>
  <c r="AQ66" i="8"/>
  <c r="AP66" i="8"/>
  <c r="AO66" i="8"/>
  <c r="AN66" i="8"/>
  <c r="AM66" i="8"/>
  <c r="AK66" i="8"/>
  <c r="AJ66" i="8"/>
  <c r="AI66" i="8"/>
  <c r="AH66" i="8"/>
  <c r="AG66" i="8"/>
  <c r="AE66" i="8"/>
  <c r="AD66" i="8"/>
  <c r="AC66" i="8"/>
  <c r="AB66" i="8"/>
  <c r="AA66" i="8"/>
  <c r="Z66" i="8"/>
  <c r="X66" i="8"/>
  <c r="W66" i="8"/>
  <c r="V66" i="8"/>
  <c r="U66" i="8"/>
  <c r="T66" i="8"/>
  <c r="R66" i="8"/>
  <c r="Q66" i="8"/>
  <c r="P66" i="8"/>
  <c r="O66" i="8"/>
  <c r="N66" i="8"/>
  <c r="M66" i="8"/>
  <c r="K66" i="8"/>
  <c r="J66" i="8"/>
  <c r="I66" i="8"/>
  <c r="H66" i="8"/>
  <c r="G66" i="8"/>
  <c r="E66" i="8"/>
  <c r="A66" i="8"/>
  <c r="FV65" i="8"/>
  <c r="FU65" i="8"/>
  <c r="FT65" i="8"/>
  <c r="FS65" i="8"/>
  <c r="FR65" i="8"/>
  <c r="FP65" i="8"/>
  <c r="FO65" i="8"/>
  <c r="FN65" i="8"/>
  <c r="FM65" i="8"/>
  <c r="FL65" i="8"/>
  <c r="FA65" i="8"/>
  <c r="EZ65" i="8"/>
  <c r="EY65" i="8"/>
  <c r="EX65" i="8"/>
  <c r="EW65" i="8"/>
  <c r="EV65" i="8"/>
  <c r="EU65" i="8"/>
  <c r="ET65" i="8"/>
  <c r="ES65" i="8"/>
  <c r="ER65" i="8"/>
  <c r="EQ65" i="8"/>
  <c r="EN65" i="8"/>
  <c r="EM65" i="8"/>
  <c r="EL65" i="8"/>
  <c r="EK65" i="8"/>
  <c r="EJ65" i="8"/>
  <c r="EI65" i="8"/>
  <c r="EH65" i="8"/>
  <c r="EG65" i="8"/>
  <c r="EF65" i="8"/>
  <c r="EE65" i="8"/>
  <c r="ED65" i="8"/>
  <c r="EA65" i="8"/>
  <c r="DZ65" i="8"/>
  <c r="DY65" i="8"/>
  <c r="DX65" i="8"/>
  <c r="DW65" i="8"/>
  <c r="DV65" i="8"/>
  <c r="DU65" i="8"/>
  <c r="DT65" i="8"/>
  <c r="DS65" i="8"/>
  <c r="DR65" i="8"/>
  <c r="DQ65" i="8"/>
  <c r="DP65" i="8"/>
  <c r="DN65" i="8"/>
  <c r="DM65" i="8"/>
  <c r="DL65" i="8"/>
  <c r="DK65" i="8"/>
  <c r="DJ65" i="8"/>
  <c r="DI65" i="8"/>
  <c r="DH65" i="8"/>
  <c r="DG65" i="8"/>
  <c r="DF65" i="8"/>
  <c r="DE65" i="8"/>
  <c r="DC65" i="8"/>
  <c r="DB65" i="8"/>
  <c r="DA65" i="8"/>
  <c r="CZ65" i="8"/>
  <c r="CY65" i="8"/>
  <c r="CS65" i="8"/>
  <c r="CR65" i="8"/>
  <c r="CQ65" i="8"/>
  <c r="CP65" i="8"/>
  <c r="CO65" i="8"/>
  <c r="CN65" i="8"/>
  <c r="CM65" i="8"/>
  <c r="CL65" i="8"/>
  <c r="CK65" i="8"/>
  <c r="CJ65" i="8"/>
  <c r="CI65" i="8"/>
  <c r="CH65" i="8"/>
  <c r="CG65" i="8"/>
  <c r="CF65" i="8"/>
  <c r="CC65" i="8"/>
  <c r="CB65" i="8"/>
  <c r="CA65" i="8"/>
  <c r="BZ65" i="8"/>
  <c r="BY65" i="8"/>
  <c r="BW65" i="8"/>
  <c r="BV65" i="8"/>
  <c r="BU65" i="8"/>
  <c r="BT65" i="8"/>
  <c r="BS65" i="8"/>
  <c r="BQ65" i="8"/>
  <c r="BP65" i="8"/>
  <c r="BO65" i="8"/>
  <c r="BN65" i="8"/>
  <c r="BM65" i="8"/>
  <c r="BK65" i="8"/>
  <c r="BJ65" i="8"/>
  <c r="BI65" i="8"/>
  <c r="BH65" i="8"/>
  <c r="BG65" i="8"/>
  <c r="BE65" i="8"/>
  <c r="BD65" i="8"/>
  <c r="BC65" i="8"/>
  <c r="BB65" i="8"/>
  <c r="BA65" i="8"/>
  <c r="AZ65" i="8"/>
  <c r="AX65" i="8"/>
  <c r="AW65" i="8"/>
  <c r="AV65" i="8"/>
  <c r="AU65" i="8"/>
  <c r="AT65" i="8"/>
  <c r="AR65" i="8"/>
  <c r="AQ65" i="8"/>
  <c r="AP65" i="8"/>
  <c r="AO65" i="8"/>
  <c r="AN65" i="8"/>
  <c r="AM65" i="8"/>
  <c r="AK65" i="8"/>
  <c r="AJ65" i="8"/>
  <c r="AI65" i="8"/>
  <c r="AH65" i="8"/>
  <c r="AG65" i="8"/>
  <c r="AE65" i="8"/>
  <c r="AD65" i="8"/>
  <c r="AC65" i="8"/>
  <c r="AB65" i="8"/>
  <c r="AA65" i="8"/>
  <c r="Z65" i="8"/>
  <c r="X65" i="8"/>
  <c r="W65" i="8"/>
  <c r="V65" i="8"/>
  <c r="U65" i="8"/>
  <c r="T65" i="8"/>
  <c r="R65" i="8"/>
  <c r="Q65" i="8"/>
  <c r="P65" i="8"/>
  <c r="O65" i="8"/>
  <c r="N65" i="8"/>
  <c r="M65" i="8"/>
  <c r="K65" i="8"/>
  <c r="J65" i="8"/>
  <c r="I65" i="8"/>
  <c r="H65" i="8"/>
  <c r="G65" i="8"/>
  <c r="E65" i="8"/>
  <c r="A65" i="8"/>
  <c r="C65" i="8" s="1"/>
  <c r="FV64" i="8"/>
  <c r="FU64" i="8"/>
  <c r="FT64" i="8"/>
  <c r="FS64" i="8"/>
  <c r="FR64" i="8"/>
  <c r="FP64" i="8"/>
  <c r="FO64" i="8"/>
  <c r="FN64" i="8"/>
  <c r="FM64" i="8"/>
  <c r="FL64" i="8"/>
  <c r="FA64" i="8"/>
  <c r="EZ64" i="8"/>
  <c r="EY64" i="8"/>
  <c r="EX64" i="8"/>
  <c r="EW64" i="8"/>
  <c r="EV64" i="8"/>
  <c r="EU64" i="8"/>
  <c r="ET64" i="8"/>
  <c r="ES64" i="8"/>
  <c r="ER64" i="8"/>
  <c r="EQ64" i="8"/>
  <c r="EN64" i="8"/>
  <c r="EM64" i="8"/>
  <c r="EL64" i="8"/>
  <c r="EK64" i="8"/>
  <c r="EJ64" i="8"/>
  <c r="EI64" i="8"/>
  <c r="EH64" i="8"/>
  <c r="EG64" i="8"/>
  <c r="EF64" i="8"/>
  <c r="EE64" i="8"/>
  <c r="ED64" i="8"/>
  <c r="EA64" i="8"/>
  <c r="DZ64" i="8"/>
  <c r="DY64" i="8"/>
  <c r="DX64" i="8"/>
  <c r="DW64" i="8"/>
  <c r="DV64" i="8"/>
  <c r="DU64" i="8"/>
  <c r="DT64" i="8"/>
  <c r="DS64" i="8"/>
  <c r="DR64" i="8"/>
  <c r="DQ64" i="8"/>
  <c r="DP64" i="8"/>
  <c r="DN64" i="8"/>
  <c r="DM64" i="8"/>
  <c r="DL64" i="8"/>
  <c r="DK64" i="8"/>
  <c r="DJ64" i="8"/>
  <c r="DI64" i="8"/>
  <c r="DH64" i="8"/>
  <c r="DG64" i="8"/>
  <c r="DF64" i="8"/>
  <c r="DE64" i="8"/>
  <c r="DC64" i="8"/>
  <c r="DB64" i="8"/>
  <c r="DA64" i="8"/>
  <c r="CZ64" i="8"/>
  <c r="CY64" i="8"/>
  <c r="CS64" i="8"/>
  <c r="CR64" i="8"/>
  <c r="CQ64" i="8"/>
  <c r="CP64" i="8"/>
  <c r="CO64" i="8"/>
  <c r="CN64" i="8"/>
  <c r="CM64" i="8"/>
  <c r="CL64" i="8"/>
  <c r="CK64" i="8"/>
  <c r="CJ64" i="8"/>
  <c r="CI64" i="8"/>
  <c r="CH64" i="8"/>
  <c r="CG64" i="8"/>
  <c r="CF64" i="8"/>
  <c r="CC64" i="8"/>
  <c r="CB64" i="8"/>
  <c r="CA64" i="8"/>
  <c r="BZ64" i="8"/>
  <c r="BY64" i="8"/>
  <c r="BW64" i="8"/>
  <c r="BV64" i="8"/>
  <c r="BU64" i="8"/>
  <c r="BT64" i="8"/>
  <c r="BS64" i="8"/>
  <c r="BQ64" i="8"/>
  <c r="BP64" i="8"/>
  <c r="BO64" i="8"/>
  <c r="BN64" i="8"/>
  <c r="BM64" i="8"/>
  <c r="BK64" i="8"/>
  <c r="BJ64" i="8"/>
  <c r="BI64" i="8"/>
  <c r="BH64" i="8"/>
  <c r="BG64" i="8"/>
  <c r="BE64" i="8"/>
  <c r="BD64" i="8"/>
  <c r="BC64" i="8"/>
  <c r="BB64" i="8"/>
  <c r="BA64" i="8"/>
  <c r="AZ64" i="8"/>
  <c r="AX64" i="8"/>
  <c r="AW64" i="8"/>
  <c r="AV64" i="8"/>
  <c r="AU64" i="8"/>
  <c r="AT64" i="8"/>
  <c r="AR64" i="8"/>
  <c r="AQ64" i="8"/>
  <c r="AP64" i="8"/>
  <c r="AO64" i="8"/>
  <c r="AN64" i="8"/>
  <c r="AM64" i="8"/>
  <c r="AK64" i="8"/>
  <c r="AJ64" i="8"/>
  <c r="AI64" i="8"/>
  <c r="AH64" i="8"/>
  <c r="AG64" i="8"/>
  <c r="AE64" i="8"/>
  <c r="AD64" i="8"/>
  <c r="AC64" i="8"/>
  <c r="AB64" i="8"/>
  <c r="AA64" i="8"/>
  <c r="Z64" i="8"/>
  <c r="X64" i="8"/>
  <c r="W64" i="8"/>
  <c r="V64" i="8"/>
  <c r="U64" i="8"/>
  <c r="T64" i="8"/>
  <c r="R64" i="8"/>
  <c r="Q64" i="8"/>
  <c r="P64" i="8"/>
  <c r="O64" i="8"/>
  <c r="N64" i="8"/>
  <c r="M64" i="8"/>
  <c r="K64" i="8"/>
  <c r="J64" i="8"/>
  <c r="I64" i="8"/>
  <c r="H64" i="8"/>
  <c r="G64" i="8"/>
  <c r="E64" i="8"/>
  <c r="A64" i="8"/>
  <c r="C64" i="8" s="1"/>
  <c r="FV63" i="8"/>
  <c r="FU63" i="8"/>
  <c r="FT63" i="8"/>
  <c r="FS63" i="8"/>
  <c r="FR63" i="8"/>
  <c r="FP63" i="8"/>
  <c r="FO63" i="8"/>
  <c r="FN63" i="8"/>
  <c r="FM63" i="8"/>
  <c r="FL63" i="8"/>
  <c r="FA63" i="8"/>
  <c r="EZ63" i="8"/>
  <c r="EY63" i="8"/>
  <c r="EX63" i="8"/>
  <c r="EW63" i="8"/>
  <c r="EV63" i="8"/>
  <c r="EU63" i="8"/>
  <c r="ET63" i="8"/>
  <c r="ES63" i="8"/>
  <c r="ER63" i="8"/>
  <c r="EQ63" i="8"/>
  <c r="EN63" i="8"/>
  <c r="EM63" i="8"/>
  <c r="EL63" i="8"/>
  <c r="EK63" i="8"/>
  <c r="EJ63" i="8"/>
  <c r="EI63" i="8"/>
  <c r="EH63" i="8"/>
  <c r="EG63" i="8"/>
  <c r="EF63" i="8"/>
  <c r="EE63" i="8"/>
  <c r="ED63" i="8"/>
  <c r="EA63" i="8"/>
  <c r="DZ63" i="8"/>
  <c r="DY63" i="8"/>
  <c r="DX63" i="8"/>
  <c r="DW63" i="8"/>
  <c r="DV63" i="8"/>
  <c r="DU63" i="8"/>
  <c r="DT63" i="8"/>
  <c r="DS63" i="8"/>
  <c r="DR63" i="8"/>
  <c r="DQ63" i="8"/>
  <c r="DP63" i="8"/>
  <c r="DN63" i="8"/>
  <c r="DM63" i="8"/>
  <c r="DL63" i="8"/>
  <c r="DK63" i="8"/>
  <c r="DJ63" i="8"/>
  <c r="DI63" i="8"/>
  <c r="DH63" i="8"/>
  <c r="DG63" i="8"/>
  <c r="DF63" i="8"/>
  <c r="DE63" i="8"/>
  <c r="DC63" i="8"/>
  <c r="DB63" i="8"/>
  <c r="DA63" i="8"/>
  <c r="CZ63" i="8"/>
  <c r="CY63" i="8"/>
  <c r="CS63" i="8"/>
  <c r="CR63" i="8"/>
  <c r="CQ63" i="8"/>
  <c r="CP63" i="8"/>
  <c r="CO63" i="8"/>
  <c r="CN63" i="8"/>
  <c r="CM63" i="8"/>
  <c r="CL63" i="8"/>
  <c r="CK63" i="8"/>
  <c r="CJ63" i="8"/>
  <c r="CI63" i="8"/>
  <c r="CH63" i="8"/>
  <c r="CG63" i="8"/>
  <c r="CF63" i="8"/>
  <c r="CC63" i="8"/>
  <c r="CB63" i="8"/>
  <c r="CA63" i="8"/>
  <c r="BZ63" i="8"/>
  <c r="BY63" i="8"/>
  <c r="BW63" i="8"/>
  <c r="BV63" i="8"/>
  <c r="BU63" i="8"/>
  <c r="BT63" i="8"/>
  <c r="BS63" i="8"/>
  <c r="BQ63" i="8"/>
  <c r="BP63" i="8"/>
  <c r="BO63" i="8"/>
  <c r="BN63" i="8"/>
  <c r="BM63" i="8"/>
  <c r="BK63" i="8"/>
  <c r="BJ63" i="8"/>
  <c r="BI63" i="8"/>
  <c r="BH63" i="8"/>
  <c r="BG63" i="8"/>
  <c r="BE63" i="8"/>
  <c r="BD63" i="8"/>
  <c r="BC63" i="8"/>
  <c r="BB63" i="8"/>
  <c r="BA63" i="8"/>
  <c r="AZ63" i="8"/>
  <c r="AX63" i="8"/>
  <c r="AW63" i="8"/>
  <c r="AV63" i="8"/>
  <c r="AU63" i="8"/>
  <c r="AT63" i="8"/>
  <c r="AR63" i="8"/>
  <c r="AQ63" i="8"/>
  <c r="AP63" i="8"/>
  <c r="AO63" i="8"/>
  <c r="AN63" i="8"/>
  <c r="AM63" i="8"/>
  <c r="AK63" i="8"/>
  <c r="AJ63" i="8"/>
  <c r="AI63" i="8"/>
  <c r="AH63" i="8"/>
  <c r="AG63" i="8"/>
  <c r="AE63" i="8"/>
  <c r="AD63" i="8"/>
  <c r="AC63" i="8"/>
  <c r="AB63" i="8"/>
  <c r="AA63" i="8"/>
  <c r="Z63" i="8"/>
  <c r="X63" i="8"/>
  <c r="W63" i="8"/>
  <c r="V63" i="8"/>
  <c r="U63" i="8"/>
  <c r="T63" i="8"/>
  <c r="R63" i="8"/>
  <c r="Q63" i="8"/>
  <c r="P63" i="8"/>
  <c r="O63" i="8"/>
  <c r="N63" i="8"/>
  <c r="M63" i="8"/>
  <c r="K63" i="8"/>
  <c r="J63" i="8"/>
  <c r="I63" i="8"/>
  <c r="H63" i="8"/>
  <c r="G63" i="8"/>
  <c r="E63" i="8"/>
  <c r="A63" i="8"/>
  <c r="C63" i="8" s="1"/>
  <c r="FV62" i="8"/>
  <c r="FU62" i="8"/>
  <c r="FT62" i="8"/>
  <c r="FS62" i="8"/>
  <c r="FR62" i="8"/>
  <c r="FP62" i="8"/>
  <c r="FO62" i="8"/>
  <c r="FN62" i="8"/>
  <c r="FM62" i="8"/>
  <c r="FL62" i="8"/>
  <c r="FA62" i="8"/>
  <c r="EZ62" i="8"/>
  <c r="EY62" i="8"/>
  <c r="EX62" i="8"/>
  <c r="EW62" i="8"/>
  <c r="EV62" i="8"/>
  <c r="EU62" i="8"/>
  <c r="ET62" i="8"/>
  <c r="ES62" i="8"/>
  <c r="ER62" i="8"/>
  <c r="EQ62" i="8"/>
  <c r="EN62" i="8"/>
  <c r="EM62" i="8"/>
  <c r="EL62" i="8"/>
  <c r="EK62" i="8"/>
  <c r="EJ62" i="8"/>
  <c r="EI62" i="8"/>
  <c r="EH62" i="8"/>
  <c r="EG62" i="8"/>
  <c r="EF62" i="8"/>
  <c r="EE62" i="8"/>
  <c r="ED62" i="8"/>
  <c r="EA62" i="8"/>
  <c r="DZ62" i="8"/>
  <c r="DY62" i="8"/>
  <c r="DX62" i="8"/>
  <c r="DW62" i="8"/>
  <c r="DV62" i="8"/>
  <c r="DU62" i="8"/>
  <c r="DT62" i="8"/>
  <c r="DS62" i="8"/>
  <c r="DR62" i="8"/>
  <c r="DQ62" i="8"/>
  <c r="DP62" i="8"/>
  <c r="DN62" i="8"/>
  <c r="DM62" i="8"/>
  <c r="DL62" i="8"/>
  <c r="DK62" i="8"/>
  <c r="DJ62" i="8"/>
  <c r="DI62" i="8"/>
  <c r="DH62" i="8"/>
  <c r="DG62" i="8"/>
  <c r="DF62" i="8"/>
  <c r="DE62" i="8"/>
  <c r="DC62" i="8"/>
  <c r="DB62" i="8"/>
  <c r="DA62" i="8"/>
  <c r="CZ62" i="8"/>
  <c r="CY62" i="8"/>
  <c r="CS62" i="8"/>
  <c r="CR62" i="8"/>
  <c r="CQ62" i="8"/>
  <c r="CP62" i="8"/>
  <c r="CO62" i="8"/>
  <c r="CN62" i="8"/>
  <c r="CM62" i="8"/>
  <c r="CL62" i="8"/>
  <c r="CK62" i="8"/>
  <c r="CJ62" i="8"/>
  <c r="CI62" i="8"/>
  <c r="CH62" i="8"/>
  <c r="CG62" i="8"/>
  <c r="CF62" i="8"/>
  <c r="CC62" i="8"/>
  <c r="CB62" i="8"/>
  <c r="CA62" i="8"/>
  <c r="BZ62" i="8"/>
  <c r="BY62" i="8"/>
  <c r="BW62" i="8"/>
  <c r="BV62" i="8"/>
  <c r="BU62" i="8"/>
  <c r="BT62" i="8"/>
  <c r="BS62" i="8"/>
  <c r="BQ62" i="8"/>
  <c r="BP62" i="8"/>
  <c r="BO62" i="8"/>
  <c r="BN62" i="8"/>
  <c r="BM62" i="8"/>
  <c r="BK62" i="8"/>
  <c r="BJ62" i="8"/>
  <c r="BI62" i="8"/>
  <c r="BH62" i="8"/>
  <c r="BG62" i="8"/>
  <c r="BE62" i="8"/>
  <c r="BD62" i="8"/>
  <c r="BC62" i="8"/>
  <c r="BB62" i="8"/>
  <c r="BA62" i="8"/>
  <c r="AZ62" i="8"/>
  <c r="AX62" i="8"/>
  <c r="AW62" i="8"/>
  <c r="AV62" i="8"/>
  <c r="AU62" i="8"/>
  <c r="AT62" i="8"/>
  <c r="AR62" i="8"/>
  <c r="AQ62" i="8"/>
  <c r="AP62" i="8"/>
  <c r="AO62" i="8"/>
  <c r="AN62" i="8"/>
  <c r="AM62" i="8"/>
  <c r="AK62" i="8"/>
  <c r="AJ62" i="8"/>
  <c r="AI62" i="8"/>
  <c r="AH62" i="8"/>
  <c r="AG62" i="8"/>
  <c r="AE62" i="8"/>
  <c r="AD62" i="8"/>
  <c r="AC62" i="8"/>
  <c r="AB62" i="8"/>
  <c r="AA62" i="8"/>
  <c r="Z62" i="8"/>
  <c r="X62" i="8"/>
  <c r="W62" i="8"/>
  <c r="V62" i="8"/>
  <c r="U62" i="8"/>
  <c r="T62" i="8"/>
  <c r="R62" i="8"/>
  <c r="Q62" i="8"/>
  <c r="P62" i="8"/>
  <c r="O62" i="8"/>
  <c r="N62" i="8"/>
  <c r="M62" i="8"/>
  <c r="K62" i="8"/>
  <c r="J62" i="8"/>
  <c r="I62" i="8"/>
  <c r="H62" i="8"/>
  <c r="G62" i="8"/>
  <c r="E62" i="8"/>
  <c r="A62" i="8"/>
  <c r="C62" i="8" s="1"/>
  <c r="FV61" i="8"/>
  <c r="FU61" i="8"/>
  <c r="FT61" i="8"/>
  <c r="FS61" i="8"/>
  <c r="FR61" i="8"/>
  <c r="FP61" i="8"/>
  <c r="FO61" i="8"/>
  <c r="FN61" i="8"/>
  <c r="FM61" i="8"/>
  <c r="FL61" i="8"/>
  <c r="FA61" i="8"/>
  <c r="EZ61" i="8"/>
  <c r="EY61" i="8"/>
  <c r="EX61" i="8"/>
  <c r="EW61" i="8"/>
  <c r="EV61" i="8"/>
  <c r="EU61" i="8"/>
  <c r="ET61" i="8"/>
  <c r="ES61" i="8"/>
  <c r="ER61" i="8"/>
  <c r="EQ61" i="8"/>
  <c r="EN61" i="8"/>
  <c r="EM61" i="8"/>
  <c r="EL61" i="8"/>
  <c r="EK61" i="8"/>
  <c r="EJ61" i="8"/>
  <c r="EI61" i="8"/>
  <c r="EH61" i="8"/>
  <c r="EG61" i="8"/>
  <c r="EF61" i="8"/>
  <c r="EE61" i="8"/>
  <c r="ED61" i="8"/>
  <c r="EA61" i="8"/>
  <c r="DZ61" i="8"/>
  <c r="DY61" i="8"/>
  <c r="DX61" i="8"/>
  <c r="DW61" i="8"/>
  <c r="DV61" i="8"/>
  <c r="DU61" i="8"/>
  <c r="DT61" i="8"/>
  <c r="DS61" i="8"/>
  <c r="DR61" i="8"/>
  <c r="DQ61" i="8"/>
  <c r="DP61" i="8"/>
  <c r="DN61" i="8"/>
  <c r="DM61" i="8"/>
  <c r="DL61" i="8"/>
  <c r="DK61" i="8"/>
  <c r="DJ61" i="8"/>
  <c r="DI61" i="8"/>
  <c r="DH61" i="8"/>
  <c r="DG61" i="8"/>
  <c r="DF61" i="8"/>
  <c r="DE61" i="8"/>
  <c r="DC61" i="8"/>
  <c r="DB61" i="8"/>
  <c r="DA61" i="8"/>
  <c r="CZ61" i="8"/>
  <c r="CY61" i="8"/>
  <c r="CS61" i="8"/>
  <c r="CR61" i="8"/>
  <c r="CQ61" i="8"/>
  <c r="CP61" i="8"/>
  <c r="CO61" i="8"/>
  <c r="CN61" i="8"/>
  <c r="CM61" i="8"/>
  <c r="CL61" i="8"/>
  <c r="CK61" i="8"/>
  <c r="CJ61" i="8"/>
  <c r="CI61" i="8"/>
  <c r="CH61" i="8"/>
  <c r="CG61" i="8"/>
  <c r="CF61" i="8"/>
  <c r="CC61" i="8"/>
  <c r="CB61" i="8"/>
  <c r="CA61" i="8"/>
  <c r="BZ61" i="8"/>
  <c r="BY61" i="8"/>
  <c r="BW61" i="8"/>
  <c r="BV61" i="8"/>
  <c r="BU61" i="8"/>
  <c r="BT61" i="8"/>
  <c r="BS61" i="8"/>
  <c r="BQ61" i="8"/>
  <c r="BP61" i="8"/>
  <c r="BO61" i="8"/>
  <c r="BN61" i="8"/>
  <c r="BM61" i="8"/>
  <c r="BK61" i="8"/>
  <c r="BJ61" i="8"/>
  <c r="BI61" i="8"/>
  <c r="BH61" i="8"/>
  <c r="BG61" i="8"/>
  <c r="BE61" i="8"/>
  <c r="BD61" i="8"/>
  <c r="BC61" i="8"/>
  <c r="BB61" i="8"/>
  <c r="BA61" i="8"/>
  <c r="AZ61" i="8"/>
  <c r="AX61" i="8"/>
  <c r="AW61" i="8"/>
  <c r="AV61" i="8"/>
  <c r="AU61" i="8"/>
  <c r="AT61" i="8"/>
  <c r="AR61" i="8"/>
  <c r="AQ61" i="8"/>
  <c r="AP61" i="8"/>
  <c r="AO61" i="8"/>
  <c r="AN61" i="8"/>
  <c r="AM61" i="8"/>
  <c r="AK61" i="8"/>
  <c r="AJ61" i="8"/>
  <c r="AI61" i="8"/>
  <c r="AH61" i="8"/>
  <c r="AG61" i="8"/>
  <c r="AE61" i="8"/>
  <c r="AD61" i="8"/>
  <c r="AC61" i="8"/>
  <c r="AB61" i="8"/>
  <c r="AA61" i="8"/>
  <c r="Z61" i="8"/>
  <c r="X61" i="8"/>
  <c r="W61" i="8"/>
  <c r="V61" i="8"/>
  <c r="U61" i="8"/>
  <c r="T61" i="8"/>
  <c r="R61" i="8"/>
  <c r="Q61" i="8"/>
  <c r="P61" i="8"/>
  <c r="O61" i="8"/>
  <c r="N61" i="8"/>
  <c r="M61" i="8"/>
  <c r="K61" i="8"/>
  <c r="J61" i="8"/>
  <c r="I61" i="8"/>
  <c r="H61" i="8"/>
  <c r="G61" i="8"/>
  <c r="E61" i="8"/>
  <c r="A61" i="8"/>
  <c r="C61" i="8" s="1"/>
  <c r="FV60" i="8"/>
  <c r="FU60" i="8"/>
  <c r="FT60" i="8"/>
  <c r="FS60" i="8"/>
  <c r="FR60" i="8"/>
  <c r="FP60" i="8"/>
  <c r="FO60" i="8"/>
  <c r="FN60" i="8"/>
  <c r="FM60" i="8"/>
  <c r="FL60" i="8"/>
  <c r="FA60" i="8"/>
  <c r="EZ60" i="8"/>
  <c r="EY60" i="8"/>
  <c r="EX60" i="8"/>
  <c r="EW60" i="8"/>
  <c r="EV60" i="8"/>
  <c r="EU60" i="8"/>
  <c r="ET60" i="8"/>
  <c r="ES60" i="8"/>
  <c r="ER60" i="8"/>
  <c r="EQ60" i="8"/>
  <c r="EN60" i="8"/>
  <c r="EM60" i="8"/>
  <c r="EL60" i="8"/>
  <c r="EK60" i="8"/>
  <c r="EJ60" i="8"/>
  <c r="EI60" i="8"/>
  <c r="EH60" i="8"/>
  <c r="EG60" i="8"/>
  <c r="EF60" i="8"/>
  <c r="EE60" i="8"/>
  <c r="ED60" i="8"/>
  <c r="EA60" i="8"/>
  <c r="DZ60" i="8"/>
  <c r="DY60" i="8"/>
  <c r="DX60" i="8"/>
  <c r="DW60" i="8"/>
  <c r="DV60" i="8"/>
  <c r="DU60" i="8"/>
  <c r="DT60" i="8"/>
  <c r="DS60" i="8"/>
  <c r="DR60" i="8"/>
  <c r="DQ60" i="8"/>
  <c r="DP60" i="8"/>
  <c r="DN60" i="8"/>
  <c r="DM60" i="8"/>
  <c r="DL60" i="8"/>
  <c r="DK60" i="8"/>
  <c r="DJ60" i="8"/>
  <c r="DI60" i="8"/>
  <c r="DH60" i="8"/>
  <c r="DG60" i="8"/>
  <c r="DF60" i="8"/>
  <c r="DE60" i="8"/>
  <c r="DC60" i="8"/>
  <c r="DB60" i="8"/>
  <c r="DA60" i="8"/>
  <c r="CZ60" i="8"/>
  <c r="CY60" i="8"/>
  <c r="CS60" i="8"/>
  <c r="CR60" i="8"/>
  <c r="CQ60" i="8"/>
  <c r="CP60" i="8"/>
  <c r="CO60" i="8"/>
  <c r="CN60" i="8"/>
  <c r="CM60" i="8"/>
  <c r="CL60" i="8"/>
  <c r="CK60" i="8"/>
  <c r="CJ60" i="8"/>
  <c r="CI60" i="8"/>
  <c r="CH60" i="8"/>
  <c r="CG60" i="8"/>
  <c r="CF60" i="8"/>
  <c r="CC60" i="8"/>
  <c r="CB60" i="8"/>
  <c r="CA60" i="8"/>
  <c r="BZ60" i="8"/>
  <c r="BY60" i="8"/>
  <c r="BW60" i="8"/>
  <c r="BV60" i="8"/>
  <c r="BU60" i="8"/>
  <c r="BT60" i="8"/>
  <c r="BS60" i="8"/>
  <c r="BQ60" i="8"/>
  <c r="BP60" i="8"/>
  <c r="BO60" i="8"/>
  <c r="BN60" i="8"/>
  <c r="BM60" i="8"/>
  <c r="BK60" i="8"/>
  <c r="BJ60" i="8"/>
  <c r="BI60" i="8"/>
  <c r="BH60" i="8"/>
  <c r="BG60" i="8"/>
  <c r="BE60" i="8"/>
  <c r="BD60" i="8"/>
  <c r="BC60" i="8"/>
  <c r="BB60" i="8"/>
  <c r="BA60" i="8"/>
  <c r="AZ60" i="8"/>
  <c r="AX60" i="8"/>
  <c r="AW60" i="8"/>
  <c r="AV60" i="8"/>
  <c r="AU60" i="8"/>
  <c r="AT60" i="8"/>
  <c r="AR60" i="8"/>
  <c r="AQ60" i="8"/>
  <c r="AP60" i="8"/>
  <c r="AO60" i="8"/>
  <c r="AN60" i="8"/>
  <c r="AM60" i="8"/>
  <c r="AK60" i="8"/>
  <c r="AJ60" i="8"/>
  <c r="AI60" i="8"/>
  <c r="AH60" i="8"/>
  <c r="AG60" i="8"/>
  <c r="AE60" i="8"/>
  <c r="AD60" i="8"/>
  <c r="AC60" i="8"/>
  <c r="AB60" i="8"/>
  <c r="AA60" i="8"/>
  <c r="Z60" i="8"/>
  <c r="X60" i="8"/>
  <c r="W60" i="8"/>
  <c r="V60" i="8"/>
  <c r="U60" i="8"/>
  <c r="T60" i="8"/>
  <c r="R60" i="8"/>
  <c r="Q60" i="8"/>
  <c r="P60" i="8"/>
  <c r="O60" i="8"/>
  <c r="N60" i="8"/>
  <c r="M60" i="8"/>
  <c r="K60" i="8"/>
  <c r="J60" i="8"/>
  <c r="I60" i="8"/>
  <c r="H60" i="8"/>
  <c r="G60" i="8"/>
  <c r="E60" i="8"/>
  <c r="A60" i="8"/>
  <c r="C60" i="8" s="1"/>
  <c r="FV59" i="8"/>
  <c r="FU59" i="8"/>
  <c r="FT59" i="8"/>
  <c r="FS59" i="8"/>
  <c r="FR59" i="8"/>
  <c r="FP59" i="8"/>
  <c r="FO59" i="8"/>
  <c r="FN59" i="8"/>
  <c r="FM59" i="8"/>
  <c r="FL59" i="8"/>
  <c r="FA59" i="8"/>
  <c r="EZ59" i="8"/>
  <c r="EY59" i="8"/>
  <c r="EX59" i="8"/>
  <c r="EW59" i="8"/>
  <c r="EV59" i="8"/>
  <c r="EU59" i="8"/>
  <c r="ET59" i="8"/>
  <c r="ES59" i="8"/>
  <c r="ER59" i="8"/>
  <c r="EQ59" i="8"/>
  <c r="EN59" i="8"/>
  <c r="EM59" i="8"/>
  <c r="EL59" i="8"/>
  <c r="EK59" i="8"/>
  <c r="EJ59" i="8"/>
  <c r="EI59" i="8"/>
  <c r="EH59" i="8"/>
  <c r="EG59" i="8"/>
  <c r="EF59" i="8"/>
  <c r="EE59" i="8"/>
  <c r="ED59" i="8"/>
  <c r="EA59" i="8"/>
  <c r="DZ59" i="8"/>
  <c r="DY59" i="8"/>
  <c r="DX59" i="8"/>
  <c r="DW59" i="8"/>
  <c r="DV59" i="8"/>
  <c r="DU59" i="8"/>
  <c r="DT59" i="8"/>
  <c r="DS59" i="8"/>
  <c r="DR59" i="8"/>
  <c r="DQ59" i="8"/>
  <c r="DP59" i="8"/>
  <c r="DN59" i="8"/>
  <c r="DM59" i="8"/>
  <c r="DL59" i="8"/>
  <c r="DK59" i="8"/>
  <c r="DJ59" i="8"/>
  <c r="DI59" i="8"/>
  <c r="DH59" i="8"/>
  <c r="DG59" i="8"/>
  <c r="DF59" i="8"/>
  <c r="DE59" i="8"/>
  <c r="DC59" i="8"/>
  <c r="DB59" i="8"/>
  <c r="DA59" i="8"/>
  <c r="CZ59" i="8"/>
  <c r="CY59" i="8"/>
  <c r="CS59" i="8"/>
  <c r="CR59" i="8"/>
  <c r="CQ59" i="8"/>
  <c r="CP59" i="8"/>
  <c r="CO59" i="8"/>
  <c r="CN59" i="8"/>
  <c r="CM59" i="8"/>
  <c r="CL59" i="8"/>
  <c r="CK59" i="8"/>
  <c r="CJ59" i="8"/>
  <c r="CI59" i="8"/>
  <c r="CH59" i="8"/>
  <c r="CG59" i="8"/>
  <c r="CF59" i="8"/>
  <c r="CC59" i="8"/>
  <c r="CB59" i="8"/>
  <c r="CA59" i="8"/>
  <c r="BZ59" i="8"/>
  <c r="BY59" i="8"/>
  <c r="BW59" i="8"/>
  <c r="BV59" i="8"/>
  <c r="BU59" i="8"/>
  <c r="BT59" i="8"/>
  <c r="BS59" i="8"/>
  <c r="BQ59" i="8"/>
  <c r="BP59" i="8"/>
  <c r="BO59" i="8"/>
  <c r="BN59" i="8"/>
  <c r="BM59" i="8"/>
  <c r="BK59" i="8"/>
  <c r="BJ59" i="8"/>
  <c r="BI59" i="8"/>
  <c r="BH59" i="8"/>
  <c r="BG59" i="8"/>
  <c r="BE59" i="8"/>
  <c r="BD59" i="8"/>
  <c r="BC59" i="8"/>
  <c r="BB59" i="8"/>
  <c r="BA59" i="8"/>
  <c r="AZ59" i="8"/>
  <c r="AX59" i="8"/>
  <c r="AW59" i="8"/>
  <c r="AV59" i="8"/>
  <c r="AU59" i="8"/>
  <c r="AT59" i="8"/>
  <c r="AR59" i="8"/>
  <c r="AQ59" i="8"/>
  <c r="AP59" i="8"/>
  <c r="AO59" i="8"/>
  <c r="AN59" i="8"/>
  <c r="AM59" i="8"/>
  <c r="AK59" i="8"/>
  <c r="AJ59" i="8"/>
  <c r="AI59" i="8"/>
  <c r="AH59" i="8"/>
  <c r="AG59" i="8"/>
  <c r="AE59" i="8"/>
  <c r="AD59" i="8"/>
  <c r="AC59" i="8"/>
  <c r="AB59" i="8"/>
  <c r="AA59" i="8"/>
  <c r="Z59" i="8"/>
  <c r="X59" i="8"/>
  <c r="W59" i="8"/>
  <c r="V59" i="8"/>
  <c r="U59" i="8"/>
  <c r="T59" i="8"/>
  <c r="R59" i="8"/>
  <c r="Q59" i="8"/>
  <c r="P59" i="8"/>
  <c r="O59" i="8"/>
  <c r="N59" i="8"/>
  <c r="M59" i="8"/>
  <c r="K59" i="8"/>
  <c r="J59" i="8"/>
  <c r="I59" i="8"/>
  <c r="H59" i="8"/>
  <c r="G59" i="8"/>
  <c r="E59" i="8"/>
  <c r="A59" i="8"/>
  <c r="C59" i="8" s="1"/>
  <c r="FV58" i="8"/>
  <c r="FU58" i="8"/>
  <c r="FT58" i="8"/>
  <c r="FS58" i="8"/>
  <c r="FR58" i="8"/>
  <c r="FP58" i="8"/>
  <c r="FO58" i="8"/>
  <c r="FN58" i="8"/>
  <c r="FM58" i="8"/>
  <c r="FL58" i="8"/>
  <c r="FA58" i="8"/>
  <c r="EZ58" i="8"/>
  <c r="EY58" i="8"/>
  <c r="EX58" i="8"/>
  <c r="EW58" i="8"/>
  <c r="EV58" i="8"/>
  <c r="EU58" i="8"/>
  <c r="ET58" i="8"/>
  <c r="ES58" i="8"/>
  <c r="ER58" i="8"/>
  <c r="EQ58" i="8"/>
  <c r="EN58" i="8"/>
  <c r="EM58" i="8"/>
  <c r="EL58" i="8"/>
  <c r="EK58" i="8"/>
  <c r="EJ58" i="8"/>
  <c r="EI58" i="8"/>
  <c r="EH58" i="8"/>
  <c r="EG58" i="8"/>
  <c r="EF58" i="8"/>
  <c r="EE58" i="8"/>
  <c r="ED58" i="8"/>
  <c r="EA58" i="8"/>
  <c r="DZ58" i="8"/>
  <c r="DY58" i="8"/>
  <c r="DX58" i="8"/>
  <c r="DW58" i="8"/>
  <c r="DV58" i="8"/>
  <c r="DU58" i="8"/>
  <c r="DT58" i="8"/>
  <c r="DS58" i="8"/>
  <c r="DR58" i="8"/>
  <c r="DQ58" i="8"/>
  <c r="DP58" i="8"/>
  <c r="DN58" i="8"/>
  <c r="DM58" i="8"/>
  <c r="DL58" i="8"/>
  <c r="DK58" i="8"/>
  <c r="DJ58" i="8"/>
  <c r="DI58" i="8"/>
  <c r="DH58" i="8"/>
  <c r="DG58" i="8"/>
  <c r="DF58" i="8"/>
  <c r="DE58" i="8"/>
  <c r="DC58" i="8"/>
  <c r="DB58" i="8"/>
  <c r="DA58" i="8"/>
  <c r="CZ58" i="8"/>
  <c r="CY58" i="8"/>
  <c r="CS58" i="8"/>
  <c r="CR58" i="8"/>
  <c r="CQ58" i="8"/>
  <c r="CP58" i="8"/>
  <c r="CO58" i="8"/>
  <c r="CN58" i="8"/>
  <c r="CM58" i="8"/>
  <c r="CL58" i="8"/>
  <c r="CK58" i="8"/>
  <c r="CJ58" i="8"/>
  <c r="CI58" i="8"/>
  <c r="CH58" i="8"/>
  <c r="CG58" i="8"/>
  <c r="CF58" i="8"/>
  <c r="CC58" i="8"/>
  <c r="CB58" i="8"/>
  <c r="CA58" i="8"/>
  <c r="BZ58" i="8"/>
  <c r="BY58" i="8"/>
  <c r="BW58" i="8"/>
  <c r="BV58" i="8"/>
  <c r="BU58" i="8"/>
  <c r="BT58" i="8"/>
  <c r="BS58" i="8"/>
  <c r="BQ58" i="8"/>
  <c r="BP58" i="8"/>
  <c r="BO58" i="8"/>
  <c r="BN58" i="8"/>
  <c r="BM58" i="8"/>
  <c r="BK58" i="8"/>
  <c r="BJ58" i="8"/>
  <c r="BI58" i="8"/>
  <c r="BH58" i="8"/>
  <c r="BG58" i="8"/>
  <c r="BE58" i="8"/>
  <c r="BD58" i="8"/>
  <c r="BC58" i="8"/>
  <c r="BB58" i="8"/>
  <c r="BA58" i="8"/>
  <c r="AZ58" i="8"/>
  <c r="AX58" i="8"/>
  <c r="AW58" i="8"/>
  <c r="AV58" i="8"/>
  <c r="AU58" i="8"/>
  <c r="AT58" i="8"/>
  <c r="AR58" i="8"/>
  <c r="AQ58" i="8"/>
  <c r="AP58" i="8"/>
  <c r="AO58" i="8"/>
  <c r="AN58" i="8"/>
  <c r="AM58" i="8"/>
  <c r="AK58" i="8"/>
  <c r="AJ58" i="8"/>
  <c r="AI58" i="8"/>
  <c r="AH58" i="8"/>
  <c r="AG58" i="8"/>
  <c r="AE58" i="8"/>
  <c r="AD58" i="8"/>
  <c r="AC58" i="8"/>
  <c r="AB58" i="8"/>
  <c r="AA58" i="8"/>
  <c r="Z58" i="8"/>
  <c r="X58" i="8"/>
  <c r="W58" i="8"/>
  <c r="V58" i="8"/>
  <c r="U58" i="8"/>
  <c r="T58" i="8"/>
  <c r="R58" i="8"/>
  <c r="Q58" i="8"/>
  <c r="P58" i="8"/>
  <c r="O58" i="8"/>
  <c r="N58" i="8"/>
  <c r="M58" i="8"/>
  <c r="K58" i="8"/>
  <c r="J58" i="8"/>
  <c r="I58" i="8"/>
  <c r="H58" i="8"/>
  <c r="G58" i="8"/>
  <c r="E58" i="8"/>
  <c r="A58" i="8"/>
  <c r="C58" i="8" s="1"/>
  <c r="FV57" i="8"/>
  <c r="FU57" i="8"/>
  <c r="FT57" i="8"/>
  <c r="FS57" i="8"/>
  <c r="FR57" i="8"/>
  <c r="FP57" i="8"/>
  <c r="FO57" i="8"/>
  <c r="FN57" i="8"/>
  <c r="FM57" i="8"/>
  <c r="FL57" i="8"/>
  <c r="FA57" i="8"/>
  <c r="EZ57" i="8"/>
  <c r="EY57" i="8"/>
  <c r="EX57" i="8"/>
  <c r="EW57" i="8"/>
  <c r="EV57" i="8"/>
  <c r="EU57" i="8"/>
  <c r="ET57" i="8"/>
  <c r="ES57" i="8"/>
  <c r="ER57" i="8"/>
  <c r="EQ57" i="8"/>
  <c r="EN57" i="8"/>
  <c r="EM57" i="8"/>
  <c r="EL57" i="8"/>
  <c r="EK57" i="8"/>
  <c r="EJ57" i="8"/>
  <c r="EI57" i="8"/>
  <c r="EH57" i="8"/>
  <c r="EG57" i="8"/>
  <c r="EF57" i="8"/>
  <c r="EE57" i="8"/>
  <c r="ED57" i="8"/>
  <c r="EA57" i="8"/>
  <c r="DZ57" i="8"/>
  <c r="DY57" i="8"/>
  <c r="DX57" i="8"/>
  <c r="DW57" i="8"/>
  <c r="DV57" i="8"/>
  <c r="DU57" i="8"/>
  <c r="DT57" i="8"/>
  <c r="DS57" i="8"/>
  <c r="DR57" i="8"/>
  <c r="DQ57" i="8"/>
  <c r="DP57" i="8"/>
  <c r="DN57" i="8"/>
  <c r="DM57" i="8"/>
  <c r="DL57" i="8"/>
  <c r="DK57" i="8"/>
  <c r="DJ57" i="8"/>
  <c r="DI57" i="8"/>
  <c r="DH57" i="8"/>
  <c r="DG57" i="8"/>
  <c r="DF57" i="8"/>
  <c r="DE57" i="8"/>
  <c r="DC57" i="8"/>
  <c r="DB57" i="8"/>
  <c r="DA57" i="8"/>
  <c r="CZ57" i="8"/>
  <c r="CY57" i="8"/>
  <c r="CS57" i="8"/>
  <c r="CR57" i="8"/>
  <c r="CQ57" i="8"/>
  <c r="CP57" i="8"/>
  <c r="CO57" i="8"/>
  <c r="CN57" i="8"/>
  <c r="CM57" i="8"/>
  <c r="CL57" i="8"/>
  <c r="CK57" i="8"/>
  <c r="CJ57" i="8"/>
  <c r="CI57" i="8"/>
  <c r="CH57" i="8"/>
  <c r="CG57" i="8"/>
  <c r="CF57" i="8"/>
  <c r="CC57" i="8"/>
  <c r="CB57" i="8"/>
  <c r="CA57" i="8"/>
  <c r="BZ57" i="8"/>
  <c r="BY57" i="8"/>
  <c r="BW57" i="8"/>
  <c r="BV57" i="8"/>
  <c r="BU57" i="8"/>
  <c r="BT57" i="8"/>
  <c r="BS57" i="8"/>
  <c r="BQ57" i="8"/>
  <c r="BP57" i="8"/>
  <c r="BO57" i="8"/>
  <c r="BN57" i="8"/>
  <c r="BM57" i="8"/>
  <c r="BK57" i="8"/>
  <c r="BJ57" i="8"/>
  <c r="BI57" i="8"/>
  <c r="BH57" i="8"/>
  <c r="BG57" i="8"/>
  <c r="BE57" i="8"/>
  <c r="BD57" i="8"/>
  <c r="BC57" i="8"/>
  <c r="BB57" i="8"/>
  <c r="BA57" i="8"/>
  <c r="AZ57" i="8"/>
  <c r="AX57" i="8"/>
  <c r="AW57" i="8"/>
  <c r="AV57" i="8"/>
  <c r="AU57" i="8"/>
  <c r="AT57" i="8"/>
  <c r="AR57" i="8"/>
  <c r="AQ57" i="8"/>
  <c r="AP57" i="8"/>
  <c r="AO57" i="8"/>
  <c r="AN57" i="8"/>
  <c r="AM57" i="8"/>
  <c r="AK57" i="8"/>
  <c r="AJ57" i="8"/>
  <c r="AI57" i="8"/>
  <c r="AH57" i="8"/>
  <c r="AG57" i="8"/>
  <c r="AE57" i="8"/>
  <c r="AD57" i="8"/>
  <c r="AC57" i="8"/>
  <c r="AB57" i="8"/>
  <c r="AA57" i="8"/>
  <c r="Z57" i="8"/>
  <c r="X57" i="8"/>
  <c r="W57" i="8"/>
  <c r="V57" i="8"/>
  <c r="U57" i="8"/>
  <c r="T57" i="8"/>
  <c r="R57" i="8"/>
  <c r="Q57" i="8"/>
  <c r="P57" i="8"/>
  <c r="O57" i="8"/>
  <c r="N57" i="8"/>
  <c r="M57" i="8"/>
  <c r="K57" i="8"/>
  <c r="J57" i="8"/>
  <c r="I57" i="8"/>
  <c r="H57" i="8"/>
  <c r="G57" i="8"/>
  <c r="E57" i="8"/>
  <c r="A57" i="8"/>
  <c r="C57" i="8" s="1"/>
  <c r="FV56" i="8"/>
  <c r="FU56" i="8"/>
  <c r="FT56" i="8"/>
  <c r="FS56" i="8"/>
  <c r="FR56" i="8"/>
  <c r="FP56" i="8"/>
  <c r="FO56" i="8"/>
  <c r="FN56" i="8"/>
  <c r="FM56" i="8"/>
  <c r="FL56" i="8"/>
  <c r="FA56" i="8"/>
  <c r="EZ56" i="8"/>
  <c r="EY56" i="8"/>
  <c r="EX56" i="8"/>
  <c r="EW56" i="8"/>
  <c r="EV56" i="8"/>
  <c r="EU56" i="8"/>
  <c r="ET56" i="8"/>
  <c r="ES56" i="8"/>
  <c r="ER56" i="8"/>
  <c r="EQ56" i="8"/>
  <c r="EN56" i="8"/>
  <c r="EM56" i="8"/>
  <c r="EL56" i="8"/>
  <c r="EK56" i="8"/>
  <c r="EJ56" i="8"/>
  <c r="EI56" i="8"/>
  <c r="EH56" i="8"/>
  <c r="EG56" i="8"/>
  <c r="EF56" i="8"/>
  <c r="EE56" i="8"/>
  <c r="ED56" i="8"/>
  <c r="EA56" i="8"/>
  <c r="DZ56" i="8"/>
  <c r="DY56" i="8"/>
  <c r="DX56" i="8"/>
  <c r="DW56" i="8"/>
  <c r="DV56" i="8"/>
  <c r="DU56" i="8"/>
  <c r="DT56" i="8"/>
  <c r="DS56" i="8"/>
  <c r="DR56" i="8"/>
  <c r="DQ56" i="8"/>
  <c r="DP56" i="8"/>
  <c r="DN56" i="8"/>
  <c r="DM56" i="8"/>
  <c r="DL56" i="8"/>
  <c r="DK56" i="8"/>
  <c r="DJ56" i="8"/>
  <c r="DI56" i="8"/>
  <c r="DH56" i="8"/>
  <c r="DG56" i="8"/>
  <c r="DF56" i="8"/>
  <c r="DE56" i="8"/>
  <c r="DC56" i="8"/>
  <c r="DB56" i="8"/>
  <c r="DA56" i="8"/>
  <c r="CZ56" i="8"/>
  <c r="CY56" i="8"/>
  <c r="CS56" i="8"/>
  <c r="CR56" i="8"/>
  <c r="CQ56" i="8"/>
  <c r="CP56" i="8"/>
  <c r="CO56" i="8"/>
  <c r="CN56" i="8"/>
  <c r="CM56" i="8"/>
  <c r="CL56" i="8"/>
  <c r="CK56" i="8"/>
  <c r="CJ56" i="8"/>
  <c r="CI56" i="8"/>
  <c r="CH56" i="8"/>
  <c r="CG56" i="8"/>
  <c r="CF56" i="8"/>
  <c r="CC56" i="8"/>
  <c r="CB56" i="8"/>
  <c r="CA56" i="8"/>
  <c r="BZ56" i="8"/>
  <c r="BY56" i="8"/>
  <c r="BW56" i="8"/>
  <c r="BV56" i="8"/>
  <c r="BU56" i="8"/>
  <c r="BT56" i="8"/>
  <c r="BS56" i="8"/>
  <c r="BQ56" i="8"/>
  <c r="BP56" i="8"/>
  <c r="BO56" i="8"/>
  <c r="BN56" i="8"/>
  <c r="BM56" i="8"/>
  <c r="BK56" i="8"/>
  <c r="BJ56" i="8"/>
  <c r="BI56" i="8"/>
  <c r="BH56" i="8"/>
  <c r="BG56" i="8"/>
  <c r="BE56" i="8"/>
  <c r="BD56" i="8"/>
  <c r="BC56" i="8"/>
  <c r="BB56" i="8"/>
  <c r="BA56" i="8"/>
  <c r="AZ56" i="8"/>
  <c r="AX56" i="8"/>
  <c r="AW56" i="8"/>
  <c r="AV56" i="8"/>
  <c r="AU56" i="8"/>
  <c r="AT56" i="8"/>
  <c r="AR56" i="8"/>
  <c r="AQ56" i="8"/>
  <c r="AP56" i="8"/>
  <c r="AO56" i="8"/>
  <c r="AN56" i="8"/>
  <c r="AM56" i="8"/>
  <c r="AK56" i="8"/>
  <c r="AJ56" i="8"/>
  <c r="AI56" i="8"/>
  <c r="AH56" i="8"/>
  <c r="AG56" i="8"/>
  <c r="AE56" i="8"/>
  <c r="AD56" i="8"/>
  <c r="AC56" i="8"/>
  <c r="AB56" i="8"/>
  <c r="AA56" i="8"/>
  <c r="Z56" i="8"/>
  <c r="X56" i="8"/>
  <c r="W56" i="8"/>
  <c r="V56" i="8"/>
  <c r="U56" i="8"/>
  <c r="T56" i="8"/>
  <c r="R56" i="8"/>
  <c r="Q56" i="8"/>
  <c r="P56" i="8"/>
  <c r="O56" i="8"/>
  <c r="N56" i="8"/>
  <c r="M56" i="8"/>
  <c r="K56" i="8"/>
  <c r="J56" i="8"/>
  <c r="I56" i="8"/>
  <c r="H56" i="8"/>
  <c r="G56" i="8"/>
  <c r="E56" i="8"/>
  <c r="A56" i="8"/>
  <c r="C56" i="8" s="1"/>
  <c r="FV55" i="8"/>
  <c r="FU55" i="8"/>
  <c r="FT55" i="8"/>
  <c r="FS55" i="8"/>
  <c r="FR55" i="8"/>
  <c r="FP55" i="8"/>
  <c r="FO55" i="8"/>
  <c r="FN55" i="8"/>
  <c r="FM55" i="8"/>
  <c r="FL55" i="8"/>
  <c r="FA55" i="8"/>
  <c r="EZ55" i="8"/>
  <c r="EY55" i="8"/>
  <c r="EX55" i="8"/>
  <c r="EW55" i="8"/>
  <c r="EV55" i="8"/>
  <c r="EU55" i="8"/>
  <c r="ET55" i="8"/>
  <c r="ES55" i="8"/>
  <c r="ER55" i="8"/>
  <c r="EQ55" i="8"/>
  <c r="EN55" i="8"/>
  <c r="EM55" i="8"/>
  <c r="EL55" i="8"/>
  <c r="EK55" i="8"/>
  <c r="EJ55" i="8"/>
  <c r="EI55" i="8"/>
  <c r="EH55" i="8"/>
  <c r="EG55" i="8"/>
  <c r="EF55" i="8"/>
  <c r="EE55" i="8"/>
  <c r="ED55" i="8"/>
  <c r="EA55" i="8"/>
  <c r="DZ55" i="8"/>
  <c r="DY55" i="8"/>
  <c r="DX55" i="8"/>
  <c r="DW55" i="8"/>
  <c r="DV55" i="8"/>
  <c r="DU55" i="8"/>
  <c r="DT55" i="8"/>
  <c r="DS55" i="8"/>
  <c r="DR55" i="8"/>
  <c r="DQ55" i="8"/>
  <c r="DP55" i="8"/>
  <c r="DN55" i="8"/>
  <c r="DM55" i="8"/>
  <c r="DL55" i="8"/>
  <c r="DK55" i="8"/>
  <c r="DJ55" i="8"/>
  <c r="DI55" i="8"/>
  <c r="DH55" i="8"/>
  <c r="DG55" i="8"/>
  <c r="DF55" i="8"/>
  <c r="DE55" i="8"/>
  <c r="DC55" i="8"/>
  <c r="DB55" i="8"/>
  <c r="DA55" i="8"/>
  <c r="CZ55" i="8"/>
  <c r="CY55" i="8"/>
  <c r="CS55" i="8"/>
  <c r="CR55" i="8"/>
  <c r="CQ55" i="8"/>
  <c r="CP55" i="8"/>
  <c r="CO55" i="8"/>
  <c r="CN55" i="8"/>
  <c r="CM55" i="8"/>
  <c r="CL55" i="8"/>
  <c r="CK55" i="8"/>
  <c r="CJ55" i="8"/>
  <c r="CI55" i="8"/>
  <c r="CH55" i="8"/>
  <c r="CG55" i="8"/>
  <c r="CF55" i="8"/>
  <c r="CC55" i="8"/>
  <c r="CB55" i="8"/>
  <c r="CA55" i="8"/>
  <c r="BZ55" i="8"/>
  <c r="BY55" i="8"/>
  <c r="BW55" i="8"/>
  <c r="BV55" i="8"/>
  <c r="BU55" i="8"/>
  <c r="BT55" i="8"/>
  <c r="BS55" i="8"/>
  <c r="BQ55" i="8"/>
  <c r="BP55" i="8"/>
  <c r="BO55" i="8"/>
  <c r="BN55" i="8"/>
  <c r="BM55" i="8"/>
  <c r="BK55" i="8"/>
  <c r="BJ55" i="8"/>
  <c r="BI55" i="8"/>
  <c r="BH55" i="8"/>
  <c r="BG55" i="8"/>
  <c r="BE55" i="8"/>
  <c r="BD55" i="8"/>
  <c r="BC55" i="8"/>
  <c r="BB55" i="8"/>
  <c r="BA55" i="8"/>
  <c r="AZ55" i="8"/>
  <c r="AX55" i="8"/>
  <c r="AW55" i="8"/>
  <c r="AV55" i="8"/>
  <c r="AU55" i="8"/>
  <c r="AT55" i="8"/>
  <c r="AR55" i="8"/>
  <c r="AQ55" i="8"/>
  <c r="AP55" i="8"/>
  <c r="AO55" i="8"/>
  <c r="AN55" i="8"/>
  <c r="AM55" i="8"/>
  <c r="AK55" i="8"/>
  <c r="AJ55" i="8"/>
  <c r="AI55" i="8"/>
  <c r="AH55" i="8"/>
  <c r="AG55" i="8"/>
  <c r="AE55" i="8"/>
  <c r="AD55" i="8"/>
  <c r="AC55" i="8"/>
  <c r="AB55" i="8"/>
  <c r="AA55" i="8"/>
  <c r="Z55" i="8"/>
  <c r="X55" i="8"/>
  <c r="W55" i="8"/>
  <c r="V55" i="8"/>
  <c r="U55" i="8"/>
  <c r="T55" i="8"/>
  <c r="R55" i="8"/>
  <c r="Q55" i="8"/>
  <c r="P55" i="8"/>
  <c r="O55" i="8"/>
  <c r="N55" i="8"/>
  <c r="M55" i="8"/>
  <c r="K55" i="8"/>
  <c r="J55" i="8"/>
  <c r="I55" i="8"/>
  <c r="H55" i="8"/>
  <c r="G55" i="8"/>
  <c r="E55" i="8"/>
  <c r="A55" i="8"/>
  <c r="C55" i="8" s="1"/>
  <c r="FV54" i="8"/>
  <c r="FU54" i="8"/>
  <c r="FT54" i="8"/>
  <c r="FS54" i="8"/>
  <c r="FR54" i="8"/>
  <c r="FP54" i="8"/>
  <c r="FO54" i="8"/>
  <c r="FN54" i="8"/>
  <c r="FM54" i="8"/>
  <c r="FL54" i="8"/>
  <c r="FA54" i="8"/>
  <c r="EZ54" i="8"/>
  <c r="EY54" i="8"/>
  <c r="EX54" i="8"/>
  <c r="EW54" i="8"/>
  <c r="EV54" i="8"/>
  <c r="EU54" i="8"/>
  <c r="ET54" i="8"/>
  <c r="ES54" i="8"/>
  <c r="ER54" i="8"/>
  <c r="EQ54" i="8"/>
  <c r="EN54" i="8"/>
  <c r="EM54" i="8"/>
  <c r="EL54" i="8"/>
  <c r="EK54" i="8"/>
  <c r="EJ54" i="8"/>
  <c r="EI54" i="8"/>
  <c r="EH54" i="8"/>
  <c r="EG54" i="8"/>
  <c r="EF54" i="8"/>
  <c r="EE54" i="8"/>
  <c r="ED54" i="8"/>
  <c r="EA54" i="8"/>
  <c r="DZ54" i="8"/>
  <c r="DY54" i="8"/>
  <c r="DX54" i="8"/>
  <c r="DW54" i="8"/>
  <c r="DV54" i="8"/>
  <c r="DU54" i="8"/>
  <c r="DT54" i="8"/>
  <c r="DS54" i="8"/>
  <c r="DR54" i="8"/>
  <c r="DQ54" i="8"/>
  <c r="DP54" i="8"/>
  <c r="DN54" i="8"/>
  <c r="DM54" i="8"/>
  <c r="DL54" i="8"/>
  <c r="DK54" i="8"/>
  <c r="DJ54" i="8"/>
  <c r="DI54" i="8"/>
  <c r="DH54" i="8"/>
  <c r="DG54" i="8"/>
  <c r="DF54" i="8"/>
  <c r="DE54" i="8"/>
  <c r="DC54" i="8"/>
  <c r="DB54" i="8"/>
  <c r="DA54" i="8"/>
  <c r="CZ54" i="8"/>
  <c r="CY54" i="8"/>
  <c r="CS54" i="8"/>
  <c r="CR54" i="8"/>
  <c r="CQ54" i="8"/>
  <c r="CP54" i="8"/>
  <c r="CO54" i="8"/>
  <c r="CN54" i="8"/>
  <c r="CM54" i="8"/>
  <c r="CL54" i="8"/>
  <c r="CK54" i="8"/>
  <c r="CJ54" i="8"/>
  <c r="CI54" i="8"/>
  <c r="CH54" i="8"/>
  <c r="CG54" i="8"/>
  <c r="CF54" i="8"/>
  <c r="CC54" i="8"/>
  <c r="CB54" i="8"/>
  <c r="CA54" i="8"/>
  <c r="BZ54" i="8"/>
  <c r="BY54" i="8"/>
  <c r="BW54" i="8"/>
  <c r="BV54" i="8"/>
  <c r="BU54" i="8"/>
  <c r="BT54" i="8"/>
  <c r="BS54" i="8"/>
  <c r="BQ54" i="8"/>
  <c r="BP54" i="8"/>
  <c r="BO54" i="8"/>
  <c r="BN54" i="8"/>
  <c r="BM54" i="8"/>
  <c r="BK54" i="8"/>
  <c r="BJ54" i="8"/>
  <c r="BI54" i="8"/>
  <c r="BH54" i="8"/>
  <c r="BG54" i="8"/>
  <c r="BE54" i="8"/>
  <c r="BD54" i="8"/>
  <c r="BC54" i="8"/>
  <c r="BB54" i="8"/>
  <c r="BA54" i="8"/>
  <c r="AZ54" i="8"/>
  <c r="AX54" i="8"/>
  <c r="AW54" i="8"/>
  <c r="AV54" i="8"/>
  <c r="AU54" i="8"/>
  <c r="AT54" i="8"/>
  <c r="AR54" i="8"/>
  <c r="AQ54" i="8"/>
  <c r="AP54" i="8"/>
  <c r="AO54" i="8"/>
  <c r="AN54" i="8"/>
  <c r="AM54" i="8"/>
  <c r="AK54" i="8"/>
  <c r="AJ54" i="8"/>
  <c r="AI54" i="8"/>
  <c r="AH54" i="8"/>
  <c r="AG54" i="8"/>
  <c r="AE54" i="8"/>
  <c r="AD54" i="8"/>
  <c r="AC54" i="8"/>
  <c r="AB54" i="8"/>
  <c r="AA54" i="8"/>
  <c r="Z54" i="8"/>
  <c r="X54" i="8"/>
  <c r="W54" i="8"/>
  <c r="V54" i="8"/>
  <c r="U54" i="8"/>
  <c r="T54" i="8"/>
  <c r="R54" i="8"/>
  <c r="Q54" i="8"/>
  <c r="P54" i="8"/>
  <c r="O54" i="8"/>
  <c r="N54" i="8"/>
  <c r="M54" i="8"/>
  <c r="K54" i="8"/>
  <c r="J54" i="8"/>
  <c r="I54" i="8"/>
  <c r="H54" i="8"/>
  <c r="G54" i="8"/>
  <c r="E54" i="8"/>
  <c r="A54" i="8"/>
  <c r="C54" i="8" s="1"/>
  <c r="FV52" i="8"/>
  <c r="FU52" i="8"/>
  <c r="FT52" i="8"/>
  <c r="FS52" i="8"/>
  <c r="FR52" i="8"/>
  <c r="FP52" i="8"/>
  <c r="FO52" i="8"/>
  <c r="FN52" i="8"/>
  <c r="FM52" i="8"/>
  <c r="FL52" i="8"/>
  <c r="FA52" i="8"/>
  <c r="EZ52" i="8"/>
  <c r="EY52" i="8"/>
  <c r="EX52" i="8"/>
  <c r="EW52" i="8"/>
  <c r="EV52" i="8"/>
  <c r="EU52" i="8"/>
  <c r="ET52" i="8"/>
  <c r="ES52" i="8"/>
  <c r="ER52" i="8"/>
  <c r="EQ52" i="8"/>
  <c r="EN52" i="8"/>
  <c r="EM52" i="8"/>
  <c r="EL52" i="8"/>
  <c r="EK52" i="8"/>
  <c r="EJ52" i="8"/>
  <c r="EI52" i="8"/>
  <c r="EH52" i="8"/>
  <c r="EG52" i="8"/>
  <c r="EF52" i="8"/>
  <c r="EE52" i="8"/>
  <c r="ED52" i="8"/>
  <c r="EA52" i="8"/>
  <c r="DZ52" i="8"/>
  <c r="DY52" i="8"/>
  <c r="DX52" i="8"/>
  <c r="DW52" i="8"/>
  <c r="DV52" i="8"/>
  <c r="DU52" i="8"/>
  <c r="DT52" i="8"/>
  <c r="DS52" i="8"/>
  <c r="DR52" i="8"/>
  <c r="DQ52" i="8"/>
  <c r="DP52" i="8"/>
  <c r="DN52" i="8"/>
  <c r="DM52" i="8"/>
  <c r="DL52" i="8"/>
  <c r="DK52" i="8"/>
  <c r="DJ52" i="8"/>
  <c r="DI52" i="8"/>
  <c r="DH52" i="8"/>
  <c r="DG52" i="8"/>
  <c r="DF52" i="8"/>
  <c r="DE52" i="8"/>
  <c r="DC52" i="8"/>
  <c r="DB52" i="8"/>
  <c r="DA52" i="8"/>
  <c r="CZ52" i="8"/>
  <c r="CY52" i="8"/>
  <c r="CS52" i="8"/>
  <c r="CR52" i="8"/>
  <c r="CQ52" i="8"/>
  <c r="CP52" i="8"/>
  <c r="CO52" i="8"/>
  <c r="CN52" i="8"/>
  <c r="CM52" i="8"/>
  <c r="CL52" i="8"/>
  <c r="CK52" i="8"/>
  <c r="CJ52" i="8"/>
  <c r="CI52" i="8"/>
  <c r="CH52" i="8"/>
  <c r="CG52" i="8"/>
  <c r="CF52" i="8"/>
  <c r="CC52" i="8"/>
  <c r="CB52" i="8"/>
  <c r="CA52" i="8"/>
  <c r="BZ52" i="8"/>
  <c r="BY52" i="8"/>
  <c r="BW52" i="8"/>
  <c r="BV52" i="8"/>
  <c r="BU52" i="8"/>
  <c r="BT52" i="8"/>
  <c r="BS52" i="8"/>
  <c r="BQ52" i="8"/>
  <c r="BP52" i="8"/>
  <c r="BO52" i="8"/>
  <c r="BN52" i="8"/>
  <c r="BM52" i="8"/>
  <c r="BK52" i="8"/>
  <c r="BJ52" i="8"/>
  <c r="BI52" i="8"/>
  <c r="BH52" i="8"/>
  <c r="BG52" i="8"/>
  <c r="BE52" i="8"/>
  <c r="BD52" i="8"/>
  <c r="BC52" i="8"/>
  <c r="BB52" i="8"/>
  <c r="BA52" i="8"/>
  <c r="AZ52" i="8"/>
  <c r="AX52" i="8"/>
  <c r="AW52" i="8"/>
  <c r="AV52" i="8"/>
  <c r="AU52" i="8"/>
  <c r="AT52" i="8"/>
  <c r="AR52" i="8"/>
  <c r="AQ52" i="8"/>
  <c r="AP52" i="8"/>
  <c r="AO52" i="8"/>
  <c r="AN52" i="8"/>
  <c r="AM52" i="8"/>
  <c r="AK52" i="8"/>
  <c r="AJ52" i="8"/>
  <c r="AI52" i="8"/>
  <c r="AH52" i="8"/>
  <c r="AG52" i="8"/>
  <c r="AE52" i="8"/>
  <c r="AD52" i="8"/>
  <c r="AC52" i="8"/>
  <c r="AB52" i="8"/>
  <c r="AA52" i="8"/>
  <c r="Z52" i="8"/>
  <c r="X52" i="8"/>
  <c r="W52" i="8"/>
  <c r="V52" i="8"/>
  <c r="U52" i="8"/>
  <c r="T52" i="8"/>
  <c r="R52" i="8"/>
  <c r="Q52" i="8"/>
  <c r="P52" i="8"/>
  <c r="O52" i="8"/>
  <c r="N52" i="8"/>
  <c r="M52" i="8"/>
  <c r="K52" i="8"/>
  <c r="J52" i="8"/>
  <c r="I52" i="8"/>
  <c r="H52" i="8"/>
  <c r="G52" i="8"/>
  <c r="E52" i="8"/>
  <c r="A52" i="8"/>
  <c r="C52" i="8" s="1"/>
  <c r="FV51" i="8"/>
  <c r="FU51" i="8"/>
  <c r="FT51" i="8"/>
  <c r="FS51" i="8"/>
  <c r="FR51" i="8"/>
  <c r="FP51" i="8"/>
  <c r="FO51" i="8"/>
  <c r="FN51" i="8"/>
  <c r="FM51" i="8"/>
  <c r="FL51" i="8"/>
  <c r="FA51" i="8"/>
  <c r="EZ51" i="8"/>
  <c r="EY51" i="8"/>
  <c r="EX51" i="8"/>
  <c r="EW51" i="8"/>
  <c r="EV51" i="8"/>
  <c r="EU51" i="8"/>
  <c r="ET51" i="8"/>
  <c r="ES51" i="8"/>
  <c r="ER51" i="8"/>
  <c r="EQ51" i="8"/>
  <c r="EN51" i="8"/>
  <c r="EM51" i="8"/>
  <c r="EL51" i="8"/>
  <c r="EK51" i="8"/>
  <c r="EJ51" i="8"/>
  <c r="EI51" i="8"/>
  <c r="EH51" i="8"/>
  <c r="EG51" i="8"/>
  <c r="EF51" i="8"/>
  <c r="EE51" i="8"/>
  <c r="ED51" i="8"/>
  <c r="EA51" i="8"/>
  <c r="DZ51" i="8"/>
  <c r="DY51" i="8"/>
  <c r="DX51" i="8"/>
  <c r="DW51" i="8"/>
  <c r="DV51" i="8"/>
  <c r="DU51" i="8"/>
  <c r="DT51" i="8"/>
  <c r="DS51" i="8"/>
  <c r="DR51" i="8"/>
  <c r="DQ51" i="8"/>
  <c r="DP51" i="8"/>
  <c r="DN51" i="8"/>
  <c r="DM51" i="8"/>
  <c r="DL51" i="8"/>
  <c r="DK51" i="8"/>
  <c r="DJ51" i="8"/>
  <c r="DI51" i="8"/>
  <c r="DH51" i="8"/>
  <c r="DG51" i="8"/>
  <c r="DF51" i="8"/>
  <c r="DE51" i="8"/>
  <c r="DC51" i="8"/>
  <c r="DB51" i="8"/>
  <c r="DA51" i="8"/>
  <c r="CZ51" i="8"/>
  <c r="CY51" i="8"/>
  <c r="CS51" i="8"/>
  <c r="CR51" i="8"/>
  <c r="CQ51" i="8"/>
  <c r="CP51" i="8"/>
  <c r="CO51" i="8"/>
  <c r="CN51" i="8"/>
  <c r="CM51" i="8"/>
  <c r="CL51" i="8"/>
  <c r="CK51" i="8"/>
  <c r="CJ51" i="8"/>
  <c r="CI51" i="8"/>
  <c r="CH51" i="8"/>
  <c r="CG51" i="8"/>
  <c r="CF51" i="8"/>
  <c r="CC51" i="8"/>
  <c r="CB51" i="8"/>
  <c r="CA51" i="8"/>
  <c r="BZ51" i="8"/>
  <c r="BY51" i="8"/>
  <c r="BW51" i="8"/>
  <c r="BV51" i="8"/>
  <c r="BU51" i="8"/>
  <c r="BT51" i="8"/>
  <c r="BS51" i="8"/>
  <c r="BQ51" i="8"/>
  <c r="BP51" i="8"/>
  <c r="BO51" i="8"/>
  <c r="BN51" i="8"/>
  <c r="BM51" i="8"/>
  <c r="BK51" i="8"/>
  <c r="BJ51" i="8"/>
  <c r="BI51" i="8"/>
  <c r="BH51" i="8"/>
  <c r="BG51" i="8"/>
  <c r="BE51" i="8"/>
  <c r="BD51" i="8"/>
  <c r="BC51" i="8"/>
  <c r="BB51" i="8"/>
  <c r="BA51" i="8"/>
  <c r="AZ51" i="8"/>
  <c r="AX51" i="8"/>
  <c r="AW51" i="8"/>
  <c r="AV51" i="8"/>
  <c r="AU51" i="8"/>
  <c r="AT51" i="8"/>
  <c r="AR51" i="8"/>
  <c r="AQ51" i="8"/>
  <c r="AP51" i="8"/>
  <c r="AO51" i="8"/>
  <c r="AN51" i="8"/>
  <c r="AM51" i="8"/>
  <c r="AK51" i="8"/>
  <c r="AJ51" i="8"/>
  <c r="AI51" i="8"/>
  <c r="AH51" i="8"/>
  <c r="AG51" i="8"/>
  <c r="AE51" i="8"/>
  <c r="AD51" i="8"/>
  <c r="AC51" i="8"/>
  <c r="AB51" i="8"/>
  <c r="AA51" i="8"/>
  <c r="Z51" i="8"/>
  <c r="X51" i="8"/>
  <c r="W51" i="8"/>
  <c r="V51" i="8"/>
  <c r="U51" i="8"/>
  <c r="T51" i="8"/>
  <c r="R51" i="8"/>
  <c r="Q51" i="8"/>
  <c r="P51" i="8"/>
  <c r="O51" i="8"/>
  <c r="N51" i="8"/>
  <c r="M51" i="8"/>
  <c r="K51" i="8"/>
  <c r="J51" i="8"/>
  <c r="I51" i="8"/>
  <c r="H51" i="8"/>
  <c r="G51" i="8"/>
  <c r="E51" i="8"/>
  <c r="A51" i="8"/>
  <c r="C51" i="8" s="1"/>
  <c r="FV50" i="8"/>
  <c r="FU50" i="8"/>
  <c r="FT50" i="8"/>
  <c r="FS50" i="8"/>
  <c r="FR50" i="8"/>
  <c r="FP50" i="8"/>
  <c r="FO50" i="8"/>
  <c r="FN50" i="8"/>
  <c r="FM50" i="8"/>
  <c r="FL50" i="8"/>
  <c r="FA50" i="8"/>
  <c r="EZ50" i="8"/>
  <c r="EY50" i="8"/>
  <c r="EX50" i="8"/>
  <c r="EW50" i="8"/>
  <c r="EV50" i="8"/>
  <c r="EU50" i="8"/>
  <c r="ET50" i="8"/>
  <c r="ES50" i="8"/>
  <c r="ER50" i="8"/>
  <c r="EQ50" i="8"/>
  <c r="EN50" i="8"/>
  <c r="EM50" i="8"/>
  <c r="EL50" i="8"/>
  <c r="EK50" i="8"/>
  <c r="EJ50" i="8"/>
  <c r="EI50" i="8"/>
  <c r="EH50" i="8"/>
  <c r="EG50" i="8"/>
  <c r="EF50" i="8"/>
  <c r="EE50" i="8"/>
  <c r="ED50" i="8"/>
  <c r="EA50" i="8"/>
  <c r="DZ50" i="8"/>
  <c r="DY50" i="8"/>
  <c r="DX50" i="8"/>
  <c r="DW50" i="8"/>
  <c r="DV50" i="8"/>
  <c r="DU50" i="8"/>
  <c r="DT50" i="8"/>
  <c r="DS50" i="8"/>
  <c r="DR50" i="8"/>
  <c r="DQ50" i="8"/>
  <c r="DP50" i="8"/>
  <c r="DN50" i="8"/>
  <c r="DM50" i="8"/>
  <c r="DL50" i="8"/>
  <c r="DK50" i="8"/>
  <c r="DJ50" i="8"/>
  <c r="DI50" i="8"/>
  <c r="DH50" i="8"/>
  <c r="DG50" i="8"/>
  <c r="DF50" i="8"/>
  <c r="DE50" i="8"/>
  <c r="DC50" i="8"/>
  <c r="DB50" i="8"/>
  <c r="DA50" i="8"/>
  <c r="CZ50" i="8"/>
  <c r="CY50" i="8"/>
  <c r="CS50" i="8"/>
  <c r="CR50" i="8"/>
  <c r="CQ50" i="8"/>
  <c r="CP50" i="8"/>
  <c r="CO50" i="8"/>
  <c r="CN50" i="8"/>
  <c r="CM50" i="8"/>
  <c r="CL50" i="8"/>
  <c r="CK50" i="8"/>
  <c r="CJ50" i="8"/>
  <c r="CI50" i="8"/>
  <c r="CH50" i="8"/>
  <c r="CG50" i="8"/>
  <c r="CF50" i="8"/>
  <c r="CC50" i="8"/>
  <c r="CB50" i="8"/>
  <c r="CA50" i="8"/>
  <c r="BZ50" i="8"/>
  <c r="BY50" i="8"/>
  <c r="BW50" i="8"/>
  <c r="BV50" i="8"/>
  <c r="BU50" i="8"/>
  <c r="BT50" i="8"/>
  <c r="BS50" i="8"/>
  <c r="BQ50" i="8"/>
  <c r="BP50" i="8"/>
  <c r="BO50" i="8"/>
  <c r="BN50" i="8"/>
  <c r="BM50" i="8"/>
  <c r="BK50" i="8"/>
  <c r="BJ50" i="8"/>
  <c r="BI50" i="8"/>
  <c r="BH50" i="8"/>
  <c r="BG50" i="8"/>
  <c r="BE50" i="8"/>
  <c r="BD50" i="8"/>
  <c r="BC50" i="8"/>
  <c r="BB50" i="8"/>
  <c r="BA50" i="8"/>
  <c r="AZ50" i="8"/>
  <c r="AX50" i="8"/>
  <c r="AW50" i="8"/>
  <c r="AV50" i="8"/>
  <c r="AU50" i="8"/>
  <c r="AT50" i="8"/>
  <c r="AR50" i="8"/>
  <c r="AQ50" i="8"/>
  <c r="AP50" i="8"/>
  <c r="AO50" i="8"/>
  <c r="AN50" i="8"/>
  <c r="AM50" i="8"/>
  <c r="AK50" i="8"/>
  <c r="AJ50" i="8"/>
  <c r="AI50" i="8"/>
  <c r="AH50" i="8"/>
  <c r="AG50" i="8"/>
  <c r="AE50" i="8"/>
  <c r="AD50" i="8"/>
  <c r="AC50" i="8"/>
  <c r="AB50" i="8"/>
  <c r="AA50" i="8"/>
  <c r="Z50" i="8"/>
  <c r="X50" i="8"/>
  <c r="W50" i="8"/>
  <c r="V50" i="8"/>
  <c r="U50" i="8"/>
  <c r="T50" i="8"/>
  <c r="R50" i="8"/>
  <c r="Q50" i="8"/>
  <c r="P50" i="8"/>
  <c r="O50" i="8"/>
  <c r="N50" i="8"/>
  <c r="M50" i="8"/>
  <c r="K50" i="8"/>
  <c r="J50" i="8"/>
  <c r="I50" i="8"/>
  <c r="H50" i="8"/>
  <c r="G50" i="8"/>
  <c r="E50" i="8"/>
  <c r="A50" i="8"/>
  <c r="C50" i="8" s="1"/>
  <c r="FV47" i="8"/>
  <c r="FU47" i="8"/>
  <c r="FT47" i="8"/>
  <c r="FS47" i="8"/>
  <c r="FR47" i="8"/>
  <c r="FP47" i="8"/>
  <c r="FO47" i="8"/>
  <c r="FN47" i="8"/>
  <c r="FM47" i="8"/>
  <c r="FL47" i="8"/>
  <c r="FA47" i="8"/>
  <c r="EZ47" i="8"/>
  <c r="EY47" i="8"/>
  <c r="EX47" i="8"/>
  <c r="EW47" i="8"/>
  <c r="EV47" i="8"/>
  <c r="EU47" i="8"/>
  <c r="ET47" i="8"/>
  <c r="ES47" i="8"/>
  <c r="ER47" i="8"/>
  <c r="EQ47" i="8"/>
  <c r="EN47" i="8"/>
  <c r="EM47" i="8"/>
  <c r="EL47" i="8"/>
  <c r="EK47" i="8"/>
  <c r="EJ47" i="8"/>
  <c r="EI47" i="8"/>
  <c r="EH47" i="8"/>
  <c r="EG47" i="8"/>
  <c r="EF47" i="8"/>
  <c r="EE47" i="8"/>
  <c r="ED47" i="8"/>
  <c r="EA47" i="8"/>
  <c r="DZ47" i="8"/>
  <c r="DY47" i="8"/>
  <c r="DX47" i="8"/>
  <c r="DW47" i="8"/>
  <c r="DV47" i="8"/>
  <c r="DU47" i="8"/>
  <c r="DT47" i="8"/>
  <c r="DS47" i="8"/>
  <c r="DR47" i="8"/>
  <c r="DQ47" i="8"/>
  <c r="DP47" i="8"/>
  <c r="DN47" i="8"/>
  <c r="DM47" i="8"/>
  <c r="DL47" i="8"/>
  <c r="DK47" i="8"/>
  <c r="DJ47" i="8"/>
  <c r="DI47" i="8"/>
  <c r="DH47" i="8"/>
  <c r="DG47" i="8"/>
  <c r="DF47" i="8"/>
  <c r="DE47" i="8"/>
  <c r="DC47" i="8"/>
  <c r="DB47" i="8"/>
  <c r="DA47" i="8"/>
  <c r="CZ47" i="8"/>
  <c r="CY47" i="8"/>
  <c r="CS47" i="8"/>
  <c r="CR47" i="8"/>
  <c r="CQ47" i="8"/>
  <c r="CP47" i="8"/>
  <c r="CO47" i="8"/>
  <c r="CN47" i="8"/>
  <c r="CM47" i="8"/>
  <c r="CL47" i="8"/>
  <c r="CK47" i="8"/>
  <c r="CJ47" i="8"/>
  <c r="CI47" i="8"/>
  <c r="CH47" i="8"/>
  <c r="CG47" i="8"/>
  <c r="CF47" i="8"/>
  <c r="CC47" i="8"/>
  <c r="CB47" i="8"/>
  <c r="CA47" i="8"/>
  <c r="BZ47" i="8"/>
  <c r="BY47" i="8"/>
  <c r="BW47" i="8"/>
  <c r="BV47" i="8"/>
  <c r="BU47" i="8"/>
  <c r="BT47" i="8"/>
  <c r="BS47" i="8"/>
  <c r="BQ47" i="8"/>
  <c r="BP47" i="8"/>
  <c r="BO47" i="8"/>
  <c r="BN47" i="8"/>
  <c r="BM47" i="8"/>
  <c r="BK47" i="8"/>
  <c r="BJ47" i="8"/>
  <c r="BI47" i="8"/>
  <c r="BH47" i="8"/>
  <c r="BG47" i="8"/>
  <c r="BE47" i="8"/>
  <c r="BD47" i="8"/>
  <c r="BC47" i="8"/>
  <c r="BB47" i="8"/>
  <c r="BA47" i="8"/>
  <c r="AZ47" i="8"/>
  <c r="AX47" i="8"/>
  <c r="AW47" i="8"/>
  <c r="AV47" i="8"/>
  <c r="AU47" i="8"/>
  <c r="AT47" i="8"/>
  <c r="AR47" i="8"/>
  <c r="AQ47" i="8"/>
  <c r="AP47" i="8"/>
  <c r="AO47" i="8"/>
  <c r="AN47" i="8"/>
  <c r="AM47" i="8"/>
  <c r="AK47" i="8"/>
  <c r="AJ47" i="8"/>
  <c r="AI47" i="8"/>
  <c r="AH47" i="8"/>
  <c r="AG47" i="8"/>
  <c r="AE47" i="8"/>
  <c r="AD47" i="8"/>
  <c r="AC47" i="8"/>
  <c r="AB47" i="8"/>
  <c r="AA47" i="8"/>
  <c r="Z47" i="8"/>
  <c r="X47" i="8"/>
  <c r="W47" i="8"/>
  <c r="V47" i="8"/>
  <c r="U47" i="8"/>
  <c r="T47" i="8"/>
  <c r="R47" i="8"/>
  <c r="Q47" i="8"/>
  <c r="P47" i="8"/>
  <c r="O47" i="8"/>
  <c r="N47" i="8"/>
  <c r="M47" i="8"/>
  <c r="K47" i="8"/>
  <c r="J47" i="8"/>
  <c r="I47" i="8"/>
  <c r="H47" i="8"/>
  <c r="G47" i="8"/>
  <c r="E47" i="8"/>
  <c r="A47" i="8"/>
  <c r="C47" i="8" s="1"/>
  <c r="FV46" i="8"/>
  <c r="FU46" i="8"/>
  <c r="FT46" i="8"/>
  <c r="FS46" i="8"/>
  <c r="FR46" i="8"/>
  <c r="FP46" i="8"/>
  <c r="FO46" i="8"/>
  <c r="FN46" i="8"/>
  <c r="FM46" i="8"/>
  <c r="FL46" i="8"/>
  <c r="FA46" i="8"/>
  <c r="EZ46" i="8"/>
  <c r="EY46" i="8"/>
  <c r="EX46" i="8"/>
  <c r="EW46" i="8"/>
  <c r="EV46" i="8"/>
  <c r="EU46" i="8"/>
  <c r="ET46" i="8"/>
  <c r="ES46" i="8"/>
  <c r="ER46" i="8"/>
  <c r="EQ46" i="8"/>
  <c r="EN46" i="8"/>
  <c r="EM46" i="8"/>
  <c r="EL46" i="8"/>
  <c r="EK46" i="8"/>
  <c r="EJ46" i="8"/>
  <c r="EI46" i="8"/>
  <c r="EH46" i="8"/>
  <c r="EG46" i="8"/>
  <c r="EF46" i="8"/>
  <c r="EE46" i="8"/>
  <c r="ED46" i="8"/>
  <c r="EA46" i="8"/>
  <c r="DZ46" i="8"/>
  <c r="DY46" i="8"/>
  <c r="DX46" i="8"/>
  <c r="DW46" i="8"/>
  <c r="DV46" i="8"/>
  <c r="DU46" i="8"/>
  <c r="DT46" i="8"/>
  <c r="DS46" i="8"/>
  <c r="DR46" i="8"/>
  <c r="DQ46" i="8"/>
  <c r="DP46" i="8"/>
  <c r="DN46" i="8"/>
  <c r="DM46" i="8"/>
  <c r="DL46" i="8"/>
  <c r="DK46" i="8"/>
  <c r="DJ46" i="8"/>
  <c r="DI46" i="8"/>
  <c r="DH46" i="8"/>
  <c r="DG46" i="8"/>
  <c r="DF46" i="8"/>
  <c r="DE46" i="8"/>
  <c r="DC46" i="8"/>
  <c r="DB46" i="8"/>
  <c r="DA46" i="8"/>
  <c r="CZ46" i="8"/>
  <c r="CY46" i="8"/>
  <c r="CS46" i="8"/>
  <c r="CR46" i="8"/>
  <c r="CQ46" i="8"/>
  <c r="CP46" i="8"/>
  <c r="CO46" i="8"/>
  <c r="CN46" i="8"/>
  <c r="CM46" i="8"/>
  <c r="CL46" i="8"/>
  <c r="CK46" i="8"/>
  <c r="CJ46" i="8"/>
  <c r="CI46" i="8"/>
  <c r="CH46" i="8"/>
  <c r="CG46" i="8"/>
  <c r="CF46" i="8"/>
  <c r="CC46" i="8"/>
  <c r="CB46" i="8"/>
  <c r="CA46" i="8"/>
  <c r="BZ46" i="8"/>
  <c r="BY46" i="8"/>
  <c r="BW46" i="8"/>
  <c r="BV46" i="8"/>
  <c r="BU46" i="8"/>
  <c r="BT46" i="8"/>
  <c r="BS46" i="8"/>
  <c r="BQ46" i="8"/>
  <c r="BP46" i="8"/>
  <c r="BO46" i="8"/>
  <c r="BN46" i="8"/>
  <c r="BM46" i="8"/>
  <c r="BK46" i="8"/>
  <c r="BJ46" i="8"/>
  <c r="BI46" i="8"/>
  <c r="BH46" i="8"/>
  <c r="BG46" i="8"/>
  <c r="BE46" i="8"/>
  <c r="BD46" i="8"/>
  <c r="BC46" i="8"/>
  <c r="BB46" i="8"/>
  <c r="BA46" i="8"/>
  <c r="AZ46" i="8"/>
  <c r="AX46" i="8"/>
  <c r="AW46" i="8"/>
  <c r="AV46" i="8"/>
  <c r="AU46" i="8"/>
  <c r="AT46" i="8"/>
  <c r="AR46" i="8"/>
  <c r="AQ46" i="8"/>
  <c r="AP46" i="8"/>
  <c r="AO46" i="8"/>
  <c r="AN46" i="8"/>
  <c r="AM46" i="8"/>
  <c r="AK46" i="8"/>
  <c r="AJ46" i="8"/>
  <c r="AI46" i="8"/>
  <c r="AH46" i="8"/>
  <c r="AG46" i="8"/>
  <c r="AE46" i="8"/>
  <c r="AD46" i="8"/>
  <c r="AC46" i="8"/>
  <c r="AB46" i="8"/>
  <c r="AA46" i="8"/>
  <c r="Z46" i="8"/>
  <c r="X46" i="8"/>
  <c r="W46" i="8"/>
  <c r="V46" i="8"/>
  <c r="U46" i="8"/>
  <c r="T46" i="8"/>
  <c r="R46" i="8"/>
  <c r="Q46" i="8"/>
  <c r="P46" i="8"/>
  <c r="O46" i="8"/>
  <c r="N46" i="8"/>
  <c r="M46" i="8"/>
  <c r="K46" i="8"/>
  <c r="J46" i="8"/>
  <c r="I46" i="8"/>
  <c r="H46" i="8"/>
  <c r="G46" i="8"/>
  <c r="E46" i="8"/>
  <c r="A46" i="8"/>
  <c r="C46" i="8" s="1"/>
  <c r="FV45" i="8"/>
  <c r="FU45" i="8"/>
  <c r="FT45" i="8"/>
  <c r="FS45" i="8"/>
  <c r="FR45" i="8"/>
  <c r="FP45" i="8"/>
  <c r="FO45" i="8"/>
  <c r="FN45" i="8"/>
  <c r="FM45" i="8"/>
  <c r="FL45" i="8"/>
  <c r="FA45" i="8"/>
  <c r="EZ45" i="8"/>
  <c r="EY45" i="8"/>
  <c r="EX45" i="8"/>
  <c r="EW45" i="8"/>
  <c r="EV45" i="8"/>
  <c r="EU45" i="8"/>
  <c r="ET45" i="8"/>
  <c r="ES45" i="8"/>
  <c r="ER45" i="8"/>
  <c r="EQ45" i="8"/>
  <c r="EN45" i="8"/>
  <c r="EM45" i="8"/>
  <c r="EL45" i="8"/>
  <c r="EK45" i="8"/>
  <c r="EJ45" i="8"/>
  <c r="EI45" i="8"/>
  <c r="EH45" i="8"/>
  <c r="EG45" i="8"/>
  <c r="EF45" i="8"/>
  <c r="EE45" i="8"/>
  <c r="ED45" i="8"/>
  <c r="EA45" i="8"/>
  <c r="DZ45" i="8"/>
  <c r="DY45" i="8"/>
  <c r="DX45" i="8"/>
  <c r="DW45" i="8"/>
  <c r="DV45" i="8"/>
  <c r="DU45" i="8"/>
  <c r="DT45" i="8"/>
  <c r="DS45" i="8"/>
  <c r="DR45" i="8"/>
  <c r="DQ45" i="8"/>
  <c r="DP45" i="8"/>
  <c r="DN45" i="8"/>
  <c r="DM45" i="8"/>
  <c r="DL45" i="8"/>
  <c r="DK45" i="8"/>
  <c r="DJ45" i="8"/>
  <c r="DI45" i="8"/>
  <c r="DH45" i="8"/>
  <c r="DG45" i="8"/>
  <c r="DF45" i="8"/>
  <c r="DE45" i="8"/>
  <c r="DC45" i="8"/>
  <c r="DB45" i="8"/>
  <c r="DA45" i="8"/>
  <c r="CZ45" i="8"/>
  <c r="CY45" i="8"/>
  <c r="CS45" i="8"/>
  <c r="CR45" i="8"/>
  <c r="CQ45" i="8"/>
  <c r="CP45" i="8"/>
  <c r="CO45" i="8"/>
  <c r="CN45" i="8"/>
  <c r="CM45" i="8"/>
  <c r="CL45" i="8"/>
  <c r="CK45" i="8"/>
  <c r="CJ45" i="8"/>
  <c r="CI45" i="8"/>
  <c r="CH45" i="8"/>
  <c r="CG45" i="8"/>
  <c r="CF45" i="8"/>
  <c r="CC45" i="8"/>
  <c r="CB45" i="8"/>
  <c r="CA45" i="8"/>
  <c r="BZ45" i="8"/>
  <c r="BY45" i="8"/>
  <c r="BW45" i="8"/>
  <c r="BV45" i="8"/>
  <c r="BU45" i="8"/>
  <c r="BT45" i="8"/>
  <c r="BS45" i="8"/>
  <c r="BQ45" i="8"/>
  <c r="BP45" i="8"/>
  <c r="BO45" i="8"/>
  <c r="BN45" i="8"/>
  <c r="BM45" i="8"/>
  <c r="BK45" i="8"/>
  <c r="BJ45" i="8"/>
  <c r="BI45" i="8"/>
  <c r="BH45" i="8"/>
  <c r="BG45" i="8"/>
  <c r="BE45" i="8"/>
  <c r="BD45" i="8"/>
  <c r="BC45" i="8"/>
  <c r="BB45" i="8"/>
  <c r="BA45" i="8"/>
  <c r="AZ45" i="8"/>
  <c r="AX45" i="8"/>
  <c r="AW45" i="8"/>
  <c r="AV45" i="8"/>
  <c r="AU45" i="8"/>
  <c r="AT45" i="8"/>
  <c r="AR45" i="8"/>
  <c r="AQ45" i="8"/>
  <c r="AP45" i="8"/>
  <c r="AO45" i="8"/>
  <c r="AN45" i="8"/>
  <c r="AM45" i="8"/>
  <c r="AK45" i="8"/>
  <c r="AJ45" i="8"/>
  <c r="AI45" i="8"/>
  <c r="AH45" i="8"/>
  <c r="AG45" i="8"/>
  <c r="AE45" i="8"/>
  <c r="AD45" i="8"/>
  <c r="AC45" i="8"/>
  <c r="AB45" i="8"/>
  <c r="AA45" i="8"/>
  <c r="Z45" i="8"/>
  <c r="X45" i="8"/>
  <c r="W45" i="8"/>
  <c r="V45" i="8"/>
  <c r="U45" i="8"/>
  <c r="T45" i="8"/>
  <c r="R45" i="8"/>
  <c r="Q45" i="8"/>
  <c r="P45" i="8"/>
  <c r="O45" i="8"/>
  <c r="N45" i="8"/>
  <c r="M45" i="8"/>
  <c r="K45" i="8"/>
  <c r="J45" i="8"/>
  <c r="I45" i="8"/>
  <c r="H45" i="8"/>
  <c r="G45" i="8"/>
  <c r="E45" i="8"/>
  <c r="A45" i="8"/>
  <c r="C45" i="8" s="1"/>
  <c r="FV44" i="8"/>
  <c r="FU44" i="8"/>
  <c r="FT44" i="8"/>
  <c r="FS44" i="8"/>
  <c r="FR44" i="8"/>
  <c r="FP44" i="8"/>
  <c r="FO44" i="8"/>
  <c r="FN44" i="8"/>
  <c r="FM44" i="8"/>
  <c r="FL44" i="8"/>
  <c r="FA44" i="8"/>
  <c r="EZ44" i="8"/>
  <c r="EY44" i="8"/>
  <c r="EX44" i="8"/>
  <c r="EW44" i="8"/>
  <c r="EV44" i="8"/>
  <c r="EU44" i="8"/>
  <c r="ET44" i="8"/>
  <c r="ES44" i="8"/>
  <c r="ER44" i="8"/>
  <c r="EQ44" i="8"/>
  <c r="EN44" i="8"/>
  <c r="EM44" i="8"/>
  <c r="EL44" i="8"/>
  <c r="EK44" i="8"/>
  <c r="EJ44" i="8"/>
  <c r="EI44" i="8"/>
  <c r="EH44" i="8"/>
  <c r="EG44" i="8"/>
  <c r="EF44" i="8"/>
  <c r="EE44" i="8"/>
  <c r="ED44" i="8"/>
  <c r="EA44" i="8"/>
  <c r="DZ44" i="8"/>
  <c r="DY44" i="8"/>
  <c r="DX44" i="8"/>
  <c r="DW44" i="8"/>
  <c r="DV44" i="8"/>
  <c r="DU44" i="8"/>
  <c r="DT44" i="8"/>
  <c r="DS44" i="8"/>
  <c r="DR44" i="8"/>
  <c r="DQ44" i="8"/>
  <c r="DP44" i="8"/>
  <c r="DN44" i="8"/>
  <c r="DM44" i="8"/>
  <c r="DL44" i="8"/>
  <c r="DK44" i="8"/>
  <c r="DJ44" i="8"/>
  <c r="DI44" i="8"/>
  <c r="DH44" i="8"/>
  <c r="DG44" i="8"/>
  <c r="DF44" i="8"/>
  <c r="DE44" i="8"/>
  <c r="DC44" i="8"/>
  <c r="DB44" i="8"/>
  <c r="DA44" i="8"/>
  <c r="CZ44" i="8"/>
  <c r="CY44" i="8"/>
  <c r="CS44" i="8"/>
  <c r="CR44" i="8"/>
  <c r="CQ44" i="8"/>
  <c r="CP44" i="8"/>
  <c r="CO44" i="8"/>
  <c r="CN44" i="8"/>
  <c r="CM44" i="8"/>
  <c r="CL44" i="8"/>
  <c r="CK44" i="8"/>
  <c r="CJ44" i="8"/>
  <c r="CI44" i="8"/>
  <c r="CH44" i="8"/>
  <c r="CG44" i="8"/>
  <c r="CF44" i="8"/>
  <c r="CC44" i="8"/>
  <c r="CB44" i="8"/>
  <c r="CA44" i="8"/>
  <c r="BZ44" i="8"/>
  <c r="BY44" i="8"/>
  <c r="BW44" i="8"/>
  <c r="BV44" i="8"/>
  <c r="BU44" i="8"/>
  <c r="BT44" i="8"/>
  <c r="BS44" i="8"/>
  <c r="BQ44" i="8"/>
  <c r="BP44" i="8"/>
  <c r="BO44" i="8"/>
  <c r="BN44" i="8"/>
  <c r="BM44" i="8"/>
  <c r="BK44" i="8"/>
  <c r="BJ44" i="8"/>
  <c r="BI44" i="8"/>
  <c r="BH44" i="8"/>
  <c r="BG44" i="8"/>
  <c r="BE44" i="8"/>
  <c r="BD44" i="8"/>
  <c r="BC44" i="8"/>
  <c r="BB44" i="8"/>
  <c r="BA44" i="8"/>
  <c r="AZ44" i="8"/>
  <c r="AX44" i="8"/>
  <c r="AW44" i="8"/>
  <c r="AV44" i="8"/>
  <c r="AU44" i="8"/>
  <c r="AT44" i="8"/>
  <c r="AR44" i="8"/>
  <c r="AQ44" i="8"/>
  <c r="AP44" i="8"/>
  <c r="AO44" i="8"/>
  <c r="AN44" i="8"/>
  <c r="AM44" i="8"/>
  <c r="AK44" i="8"/>
  <c r="AJ44" i="8"/>
  <c r="AI44" i="8"/>
  <c r="AH44" i="8"/>
  <c r="AG44" i="8"/>
  <c r="AE44" i="8"/>
  <c r="AD44" i="8"/>
  <c r="AC44" i="8"/>
  <c r="AB44" i="8"/>
  <c r="AA44" i="8"/>
  <c r="Z44" i="8"/>
  <c r="X44" i="8"/>
  <c r="W44" i="8"/>
  <c r="V44" i="8"/>
  <c r="U44" i="8"/>
  <c r="T44" i="8"/>
  <c r="R44" i="8"/>
  <c r="Q44" i="8"/>
  <c r="P44" i="8"/>
  <c r="O44" i="8"/>
  <c r="N44" i="8"/>
  <c r="M44" i="8"/>
  <c r="K44" i="8"/>
  <c r="J44" i="8"/>
  <c r="I44" i="8"/>
  <c r="H44" i="8"/>
  <c r="G44" i="8"/>
  <c r="E44" i="8"/>
  <c r="A44" i="8"/>
  <c r="C44" i="8" s="1"/>
  <c r="FV43" i="8"/>
  <c r="FU43" i="8"/>
  <c r="FT43" i="8"/>
  <c r="FS43" i="8"/>
  <c r="FR43" i="8"/>
  <c r="FP43" i="8"/>
  <c r="FO43" i="8"/>
  <c r="FN43" i="8"/>
  <c r="FM43" i="8"/>
  <c r="FL43" i="8"/>
  <c r="FA43" i="8"/>
  <c r="EZ43" i="8"/>
  <c r="EY43" i="8"/>
  <c r="EX43" i="8"/>
  <c r="EW43" i="8"/>
  <c r="EV43" i="8"/>
  <c r="EU43" i="8"/>
  <c r="ET43" i="8"/>
  <c r="ES43" i="8"/>
  <c r="ER43" i="8"/>
  <c r="EQ43" i="8"/>
  <c r="EN43" i="8"/>
  <c r="EM43" i="8"/>
  <c r="EL43" i="8"/>
  <c r="EK43" i="8"/>
  <c r="EJ43" i="8"/>
  <c r="EI43" i="8"/>
  <c r="EH43" i="8"/>
  <c r="EG43" i="8"/>
  <c r="EF43" i="8"/>
  <c r="EE43" i="8"/>
  <c r="ED43" i="8"/>
  <c r="EA43" i="8"/>
  <c r="DZ43" i="8"/>
  <c r="DY43" i="8"/>
  <c r="DX43" i="8"/>
  <c r="DW43" i="8"/>
  <c r="DV43" i="8"/>
  <c r="DU43" i="8"/>
  <c r="DT43" i="8"/>
  <c r="DS43" i="8"/>
  <c r="DR43" i="8"/>
  <c r="DQ43" i="8"/>
  <c r="DP43" i="8"/>
  <c r="DN43" i="8"/>
  <c r="DM43" i="8"/>
  <c r="DL43" i="8"/>
  <c r="DK43" i="8"/>
  <c r="DJ43" i="8"/>
  <c r="DI43" i="8"/>
  <c r="DH43" i="8"/>
  <c r="DG43" i="8"/>
  <c r="DF43" i="8"/>
  <c r="DE43" i="8"/>
  <c r="DC43" i="8"/>
  <c r="DB43" i="8"/>
  <c r="DA43" i="8"/>
  <c r="CZ43" i="8"/>
  <c r="CY43" i="8"/>
  <c r="CS43" i="8"/>
  <c r="CR43" i="8"/>
  <c r="CQ43" i="8"/>
  <c r="CP43" i="8"/>
  <c r="CO43" i="8"/>
  <c r="CN43" i="8"/>
  <c r="CM43" i="8"/>
  <c r="CL43" i="8"/>
  <c r="CK43" i="8"/>
  <c r="CJ43" i="8"/>
  <c r="CI43" i="8"/>
  <c r="CH43" i="8"/>
  <c r="CG43" i="8"/>
  <c r="CF43" i="8"/>
  <c r="CC43" i="8"/>
  <c r="CB43" i="8"/>
  <c r="CA43" i="8"/>
  <c r="BZ43" i="8"/>
  <c r="BY43" i="8"/>
  <c r="BW43" i="8"/>
  <c r="BV43" i="8"/>
  <c r="BU43" i="8"/>
  <c r="BT43" i="8"/>
  <c r="BS43" i="8"/>
  <c r="BQ43" i="8"/>
  <c r="BP43" i="8"/>
  <c r="BO43" i="8"/>
  <c r="BN43" i="8"/>
  <c r="BM43" i="8"/>
  <c r="BK43" i="8"/>
  <c r="BJ43" i="8"/>
  <c r="BI43" i="8"/>
  <c r="BH43" i="8"/>
  <c r="BG43" i="8"/>
  <c r="BE43" i="8"/>
  <c r="BD43" i="8"/>
  <c r="BC43" i="8"/>
  <c r="BB43" i="8"/>
  <c r="BA43" i="8"/>
  <c r="AZ43" i="8"/>
  <c r="AX43" i="8"/>
  <c r="AW43" i="8"/>
  <c r="AV43" i="8"/>
  <c r="AU43" i="8"/>
  <c r="AT43" i="8"/>
  <c r="AR43" i="8"/>
  <c r="AQ43" i="8"/>
  <c r="AP43" i="8"/>
  <c r="AO43" i="8"/>
  <c r="AN43" i="8"/>
  <c r="AM43" i="8"/>
  <c r="AK43" i="8"/>
  <c r="AJ43" i="8"/>
  <c r="AI43" i="8"/>
  <c r="AH43" i="8"/>
  <c r="AG43" i="8"/>
  <c r="AE43" i="8"/>
  <c r="AD43" i="8"/>
  <c r="AC43" i="8"/>
  <c r="AB43" i="8"/>
  <c r="AA43" i="8"/>
  <c r="Z43" i="8"/>
  <c r="X43" i="8"/>
  <c r="W43" i="8"/>
  <c r="V43" i="8"/>
  <c r="U43" i="8"/>
  <c r="T43" i="8"/>
  <c r="R43" i="8"/>
  <c r="Q43" i="8"/>
  <c r="P43" i="8"/>
  <c r="O43" i="8"/>
  <c r="N43" i="8"/>
  <c r="M43" i="8"/>
  <c r="K43" i="8"/>
  <c r="J43" i="8"/>
  <c r="I43" i="8"/>
  <c r="H43" i="8"/>
  <c r="G43" i="8"/>
  <c r="E43" i="8"/>
  <c r="A43" i="8"/>
  <c r="C43" i="8" s="1"/>
  <c r="FV42" i="8"/>
  <c r="FU42" i="8"/>
  <c r="FT42" i="8"/>
  <c r="FS42" i="8"/>
  <c r="FR42" i="8"/>
  <c r="FP42" i="8"/>
  <c r="FO42" i="8"/>
  <c r="FN42" i="8"/>
  <c r="FM42" i="8"/>
  <c r="FL42" i="8"/>
  <c r="FA42" i="8"/>
  <c r="EZ42" i="8"/>
  <c r="EY42" i="8"/>
  <c r="EX42" i="8"/>
  <c r="EW42" i="8"/>
  <c r="EV42" i="8"/>
  <c r="EU42" i="8"/>
  <c r="ET42" i="8"/>
  <c r="ES42" i="8"/>
  <c r="ER42" i="8"/>
  <c r="EQ42" i="8"/>
  <c r="EN42" i="8"/>
  <c r="EM42" i="8"/>
  <c r="EL42" i="8"/>
  <c r="EK42" i="8"/>
  <c r="EJ42" i="8"/>
  <c r="EI42" i="8"/>
  <c r="EH42" i="8"/>
  <c r="EG42" i="8"/>
  <c r="EF42" i="8"/>
  <c r="EE42" i="8"/>
  <c r="ED42" i="8"/>
  <c r="EA42" i="8"/>
  <c r="DZ42" i="8"/>
  <c r="DY42" i="8"/>
  <c r="DX42" i="8"/>
  <c r="DW42" i="8"/>
  <c r="DV42" i="8"/>
  <c r="DU42" i="8"/>
  <c r="DT42" i="8"/>
  <c r="DS42" i="8"/>
  <c r="DR42" i="8"/>
  <c r="DQ42" i="8"/>
  <c r="DP42" i="8"/>
  <c r="DN42" i="8"/>
  <c r="DM42" i="8"/>
  <c r="DL42" i="8"/>
  <c r="DK42" i="8"/>
  <c r="DJ42" i="8"/>
  <c r="DI42" i="8"/>
  <c r="DH42" i="8"/>
  <c r="DG42" i="8"/>
  <c r="DF42" i="8"/>
  <c r="DE42" i="8"/>
  <c r="DC42" i="8"/>
  <c r="DB42" i="8"/>
  <c r="DA42" i="8"/>
  <c r="CZ42" i="8"/>
  <c r="CY42" i="8"/>
  <c r="CS42" i="8"/>
  <c r="CR42" i="8"/>
  <c r="CQ42" i="8"/>
  <c r="CP42" i="8"/>
  <c r="CO42" i="8"/>
  <c r="CN42" i="8"/>
  <c r="CM42" i="8"/>
  <c r="CL42" i="8"/>
  <c r="CK42" i="8"/>
  <c r="CJ42" i="8"/>
  <c r="CI42" i="8"/>
  <c r="CH42" i="8"/>
  <c r="CG42" i="8"/>
  <c r="CF42" i="8"/>
  <c r="CC42" i="8"/>
  <c r="CB42" i="8"/>
  <c r="CA42" i="8"/>
  <c r="BZ42" i="8"/>
  <c r="BY42" i="8"/>
  <c r="BW42" i="8"/>
  <c r="BV42" i="8"/>
  <c r="BU42" i="8"/>
  <c r="BT42" i="8"/>
  <c r="BS42" i="8"/>
  <c r="BQ42" i="8"/>
  <c r="BP42" i="8"/>
  <c r="BO42" i="8"/>
  <c r="BN42" i="8"/>
  <c r="BM42" i="8"/>
  <c r="BK42" i="8"/>
  <c r="BJ42" i="8"/>
  <c r="BI42" i="8"/>
  <c r="BH42" i="8"/>
  <c r="BG42" i="8"/>
  <c r="BE42" i="8"/>
  <c r="BD42" i="8"/>
  <c r="BC42" i="8"/>
  <c r="BB42" i="8"/>
  <c r="BA42" i="8"/>
  <c r="AZ42" i="8"/>
  <c r="AX42" i="8"/>
  <c r="AW42" i="8"/>
  <c r="AV42" i="8"/>
  <c r="AU42" i="8"/>
  <c r="AT42" i="8"/>
  <c r="AR42" i="8"/>
  <c r="AQ42" i="8"/>
  <c r="AP42" i="8"/>
  <c r="AO42" i="8"/>
  <c r="AN42" i="8"/>
  <c r="AM42" i="8"/>
  <c r="AK42" i="8"/>
  <c r="AJ42" i="8"/>
  <c r="AI42" i="8"/>
  <c r="AH42" i="8"/>
  <c r="AG42" i="8"/>
  <c r="AE42" i="8"/>
  <c r="AD42" i="8"/>
  <c r="AC42" i="8"/>
  <c r="AB42" i="8"/>
  <c r="AA42" i="8"/>
  <c r="Z42" i="8"/>
  <c r="X42" i="8"/>
  <c r="W42" i="8"/>
  <c r="V42" i="8"/>
  <c r="U42" i="8"/>
  <c r="T42" i="8"/>
  <c r="R42" i="8"/>
  <c r="Q42" i="8"/>
  <c r="P42" i="8"/>
  <c r="O42" i="8"/>
  <c r="N42" i="8"/>
  <c r="M42" i="8"/>
  <c r="K42" i="8"/>
  <c r="J42" i="8"/>
  <c r="I42" i="8"/>
  <c r="H42" i="8"/>
  <c r="G42" i="8"/>
  <c r="E42" i="8"/>
  <c r="A42" i="8"/>
  <c r="C42" i="8" s="1"/>
  <c r="FV41" i="8"/>
  <c r="FU41" i="8"/>
  <c r="FT41" i="8"/>
  <c r="FS41" i="8"/>
  <c r="FR41" i="8"/>
  <c r="FP41" i="8"/>
  <c r="FO41" i="8"/>
  <c r="FN41" i="8"/>
  <c r="FM41" i="8"/>
  <c r="FL41" i="8"/>
  <c r="FA41" i="8"/>
  <c r="EZ41" i="8"/>
  <c r="EY41" i="8"/>
  <c r="EX41" i="8"/>
  <c r="EW41" i="8"/>
  <c r="EV41" i="8"/>
  <c r="EU41" i="8"/>
  <c r="ET41" i="8"/>
  <c r="ES41" i="8"/>
  <c r="ER41" i="8"/>
  <c r="EQ41" i="8"/>
  <c r="EN41" i="8"/>
  <c r="EM41" i="8"/>
  <c r="EL41" i="8"/>
  <c r="EK41" i="8"/>
  <c r="EJ41" i="8"/>
  <c r="EI41" i="8"/>
  <c r="EH41" i="8"/>
  <c r="EG41" i="8"/>
  <c r="EF41" i="8"/>
  <c r="EE41" i="8"/>
  <c r="ED41" i="8"/>
  <c r="EA41" i="8"/>
  <c r="DZ41" i="8"/>
  <c r="DY41" i="8"/>
  <c r="DX41" i="8"/>
  <c r="DW41" i="8"/>
  <c r="DV41" i="8"/>
  <c r="DU41" i="8"/>
  <c r="DT41" i="8"/>
  <c r="DS41" i="8"/>
  <c r="DR41" i="8"/>
  <c r="DQ41" i="8"/>
  <c r="DP41" i="8"/>
  <c r="DN41" i="8"/>
  <c r="DM41" i="8"/>
  <c r="DL41" i="8"/>
  <c r="DK41" i="8"/>
  <c r="DJ41" i="8"/>
  <c r="DI41" i="8"/>
  <c r="DH41" i="8"/>
  <c r="DG41" i="8"/>
  <c r="DF41" i="8"/>
  <c r="DE41" i="8"/>
  <c r="DC41" i="8"/>
  <c r="DB41" i="8"/>
  <c r="DA41" i="8"/>
  <c r="CZ41" i="8"/>
  <c r="CY41" i="8"/>
  <c r="CS41" i="8"/>
  <c r="CR41" i="8"/>
  <c r="CQ41" i="8"/>
  <c r="CP41" i="8"/>
  <c r="CO41" i="8"/>
  <c r="CN41" i="8"/>
  <c r="CM41" i="8"/>
  <c r="CL41" i="8"/>
  <c r="CK41" i="8"/>
  <c r="CJ41" i="8"/>
  <c r="CI41" i="8"/>
  <c r="CH41" i="8"/>
  <c r="CG41" i="8"/>
  <c r="CF41" i="8"/>
  <c r="CC41" i="8"/>
  <c r="CB41" i="8"/>
  <c r="CA41" i="8"/>
  <c r="BZ41" i="8"/>
  <c r="BY41" i="8"/>
  <c r="BW41" i="8"/>
  <c r="BV41" i="8"/>
  <c r="BU41" i="8"/>
  <c r="BT41" i="8"/>
  <c r="BS41" i="8"/>
  <c r="BQ41" i="8"/>
  <c r="BP41" i="8"/>
  <c r="BO41" i="8"/>
  <c r="BN41" i="8"/>
  <c r="BM41" i="8"/>
  <c r="BK41" i="8"/>
  <c r="BJ41" i="8"/>
  <c r="BI41" i="8"/>
  <c r="BH41" i="8"/>
  <c r="BG41" i="8"/>
  <c r="BE41" i="8"/>
  <c r="BD41" i="8"/>
  <c r="BC41" i="8"/>
  <c r="BB41" i="8"/>
  <c r="BA41" i="8"/>
  <c r="AZ41" i="8"/>
  <c r="AX41" i="8"/>
  <c r="AW41" i="8"/>
  <c r="AV41" i="8"/>
  <c r="AU41" i="8"/>
  <c r="AT41" i="8"/>
  <c r="AR41" i="8"/>
  <c r="AQ41" i="8"/>
  <c r="AP41" i="8"/>
  <c r="AO41" i="8"/>
  <c r="AN41" i="8"/>
  <c r="AM41" i="8"/>
  <c r="AK41" i="8"/>
  <c r="AJ41" i="8"/>
  <c r="AI41" i="8"/>
  <c r="AH41" i="8"/>
  <c r="AG41" i="8"/>
  <c r="AE41" i="8"/>
  <c r="AD41" i="8"/>
  <c r="AC41" i="8"/>
  <c r="AB41" i="8"/>
  <c r="AA41" i="8"/>
  <c r="Z41" i="8"/>
  <c r="X41" i="8"/>
  <c r="W41" i="8"/>
  <c r="V41" i="8"/>
  <c r="U41" i="8"/>
  <c r="T41" i="8"/>
  <c r="R41" i="8"/>
  <c r="Q41" i="8"/>
  <c r="P41" i="8"/>
  <c r="O41" i="8"/>
  <c r="N41" i="8"/>
  <c r="M41" i="8"/>
  <c r="K41" i="8"/>
  <c r="J41" i="8"/>
  <c r="I41" i="8"/>
  <c r="H41" i="8"/>
  <c r="G41" i="8"/>
  <c r="E41" i="8"/>
  <c r="A41" i="8"/>
  <c r="C41" i="8" s="1"/>
  <c r="FV40" i="8"/>
  <c r="FU40" i="8"/>
  <c r="FT40" i="8"/>
  <c r="FS40" i="8"/>
  <c r="FR40" i="8"/>
  <c r="FP40" i="8"/>
  <c r="FO40" i="8"/>
  <c r="FN40" i="8"/>
  <c r="FM40" i="8"/>
  <c r="FL40" i="8"/>
  <c r="FA40" i="8"/>
  <c r="EZ40" i="8"/>
  <c r="EY40" i="8"/>
  <c r="EX40" i="8"/>
  <c r="EW40" i="8"/>
  <c r="EV40" i="8"/>
  <c r="EU40" i="8"/>
  <c r="ET40" i="8"/>
  <c r="ES40" i="8"/>
  <c r="ER40" i="8"/>
  <c r="EQ40" i="8"/>
  <c r="EN40" i="8"/>
  <c r="EM40" i="8"/>
  <c r="EL40" i="8"/>
  <c r="EK40" i="8"/>
  <c r="EJ40" i="8"/>
  <c r="EI40" i="8"/>
  <c r="EH40" i="8"/>
  <c r="EG40" i="8"/>
  <c r="EF40" i="8"/>
  <c r="EE40" i="8"/>
  <c r="ED40" i="8"/>
  <c r="EA40" i="8"/>
  <c r="DZ40" i="8"/>
  <c r="DY40" i="8"/>
  <c r="DX40" i="8"/>
  <c r="DW40" i="8"/>
  <c r="DV40" i="8"/>
  <c r="DU40" i="8"/>
  <c r="DT40" i="8"/>
  <c r="DS40" i="8"/>
  <c r="DR40" i="8"/>
  <c r="DQ40" i="8"/>
  <c r="DP40" i="8"/>
  <c r="DN40" i="8"/>
  <c r="DM40" i="8"/>
  <c r="DL40" i="8"/>
  <c r="DK40" i="8"/>
  <c r="DJ40" i="8"/>
  <c r="DI40" i="8"/>
  <c r="DH40" i="8"/>
  <c r="DG40" i="8"/>
  <c r="DF40" i="8"/>
  <c r="DE40" i="8"/>
  <c r="DC40" i="8"/>
  <c r="DB40" i="8"/>
  <c r="DA40" i="8"/>
  <c r="CZ40" i="8"/>
  <c r="CY40" i="8"/>
  <c r="CS40" i="8"/>
  <c r="CR40" i="8"/>
  <c r="CQ40" i="8"/>
  <c r="CP40" i="8"/>
  <c r="CO40" i="8"/>
  <c r="CN40" i="8"/>
  <c r="CM40" i="8"/>
  <c r="CL40" i="8"/>
  <c r="CK40" i="8"/>
  <c r="CJ40" i="8"/>
  <c r="CI40" i="8"/>
  <c r="CH40" i="8"/>
  <c r="CG40" i="8"/>
  <c r="CF40" i="8"/>
  <c r="CC40" i="8"/>
  <c r="CB40" i="8"/>
  <c r="CA40" i="8"/>
  <c r="BZ40" i="8"/>
  <c r="BY40" i="8"/>
  <c r="BW40" i="8"/>
  <c r="BV40" i="8"/>
  <c r="BU40" i="8"/>
  <c r="BT40" i="8"/>
  <c r="BS40" i="8"/>
  <c r="BQ40" i="8"/>
  <c r="BP40" i="8"/>
  <c r="BO40" i="8"/>
  <c r="BN40" i="8"/>
  <c r="BM40" i="8"/>
  <c r="BK40" i="8"/>
  <c r="BJ40" i="8"/>
  <c r="BI40" i="8"/>
  <c r="BH40" i="8"/>
  <c r="BG40" i="8"/>
  <c r="BE40" i="8"/>
  <c r="BD40" i="8"/>
  <c r="BC40" i="8"/>
  <c r="BB40" i="8"/>
  <c r="BA40" i="8"/>
  <c r="AZ40" i="8"/>
  <c r="AX40" i="8"/>
  <c r="AW40" i="8"/>
  <c r="AV40" i="8"/>
  <c r="AU40" i="8"/>
  <c r="AT40" i="8"/>
  <c r="AR40" i="8"/>
  <c r="AQ40" i="8"/>
  <c r="AP40" i="8"/>
  <c r="AO40" i="8"/>
  <c r="AN40" i="8"/>
  <c r="AM40" i="8"/>
  <c r="AK40" i="8"/>
  <c r="AJ40" i="8"/>
  <c r="AI40" i="8"/>
  <c r="AH40" i="8"/>
  <c r="AG40" i="8"/>
  <c r="AE40" i="8"/>
  <c r="AD40" i="8"/>
  <c r="AC40" i="8"/>
  <c r="AB40" i="8"/>
  <c r="AA40" i="8"/>
  <c r="Z40" i="8"/>
  <c r="X40" i="8"/>
  <c r="W40" i="8"/>
  <c r="V40" i="8"/>
  <c r="U40" i="8"/>
  <c r="T40" i="8"/>
  <c r="R40" i="8"/>
  <c r="Q40" i="8"/>
  <c r="P40" i="8"/>
  <c r="O40" i="8"/>
  <c r="N40" i="8"/>
  <c r="M40" i="8"/>
  <c r="K40" i="8"/>
  <c r="J40" i="8"/>
  <c r="I40" i="8"/>
  <c r="H40" i="8"/>
  <c r="G40" i="8"/>
  <c r="E40" i="8"/>
  <c r="A40" i="8"/>
  <c r="C40" i="8" s="1"/>
  <c r="FV39" i="8"/>
  <c r="FU39" i="8"/>
  <c r="FT39" i="8"/>
  <c r="FS39" i="8"/>
  <c r="FR39" i="8"/>
  <c r="FP39" i="8"/>
  <c r="FO39" i="8"/>
  <c r="FN39" i="8"/>
  <c r="FM39" i="8"/>
  <c r="FL39" i="8"/>
  <c r="FA39" i="8"/>
  <c r="EZ39" i="8"/>
  <c r="EY39" i="8"/>
  <c r="EX39" i="8"/>
  <c r="EW39" i="8"/>
  <c r="EV39" i="8"/>
  <c r="EU39" i="8"/>
  <c r="ET39" i="8"/>
  <c r="ES39" i="8"/>
  <c r="ER39" i="8"/>
  <c r="EQ39" i="8"/>
  <c r="EN39" i="8"/>
  <c r="EM39" i="8"/>
  <c r="EL39" i="8"/>
  <c r="EK39" i="8"/>
  <c r="EJ39" i="8"/>
  <c r="EI39" i="8"/>
  <c r="EH39" i="8"/>
  <c r="EG39" i="8"/>
  <c r="EF39" i="8"/>
  <c r="EE39" i="8"/>
  <c r="ED39" i="8"/>
  <c r="EA39" i="8"/>
  <c r="DZ39" i="8"/>
  <c r="DY39" i="8"/>
  <c r="DX39" i="8"/>
  <c r="DW39" i="8"/>
  <c r="DV39" i="8"/>
  <c r="DU39" i="8"/>
  <c r="DT39" i="8"/>
  <c r="DS39" i="8"/>
  <c r="DR39" i="8"/>
  <c r="DQ39" i="8"/>
  <c r="DP39" i="8"/>
  <c r="DN39" i="8"/>
  <c r="DM39" i="8"/>
  <c r="DL39" i="8"/>
  <c r="DK39" i="8"/>
  <c r="DJ39" i="8"/>
  <c r="DI39" i="8"/>
  <c r="DH39" i="8"/>
  <c r="DG39" i="8"/>
  <c r="DF39" i="8"/>
  <c r="DE39" i="8"/>
  <c r="DC39" i="8"/>
  <c r="DB39" i="8"/>
  <c r="DA39" i="8"/>
  <c r="CZ39" i="8"/>
  <c r="CY39" i="8"/>
  <c r="CS39" i="8"/>
  <c r="CR39" i="8"/>
  <c r="CQ39" i="8"/>
  <c r="CP39" i="8"/>
  <c r="CO39" i="8"/>
  <c r="CN39" i="8"/>
  <c r="CM39" i="8"/>
  <c r="CL39" i="8"/>
  <c r="CK39" i="8"/>
  <c r="CJ39" i="8"/>
  <c r="CI39" i="8"/>
  <c r="CH39" i="8"/>
  <c r="CG39" i="8"/>
  <c r="CF39" i="8"/>
  <c r="CC39" i="8"/>
  <c r="CB39" i="8"/>
  <c r="CA39" i="8"/>
  <c r="BZ39" i="8"/>
  <c r="BY39" i="8"/>
  <c r="BW39" i="8"/>
  <c r="BV39" i="8"/>
  <c r="BU39" i="8"/>
  <c r="BT39" i="8"/>
  <c r="BS39" i="8"/>
  <c r="BQ39" i="8"/>
  <c r="BP39" i="8"/>
  <c r="BO39" i="8"/>
  <c r="BN39" i="8"/>
  <c r="BM39" i="8"/>
  <c r="BK39" i="8"/>
  <c r="BJ39" i="8"/>
  <c r="BI39" i="8"/>
  <c r="BH39" i="8"/>
  <c r="BG39" i="8"/>
  <c r="BE39" i="8"/>
  <c r="BD39" i="8"/>
  <c r="BC39" i="8"/>
  <c r="BB39" i="8"/>
  <c r="BA39" i="8"/>
  <c r="AZ39" i="8"/>
  <c r="AX39" i="8"/>
  <c r="AW39" i="8"/>
  <c r="AV39" i="8"/>
  <c r="AU39" i="8"/>
  <c r="AT39" i="8"/>
  <c r="AR39" i="8"/>
  <c r="AQ39" i="8"/>
  <c r="AP39" i="8"/>
  <c r="AO39" i="8"/>
  <c r="AN39" i="8"/>
  <c r="AM39" i="8"/>
  <c r="AK39" i="8"/>
  <c r="AJ39" i="8"/>
  <c r="AI39" i="8"/>
  <c r="AH39" i="8"/>
  <c r="AG39" i="8"/>
  <c r="AE39" i="8"/>
  <c r="AD39" i="8"/>
  <c r="AC39" i="8"/>
  <c r="AB39" i="8"/>
  <c r="AA39" i="8"/>
  <c r="Z39" i="8"/>
  <c r="X39" i="8"/>
  <c r="W39" i="8"/>
  <c r="V39" i="8"/>
  <c r="U39" i="8"/>
  <c r="T39" i="8"/>
  <c r="R39" i="8"/>
  <c r="Q39" i="8"/>
  <c r="P39" i="8"/>
  <c r="O39" i="8"/>
  <c r="N39" i="8"/>
  <c r="M39" i="8"/>
  <c r="K39" i="8"/>
  <c r="J39" i="8"/>
  <c r="I39" i="8"/>
  <c r="H39" i="8"/>
  <c r="G39" i="8"/>
  <c r="E39" i="8"/>
  <c r="A39" i="8"/>
  <c r="C39" i="8" s="1"/>
  <c r="FV38" i="8"/>
  <c r="FU38" i="8"/>
  <c r="FT38" i="8"/>
  <c r="FS38" i="8"/>
  <c r="FR38" i="8"/>
  <c r="FP38" i="8"/>
  <c r="FO38" i="8"/>
  <c r="FN38" i="8"/>
  <c r="FM38" i="8"/>
  <c r="FL38" i="8"/>
  <c r="FA38" i="8"/>
  <c r="EZ38" i="8"/>
  <c r="EY38" i="8"/>
  <c r="EX38" i="8"/>
  <c r="EW38" i="8"/>
  <c r="EV38" i="8"/>
  <c r="EU38" i="8"/>
  <c r="ET38" i="8"/>
  <c r="ES38" i="8"/>
  <c r="ER38" i="8"/>
  <c r="EQ38" i="8"/>
  <c r="EN38" i="8"/>
  <c r="EM38" i="8"/>
  <c r="EL38" i="8"/>
  <c r="EK38" i="8"/>
  <c r="EJ38" i="8"/>
  <c r="EI38" i="8"/>
  <c r="EH38" i="8"/>
  <c r="EG38" i="8"/>
  <c r="EF38" i="8"/>
  <c r="EE38" i="8"/>
  <c r="ED38" i="8"/>
  <c r="EA38" i="8"/>
  <c r="DZ38" i="8"/>
  <c r="DY38" i="8"/>
  <c r="DX38" i="8"/>
  <c r="DW38" i="8"/>
  <c r="DV38" i="8"/>
  <c r="DU38" i="8"/>
  <c r="DT38" i="8"/>
  <c r="DS38" i="8"/>
  <c r="DR38" i="8"/>
  <c r="DQ38" i="8"/>
  <c r="DP38" i="8"/>
  <c r="DN38" i="8"/>
  <c r="DM38" i="8"/>
  <c r="DL38" i="8"/>
  <c r="DK38" i="8"/>
  <c r="DJ38" i="8"/>
  <c r="DI38" i="8"/>
  <c r="DH38" i="8"/>
  <c r="DG38" i="8"/>
  <c r="DF38" i="8"/>
  <c r="DE38" i="8"/>
  <c r="DC38" i="8"/>
  <c r="DB38" i="8"/>
  <c r="DA38" i="8"/>
  <c r="CZ38" i="8"/>
  <c r="CY38" i="8"/>
  <c r="CS38" i="8"/>
  <c r="CR38" i="8"/>
  <c r="CQ38" i="8"/>
  <c r="CP38" i="8"/>
  <c r="CO38" i="8"/>
  <c r="CN38" i="8"/>
  <c r="CM38" i="8"/>
  <c r="CL38" i="8"/>
  <c r="CK38" i="8"/>
  <c r="CJ38" i="8"/>
  <c r="CI38" i="8"/>
  <c r="CH38" i="8"/>
  <c r="CG38" i="8"/>
  <c r="CF38" i="8"/>
  <c r="CC38" i="8"/>
  <c r="CB38" i="8"/>
  <c r="CA38" i="8"/>
  <c r="BZ38" i="8"/>
  <c r="BY38" i="8"/>
  <c r="BW38" i="8"/>
  <c r="BV38" i="8"/>
  <c r="BU38" i="8"/>
  <c r="BT38" i="8"/>
  <c r="BS38" i="8"/>
  <c r="BQ38" i="8"/>
  <c r="BP38" i="8"/>
  <c r="BO38" i="8"/>
  <c r="BN38" i="8"/>
  <c r="BM38" i="8"/>
  <c r="BK38" i="8"/>
  <c r="BJ38" i="8"/>
  <c r="BI38" i="8"/>
  <c r="BH38" i="8"/>
  <c r="BG38" i="8"/>
  <c r="BE38" i="8"/>
  <c r="BD38" i="8"/>
  <c r="BC38" i="8"/>
  <c r="BB38" i="8"/>
  <c r="BA38" i="8"/>
  <c r="AZ38" i="8"/>
  <c r="AX38" i="8"/>
  <c r="AW38" i="8"/>
  <c r="AV38" i="8"/>
  <c r="AU38" i="8"/>
  <c r="AT38" i="8"/>
  <c r="AR38" i="8"/>
  <c r="AQ38" i="8"/>
  <c r="AP38" i="8"/>
  <c r="AO38" i="8"/>
  <c r="AN38" i="8"/>
  <c r="AM38" i="8"/>
  <c r="AK38" i="8"/>
  <c r="AJ38" i="8"/>
  <c r="AI38" i="8"/>
  <c r="AH38" i="8"/>
  <c r="AG38" i="8"/>
  <c r="AE38" i="8"/>
  <c r="AD38" i="8"/>
  <c r="AC38" i="8"/>
  <c r="AB38" i="8"/>
  <c r="AA38" i="8"/>
  <c r="Z38" i="8"/>
  <c r="X38" i="8"/>
  <c r="W38" i="8"/>
  <c r="V38" i="8"/>
  <c r="U38" i="8"/>
  <c r="T38" i="8"/>
  <c r="R38" i="8"/>
  <c r="Q38" i="8"/>
  <c r="P38" i="8"/>
  <c r="O38" i="8"/>
  <c r="N38" i="8"/>
  <c r="M38" i="8"/>
  <c r="K38" i="8"/>
  <c r="J38" i="8"/>
  <c r="I38" i="8"/>
  <c r="H38" i="8"/>
  <c r="G38" i="8"/>
  <c r="E38" i="8"/>
  <c r="A38" i="8"/>
  <c r="C38" i="8" s="1"/>
  <c r="FV37" i="8"/>
  <c r="FU37" i="8"/>
  <c r="FT37" i="8"/>
  <c r="FS37" i="8"/>
  <c r="FR37" i="8"/>
  <c r="FP37" i="8"/>
  <c r="FO37" i="8"/>
  <c r="FN37" i="8"/>
  <c r="FM37" i="8"/>
  <c r="FL37" i="8"/>
  <c r="FA37" i="8"/>
  <c r="EZ37" i="8"/>
  <c r="EY37" i="8"/>
  <c r="EX37" i="8"/>
  <c r="EW37" i="8"/>
  <c r="EV37" i="8"/>
  <c r="EU37" i="8"/>
  <c r="ET37" i="8"/>
  <c r="ES37" i="8"/>
  <c r="ER37" i="8"/>
  <c r="EQ37" i="8"/>
  <c r="EN37" i="8"/>
  <c r="EM37" i="8"/>
  <c r="EL37" i="8"/>
  <c r="EK37" i="8"/>
  <c r="EJ37" i="8"/>
  <c r="EI37" i="8"/>
  <c r="EH37" i="8"/>
  <c r="EG37" i="8"/>
  <c r="EF37" i="8"/>
  <c r="EE37" i="8"/>
  <c r="ED37" i="8"/>
  <c r="EA37" i="8"/>
  <c r="DZ37" i="8"/>
  <c r="DY37" i="8"/>
  <c r="DX37" i="8"/>
  <c r="DW37" i="8"/>
  <c r="DV37" i="8"/>
  <c r="DU37" i="8"/>
  <c r="DT37" i="8"/>
  <c r="DS37" i="8"/>
  <c r="DR37" i="8"/>
  <c r="DQ37" i="8"/>
  <c r="DP37" i="8"/>
  <c r="DN37" i="8"/>
  <c r="DM37" i="8"/>
  <c r="DL37" i="8"/>
  <c r="DK37" i="8"/>
  <c r="DJ37" i="8"/>
  <c r="DI37" i="8"/>
  <c r="DH37" i="8"/>
  <c r="DG37" i="8"/>
  <c r="DF37" i="8"/>
  <c r="DE37" i="8"/>
  <c r="DC37" i="8"/>
  <c r="DB37" i="8"/>
  <c r="DA37" i="8"/>
  <c r="CZ37" i="8"/>
  <c r="CY37" i="8"/>
  <c r="CS37" i="8"/>
  <c r="CR37" i="8"/>
  <c r="CQ37" i="8"/>
  <c r="CP37" i="8"/>
  <c r="CO37" i="8"/>
  <c r="CN37" i="8"/>
  <c r="CM37" i="8"/>
  <c r="CL37" i="8"/>
  <c r="CK37" i="8"/>
  <c r="CJ37" i="8"/>
  <c r="CI37" i="8"/>
  <c r="CH37" i="8"/>
  <c r="CG37" i="8"/>
  <c r="CF37" i="8"/>
  <c r="CC37" i="8"/>
  <c r="CB37" i="8"/>
  <c r="CA37" i="8"/>
  <c r="BZ37" i="8"/>
  <c r="BY37" i="8"/>
  <c r="BW37" i="8"/>
  <c r="BV37" i="8"/>
  <c r="BU37" i="8"/>
  <c r="BT37" i="8"/>
  <c r="BS37" i="8"/>
  <c r="BQ37" i="8"/>
  <c r="BP37" i="8"/>
  <c r="BO37" i="8"/>
  <c r="BN37" i="8"/>
  <c r="BM37" i="8"/>
  <c r="BK37" i="8"/>
  <c r="BJ37" i="8"/>
  <c r="BI37" i="8"/>
  <c r="BH37" i="8"/>
  <c r="BG37" i="8"/>
  <c r="BE37" i="8"/>
  <c r="BD37" i="8"/>
  <c r="BC37" i="8"/>
  <c r="BB37" i="8"/>
  <c r="BA37" i="8"/>
  <c r="AZ37" i="8"/>
  <c r="AX37" i="8"/>
  <c r="AW37" i="8"/>
  <c r="AV37" i="8"/>
  <c r="AU37" i="8"/>
  <c r="AT37" i="8"/>
  <c r="AR37" i="8"/>
  <c r="AQ37" i="8"/>
  <c r="AP37" i="8"/>
  <c r="AO37" i="8"/>
  <c r="AN37" i="8"/>
  <c r="AM37" i="8"/>
  <c r="AK37" i="8"/>
  <c r="AJ37" i="8"/>
  <c r="AI37" i="8"/>
  <c r="AH37" i="8"/>
  <c r="AG37" i="8"/>
  <c r="AE37" i="8"/>
  <c r="AD37" i="8"/>
  <c r="AC37" i="8"/>
  <c r="AB37" i="8"/>
  <c r="AA37" i="8"/>
  <c r="Z37" i="8"/>
  <c r="X37" i="8"/>
  <c r="W37" i="8"/>
  <c r="V37" i="8"/>
  <c r="U37" i="8"/>
  <c r="T37" i="8"/>
  <c r="R37" i="8"/>
  <c r="Q37" i="8"/>
  <c r="P37" i="8"/>
  <c r="O37" i="8"/>
  <c r="N37" i="8"/>
  <c r="M37" i="8"/>
  <c r="K37" i="8"/>
  <c r="J37" i="8"/>
  <c r="I37" i="8"/>
  <c r="H37" i="8"/>
  <c r="G37" i="8"/>
  <c r="E37" i="8"/>
  <c r="A37" i="8"/>
  <c r="C37" i="8" s="1"/>
  <c r="FV36" i="8"/>
  <c r="FU36" i="8"/>
  <c r="FT36" i="8"/>
  <c r="FS36" i="8"/>
  <c r="FR36" i="8"/>
  <c r="FP36" i="8"/>
  <c r="FO36" i="8"/>
  <c r="FN36" i="8"/>
  <c r="FM36" i="8"/>
  <c r="FL36" i="8"/>
  <c r="FA36" i="8"/>
  <c r="EZ36" i="8"/>
  <c r="EY36" i="8"/>
  <c r="EX36" i="8"/>
  <c r="EW36" i="8"/>
  <c r="EV36" i="8"/>
  <c r="EU36" i="8"/>
  <c r="ET36" i="8"/>
  <c r="ES36" i="8"/>
  <c r="ER36" i="8"/>
  <c r="EQ36" i="8"/>
  <c r="EN36" i="8"/>
  <c r="EM36" i="8"/>
  <c r="EL36" i="8"/>
  <c r="EK36" i="8"/>
  <c r="EJ36" i="8"/>
  <c r="EI36" i="8"/>
  <c r="EH36" i="8"/>
  <c r="EG36" i="8"/>
  <c r="EF36" i="8"/>
  <c r="EE36" i="8"/>
  <c r="ED36" i="8"/>
  <c r="EA36" i="8"/>
  <c r="DZ36" i="8"/>
  <c r="DY36" i="8"/>
  <c r="DX36" i="8"/>
  <c r="DW36" i="8"/>
  <c r="DV36" i="8"/>
  <c r="DU36" i="8"/>
  <c r="DT36" i="8"/>
  <c r="DS36" i="8"/>
  <c r="DR36" i="8"/>
  <c r="DQ36" i="8"/>
  <c r="DP36" i="8"/>
  <c r="DN36" i="8"/>
  <c r="DM36" i="8"/>
  <c r="DL36" i="8"/>
  <c r="DK36" i="8"/>
  <c r="DJ36" i="8"/>
  <c r="DI36" i="8"/>
  <c r="DH36" i="8"/>
  <c r="DG36" i="8"/>
  <c r="DF36" i="8"/>
  <c r="DE36" i="8"/>
  <c r="DC36" i="8"/>
  <c r="DB36" i="8"/>
  <c r="DA36" i="8"/>
  <c r="CZ36" i="8"/>
  <c r="CY36" i="8"/>
  <c r="CS36" i="8"/>
  <c r="CR36" i="8"/>
  <c r="CQ36" i="8"/>
  <c r="CP36" i="8"/>
  <c r="CO36" i="8"/>
  <c r="CN36" i="8"/>
  <c r="CM36" i="8"/>
  <c r="CL36" i="8"/>
  <c r="CK36" i="8"/>
  <c r="CJ36" i="8"/>
  <c r="CI36" i="8"/>
  <c r="CH36" i="8"/>
  <c r="CG36" i="8"/>
  <c r="CF36" i="8"/>
  <c r="CC36" i="8"/>
  <c r="CB36" i="8"/>
  <c r="CA36" i="8"/>
  <c r="BZ36" i="8"/>
  <c r="BY36" i="8"/>
  <c r="BW36" i="8"/>
  <c r="BV36" i="8"/>
  <c r="BU36" i="8"/>
  <c r="BT36" i="8"/>
  <c r="BS36" i="8"/>
  <c r="BQ36" i="8"/>
  <c r="BP36" i="8"/>
  <c r="BO36" i="8"/>
  <c r="BN36" i="8"/>
  <c r="BM36" i="8"/>
  <c r="BK36" i="8"/>
  <c r="BJ36" i="8"/>
  <c r="BI36" i="8"/>
  <c r="BH36" i="8"/>
  <c r="BG36" i="8"/>
  <c r="BE36" i="8"/>
  <c r="BD36" i="8"/>
  <c r="BC36" i="8"/>
  <c r="BB36" i="8"/>
  <c r="BA36" i="8"/>
  <c r="AZ36" i="8"/>
  <c r="AX36" i="8"/>
  <c r="AW36" i="8"/>
  <c r="AV36" i="8"/>
  <c r="AU36" i="8"/>
  <c r="AT36" i="8"/>
  <c r="AR36" i="8"/>
  <c r="AQ36" i="8"/>
  <c r="AP36" i="8"/>
  <c r="AO36" i="8"/>
  <c r="AN36" i="8"/>
  <c r="AM36" i="8"/>
  <c r="AK36" i="8"/>
  <c r="AJ36" i="8"/>
  <c r="AI36" i="8"/>
  <c r="AH36" i="8"/>
  <c r="AG36" i="8"/>
  <c r="AE36" i="8"/>
  <c r="AD36" i="8"/>
  <c r="AC36" i="8"/>
  <c r="AB36" i="8"/>
  <c r="AA36" i="8"/>
  <c r="Z36" i="8"/>
  <c r="X36" i="8"/>
  <c r="W36" i="8"/>
  <c r="V36" i="8"/>
  <c r="U36" i="8"/>
  <c r="T36" i="8"/>
  <c r="R36" i="8"/>
  <c r="Q36" i="8"/>
  <c r="P36" i="8"/>
  <c r="O36" i="8"/>
  <c r="N36" i="8"/>
  <c r="M36" i="8"/>
  <c r="K36" i="8"/>
  <c r="J36" i="8"/>
  <c r="I36" i="8"/>
  <c r="H36" i="8"/>
  <c r="G36" i="8"/>
  <c r="E36" i="8"/>
  <c r="A36" i="8"/>
  <c r="C36" i="8" s="1"/>
  <c r="FV34" i="8"/>
  <c r="FU34" i="8"/>
  <c r="FT34" i="8"/>
  <c r="FS34" i="8"/>
  <c r="FR34" i="8"/>
  <c r="FP34" i="8"/>
  <c r="FO34" i="8"/>
  <c r="FN34" i="8"/>
  <c r="FM34" i="8"/>
  <c r="FL34" i="8"/>
  <c r="FA34" i="8"/>
  <c r="EZ34" i="8"/>
  <c r="EY34" i="8"/>
  <c r="EX34" i="8"/>
  <c r="EW34" i="8"/>
  <c r="EV34" i="8"/>
  <c r="EU34" i="8"/>
  <c r="ET34" i="8"/>
  <c r="ES34" i="8"/>
  <c r="ER34" i="8"/>
  <c r="EQ34" i="8"/>
  <c r="EN34" i="8"/>
  <c r="EM34" i="8"/>
  <c r="EL34" i="8"/>
  <c r="EK34" i="8"/>
  <c r="EJ34" i="8"/>
  <c r="EI34" i="8"/>
  <c r="EH34" i="8"/>
  <c r="EG34" i="8"/>
  <c r="EF34" i="8"/>
  <c r="EE34" i="8"/>
  <c r="ED34" i="8"/>
  <c r="EA34" i="8"/>
  <c r="DZ34" i="8"/>
  <c r="DY34" i="8"/>
  <c r="DX34" i="8"/>
  <c r="DW34" i="8"/>
  <c r="DV34" i="8"/>
  <c r="DU34" i="8"/>
  <c r="DT34" i="8"/>
  <c r="DS34" i="8"/>
  <c r="DR34" i="8"/>
  <c r="DQ34" i="8"/>
  <c r="DP34" i="8"/>
  <c r="DN34" i="8"/>
  <c r="DM34" i="8"/>
  <c r="DL34" i="8"/>
  <c r="DK34" i="8"/>
  <c r="DJ34" i="8"/>
  <c r="DI34" i="8"/>
  <c r="DH34" i="8"/>
  <c r="DG34" i="8"/>
  <c r="DF34" i="8"/>
  <c r="DE34" i="8"/>
  <c r="DC34" i="8"/>
  <c r="DB34" i="8"/>
  <c r="DA34" i="8"/>
  <c r="CZ34" i="8"/>
  <c r="CY34" i="8"/>
  <c r="CS34" i="8"/>
  <c r="CR34" i="8"/>
  <c r="CQ34" i="8"/>
  <c r="CP34" i="8"/>
  <c r="CO34" i="8"/>
  <c r="CN34" i="8"/>
  <c r="CM34" i="8"/>
  <c r="CL34" i="8"/>
  <c r="CK34" i="8"/>
  <c r="CJ34" i="8"/>
  <c r="CI34" i="8"/>
  <c r="CH34" i="8"/>
  <c r="CG34" i="8"/>
  <c r="CF34" i="8"/>
  <c r="CC34" i="8"/>
  <c r="CB34" i="8"/>
  <c r="CA34" i="8"/>
  <c r="BZ34" i="8"/>
  <c r="BY34" i="8"/>
  <c r="BW34" i="8"/>
  <c r="BV34" i="8"/>
  <c r="BU34" i="8"/>
  <c r="BT34" i="8"/>
  <c r="BS34" i="8"/>
  <c r="BQ34" i="8"/>
  <c r="BP34" i="8"/>
  <c r="BO34" i="8"/>
  <c r="BN34" i="8"/>
  <c r="BM34" i="8"/>
  <c r="BK34" i="8"/>
  <c r="BJ34" i="8"/>
  <c r="BI34" i="8"/>
  <c r="BH34" i="8"/>
  <c r="BG34" i="8"/>
  <c r="BE34" i="8"/>
  <c r="BD34" i="8"/>
  <c r="BC34" i="8"/>
  <c r="BB34" i="8"/>
  <c r="BA34" i="8"/>
  <c r="AZ34" i="8"/>
  <c r="AX34" i="8"/>
  <c r="AW34" i="8"/>
  <c r="AV34" i="8"/>
  <c r="AU34" i="8"/>
  <c r="AT34" i="8"/>
  <c r="AR34" i="8"/>
  <c r="AQ34" i="8"/>
  <c r="AP34" i="8"/>
  <c r="AO34" i="8"/>
  <c r="AN34" i="8"/>
  <c r="AM34" i="8"/>
  <c r="AK34" i="8"/>
  <c r="AJ34" i="8"/>
  <c r="AI34" i="8"/>
  <c r="AH34" i="8"/>
  <c r="AG34" i="8"/>
  <c r="AE34" i="8"/>
  <c r="AD34" i="8"/>
  <c r="AC34" i="8"/>
  <c r="AB34" i="8"/>
  <c r="AA34" i="8"/>
  <c r="Z34" i="8"/>
  <c r="X34" i="8"/>
  <c r="W34" i="8"/>
  <c r="V34" i="8"/>
  <c r="U34" i="8"/>
  <c r="T34" i="8"/>
  <c r="R34" i="8"/>
  <c r="Q34" i="8"/>
  <c r="P34" i="8"/>
  <c r="O34" i="8"/>
  <c r="N34" i="8"/>
  <c r="M34" i="8"/>
  <c r="K34" i="8"/>
  <c r="J34" i="8"/>
  <c r="I34" i="8"/>
  <c r="H34" i="8"/>
  <c r="G34" i="8"/>
  <c r="E34" i="8"/>
  <c r="A34" i="8"/>
  <c r="C34" i="8" s="1"/>
  <c r="FV33" i="8"/>
  <c r="FU33" i="8"/>
  <c r="FT33" i="8"/>
  <c r="FS33" i="8"/>
  <c r="FR33" i="8"/>
  <c r="FP33" i="8"/>
  <c r="FO33" i="8"/>
  <c r="FN33" i="8"/>
  <c r="FM33" i="8"/>
  <c r="FL33" i="8"/>
  <c r="FA33" i="8"/>
  <c r="EZ33" i="8"/>
  <c r="EY33" i="8"/>
  <c r="EX33" i="8"/>
  <c r="EW33" i="8"/>
  <c r="EV33" i="8"/>
  <c r="EU33" i="8"/>
  <c r="ET33" i="8"/>
  <c r="ES33" i="8"/>
  <c r="ER33" i="8"/>
  <c r="EQ33" i="8"/>
  <c r="EN33" i="8"/>
  <c r="EM33" i="8"/>
  <c r="EL33" i="8"/>
  <c r="EK33" i="8"/>
  <c r="EJ33" i="8"/>
  <c r="EI33" i="8"/>
  <c r="EH33" i="8"/>
  <c r="EG33" i="8"/>
  <c r="EF33" i="8"/>
  <c r="EE33" i="8"/>
  <c r="ED33" i="8"/>
  <c r="EA33" i="8"/>
  <c r="DZ33" i="8"/>
  <c r="DY33" i="8"/>
  <c r="DX33" i="8"/>
  <c r="DW33" i="8"/>
  <c r="DV33" i="8"/>
  <c r="DU33" i="8"/>
  <c r="DT33" i="8"/>
  <c r="DS33" i="8"/>
  <c r="DR33" i="8"/>
  <c r="DQ33" i="8"/>
  <c r="DP33" i="8"/>
  <c r="DN33" i="8"/>
  <c r="DM33" i="8"/>
  <c r="DL33" i="8"/>
  <c r="DK33" i="8"/>
  <c r="DJ33" i="8"/>
  <c r="DI33" i="8"/>
  <c r="DH33" i="8"/>
  <c r="DG33" i="8"/>
  <c r="DF33" i="8"/>
  <c r="DE33" i="8"/>
  <c r="DC33" i="8"/>
  <c r="DB33" i="8"/>
  <c r="DA33" i="8"/>
  <c r="CZ33" i="8"/>
  <c r="CY33" i="8"/>
  <c r="CS33" i="8"/>
  <c r="CR33" i="8"/>
  <c r="CQ33" i="8"/>
  <c r="CP33" i="8"/>
  <c r="CO33" i="8"/>
  <c r="CN33" i="8"/>
  <c r="CM33" i="8"/>
  <c r="CL33" i="8"/>
  <c r="CK33" i="8"/>
  <c r="CJ33" i="8"/>
  <c r="CI33" i="8"/>
  <c r="CH33" i="8"/>
  <c r="CG33" i="8"/>
  <c r="CF33" i="8"/>
  <c r="CC33" i="8"/>
  <c r="CB33" i="8"/>
  <c r="CA33" i="8"/>
  <c r="BZ33" i="8"/>
  <c r="BY33" i="8"/>
  <c r="BW33" i="8"/>
  <c r="BV33" i="8"/>
  <c r="BU33" i="8"/>
  <c r="BT33" i="8"/>
  <c r="BS33" i="8"/>
  <c r="BQ33" i="8"/>
  <c r="BP33" i="8"/>
  <c r="BO33" i="8"/>
  <c r="BN33" i="8"/>
  <c r="BM33" i="8"/>
  <c r="BK33" i="8"/>
  <c r="BJ33" i="8"/>
  <c r="BI33" i="8"/>
  <c r="BH33" i="8"/>
  <c r="BG33" i="8"/>
  <c r="BE33" i="8"/>
  <c r="BD33" i="8"/>
  <c r="BC33" i="8"/>
  <c r="BB33" i="8"/>
  <c r="BA33" i="8"/>
  <c r="AZ33" i="8"/>
  <c r="AX33" i="8"/>
  <c r="AW33" i="8"/>
  <c r="AV33" i="8"/>
  <c r="AU33" i="8"/>
  <c r="AT33" i="8"/>
  <c r="AR33" i="8"/>
  <c r="AQ33" i="8"/>
  <c r="AP33" i="8"/>
  <c r="AO33" i="8"/>
  <c r="AN33" i="8"/>
  <c r="AM33" i="8"/>
  <c r="AK33" i="8"/>
  <c r="AJ33" i="8"/>
  <c r="AI33" i="8"/>
  <c r="AH33" i="8"/>
  <c r="AG33" i="8"/>
  <c r="AE33" i="8"/>
  <c r="AD33" i="8"/>
  <c r="AC33" i="8"/>
  <c r="AB33" i="8"/>
  <c r="AA33" i="8"/>
  <c r="Z33" i="8"/>
  <c r="X33" i="8"/>
  <c r="W33" i="8"/>
  <c r="V33" i="8"/>
  <c r="U33" i="8"/>
  <c r="T33" i="8"/>
  <c r="R33" i="8"/>
  <c r="Q33" i="8"/>
  <c r="P33" i="8"/>
  <c r="O33" i="8"/>
  <c r="N33" i="8"/>
  <c r="M33" i="8"/>
  <c r="K33" i="8"/>
  <c r="J33" i="8"/>
  <c r="I33" i="8"/>
  <c r="H33" i="8"/>
  <c r="G33" i="8"/>
  <c r="E33" i="8"/>
  <c r="A33" i="8"/>
  <c r="C33" i="8" s="1"/>
  <c r="FV32" i="8"/>
  <c r="FU32" i="8"/>
  <c r="FT32" i="8"/>
  <c r="FS32" i="8"/>
  <c r="FR32" i="8"/>
  <c r="FP32" i="8"/>
  <c r="FO32" i="8"/>
  <c r="FN32" i="8"/>
  <c r="FM32" i="8"/>
  <c r="FL32" i="8"/>
  <c r="FA32" i="8"/>
  <c r="EZ32" i="8"/>
  <c r="EY32" i="8"/>
  <c r="EX32" i="8"/>
  <c r="EW32" i="8"/>
  <c r="EV32" i="8"/>
  <c r="EU32" i="8"/>
  <c r="ET32" i="8"/>
  <c r="ES32" i="8"/>
  <c r="ER32" i="8"/>
  <c r="EQ32" i="8"/>
  <c r="EN32" i="8"/>
  <c r="EM32" i="8"/>
  <c r="EL32" i="8"/>
  <c r="EK32" i="8"/>
  <c r="EJ32" i="8"/>
  <c r="EI32" i="8"/>
  <c r="EH32" i="8"/>
  <c r="EG32" i="8"/>
  <c r="EF32" i="8"/>
  <c r="EE32" i="8"/>
  <c r="ED32" i="8"/>
  <c r="EA32" i="8"/>
  <c r="DZ32" i="8"/>
  <c r="DY32" i="8"/>
  <c r="DX32" i="8"/>
  <c r="DW32" i="8"/>
  <c r="DV32" i="8"/>
  <c r="DU32" i="8"/>
  <c r="DT32" i="8"/>
  <c r="DS32" i="8"/>
  <c r="DR32" i="8"/>
  <c r="DQ32" i="8"/>
  <c r="DP32" i="8"/>
  <c r="DN32" i="8"/>
  <c r="DM32" i="8"/>
  <c r="DL32" i="8"/>
  <c r="DK32" i="8"/>
  <c r="DJ32" i="8"/>
  <c r="DI32" i="8"/>
  <c r="DH32" i="8"/>
  <c r="DG32" i="8"/>
  <c r="DF32" i="8"/>
  <c r="DE32" i="8"/>
  <c r="DC32" i="8"/>
  <c r="DB32" i="8"/>
  <c r="DA32" i="8"/>
  <c r="CZ32" i="8"/>
  <c r="CY32" i="8"/>
  <c r="CS32" i="8"/>
  <c r="CR32" i="8"/>
  <c r="CQ32" i="8"/>
  <c r="CP32" i="8"/>
  <c r="CO32" i="8"/>
  <c r="CN32" i="8"/>
  <c r="CM32" i="8"/>
  <c r="CL32" i="8"/>
  <c r="CK32" i="8"/>
  <c r="CJ32" i="8"/>
  <c r="CI32" i="8"/>
  <c r="CH32" i="8"/>
  <c r="CG32" i="8"/>
  <c r="CF32" i="8"/>
  <c r="CC32" i="8"/>
  <c r="CB32" i="8"/>
  <c r="CA32" i="8"/>
  <c r="BZ32" i="8"/>
  <c r="BY32" i="8"/>
  <c r="BW32" i="8"/>
  <c r="BV32" i="8"/>
  <c r="BU32" i="8"/>
  <c r="BT32" i="8"/>
  <c r="BS32" i="8"/>
  <c r="BQ32" i="8"/>
  <c r="BP32" i="8"/>
  <c r="BO32" i="8"/>
  <c r="BN32" i="8"/>
  <c r="BM32" i="8"/>
  <c r="BK32" i="8"/>
  <c r="BJ32" i="8"/>
  <c r="BI32" i="8"/>
  <c r="BH32" i="8"/>
  <c r="BG32" i="8"/>
  <c r="BE32" i="8"/>
  <c r="BD32" i="8"/>
  <c r="BC32" i="8"/>
  <c r="BB32" i="8"/>
  <c r="BA32" i="8"/>
  <c r="AZ32" i="8"/>
  <c r="AX32" i="8"/>
  <c r="AW32" i="8"/>
  <c r="AV32" i="8"/>
  <c r="AU32" i="8"/>
  <c r="AT32" i="8"/>
  <c r="AR32" i="8"/>
  <c r="AQ32" i="8"/>
  <c r="AP32" i="8"/>
  <c r="AO32" i="8"/>
  <c r="AN32" i="8"/>
  <c r="AM32" i="8"/>
  <c r="AK32" i="8"/>
  <c r="AJ32" i="8"/>
  <c r="AI32" i="8"/>
  <c r="AH32" i="8"/>
  <c r="AG32" i="8"/>
  <c r="AE32" i="8"/>
  <c r="AD32" i="8"/>
  <c r="AC32" i="8"/>
  <c r="AB32" i="8"/>
  <c r="AA32" i="8"/>
  <c r="Z32" i="8"/>
  <c r="X32" i="8"/>
  <c r="W32" i="8"/>
  <c r="V32" i="8"/>
  <c r="U32" i="8"/>
  <c r="T32" i="8"/>
  <c r="R32" i="8"/>
  <c r="Q32" i="8"/>
  <c r="P32" i="8"/>
  <c r="O32" i="8"/>
  <c r="N32" i="8"/>
  <c r="M32" i="8"/>
  <c r="K32" i="8"/>
  <c r="J32" i="8"/>
  <c r="I32" i="8"/>
  <c r="H32" i="8"/>
  <c r="G32" i="8"/>
  <c r="E32" i="8"/>
  <c r="A32" i="8"/>
  <c r="C32" i="8" s="1"/>
  <c r="FV31" i="8"/>
  <c r="FU31" i="8"/>
  <c r="FT31" i="8"/>
  <c r="FS31" i="8"/>
  <c r="FR31" i="8"/>
  <c r="FP31" i="8"/>
  <c r="FO31" i="8"/>
  <c r="FN31" i="8"/>
  <c r="FM31" i="8"/>
  <c r="FL31" i="8"/>
  <c r="FA31" i="8"/>
  <c r="EZ31" i="8"/>
  <c r="EY31" i="8"/>
  <c r="EX31" i="8"/>
  <c r="EW31" i="8"/>
  <c r="EV31" i="8"/>
  <c r="EU31" i="8"/>
  <c r="ET31" i="8"/>
  <c r="ES31" i="8"/>
  <c r="ER31" i="8"/>
  <c r="EQ31" i="8"/>
  <c r="EN31" i="8"/>
  <c r="EM31" i="8"/>
  <c r="EL31" i="8"/>
  <c r="EK31" i="8"/>
  <c r="EJ31" i="8"/>
  <c r="EI31" i="8"/>
  <c r="EH31" i="8"/>
  <c r="EG31" i="8"/>
  <c r="EF31" i="8"/>
  <c r="EE31" i="8"/>
  <c r="ED31" i="8"/>
  <c r="EA31" i="8"/>
  <c r="DZ31" i="8"/>
  <c r="DY31" i="8"/>
  <c r="DX31" i="8"/>
  <c r="DW31" i="8"/>
  <c r="DV31" i="8"/>
  <c r="DU31" i="8"/>
  <c r="DT31" i="8"/>
  <c r="DS31" i="8"/>
  <c r="DR31" i="8"/>
  <c r="DQ31" i="8"/>
  <c r="DP31" i="8"/>
  <c r="DN31" i="8"/>
  <c r="DM31" i="8"/>
  <c r="DL31" i="8"/>
  <c r="DK31" i="8"/>
  <c r="DJ31" i="8"/>
  <c r="DI31" i="8"/>
  <c r="DH31" i="8"/>
  <c r="DG31" i="8"/>
  <c r="DF31" i="8"/>
  <c r="DE31" i="8"/>
  <c r="DC31" i="8"/>
  <c r="DB31" i="8"/>
  <c r="DA31" i="8"/>
  <c r="CZ31" i="8"/>
  <c r="CY31" i="8"/>
  <c r="CS31" i="8"/>
  <c r="CR31" i="8"/>
  <c r="CQ31" i="8"/>
  <c r="CP31" i="8"/>
  <c r="CO31" i="8"/>
  <c r="CN31" i="8"/>
  <c r="CM31" i="8"/>
  <c r="CL31" i="8"/>
  <c r="CK31" i="8"/>
  <c r="CJ31" i="8"/>
  <c r="CI31" i="8"/>
  <c r="CH31" i="8"/>
  <c r="CG31" i="8"/>
  <c r="CF31" i="8"/>
  <c r="CC31" i="8"/>
  <c r="CB31" i="8"/>
  <c r="CA31" i="8"/>
  <c r="BZ31" i="8"/>
  <c r="BY31" i="8"/>
  <c r="BW31" i="8"/>
  <c r="BV31" i="8"/>
  <c r="BU31" i="8"/>
  <c r="BT31" i="8"/>
  <c r="BS31" i="8"/>
  <c r="BQ31" i="8"/>
  <c r="BP31" i="8"/>
  <c r="BO31" i="8"/>
  <c r="BN31" i="8"/>
  <c r="BM31" i="8"/>
  <c r="BK31" i="8"/>
  <c r="BJ31" i="8"/>
  <c r="BI31" i="8"/>
  <c r="BH31" i="8"/>
  <c r="BG31" i="8"/>
  <c r="BE31" i="8"/>
  <c r="BD31" i="8"/>
  <c r="BC31" i="8"/>
  <c r="BB31" i="8"/>
  <c r="BA31" i="8"/>
  <c r="AZ31" i="8"/>
  <c r="AX31" i="8"/>
  <c r="AW31" i="8"/>
  <c r="AV31" i="8"/>
  <c r="AU31" i="8"/>
  <c r="AT31" i="8"/>
  <c r="AR31" i="8"/>
  <c r="AQ31" i="8"/>
  <c r="AP31" i="8"/>
  <c r="AO31" i="8"/>
  <c r="AN31" i="8"/>
  <c r="AM31" i="8"/>
  <c r="AK31" i="8"/>
  <c r="AJ31" i="8"/>
  <c r="AI31" i="8"/>
  <c r="AH31" i="8"/>
  <c r="AG31" i="8"/>
  <c r="AE31" i="8"/>
  <c r="AD31" i="8"/>
  <c r="AC31" i="8"/>
  <c r="AB31" i="8"/>
  <c r="AA31" i="8"/>
  <c r="Z31" i="8"/>
  <c r="X31" i="8"/>
  <c r="W31" i="8"/>
  <c r="V31" i="8"/>
  <c r="U31" i="8"/>
  <c r="T31" i="8"/>
  <c r="R31" i="8"/>
  <c r="Q31" i="8"/>
  <c r="P31" i="8"/>
  <c r="O31" i="8"/>
  <c r="N31" i="8"/>
  <c r="M31" i="8"/>
  <c r="K31" i="8"/>
  <c r="J31" i="8"/>
  <c r="I31" i="8"/>
  <c r="H31" i="8"/>
  <c r="G31" i="8"/>
  <c r="E31" i="8"/>
  <c r="A31" i="8"/>
  <c r="C31" i="8" s="1"/>
  <c r="FV30" i="8"/>
  <c r="FU30" i="8"/>
  <c r="FT30" i="8"/>
  <c r="FS30" i="8"/>
  <c r="FR30" i="8"/>
  <c r="FP30" i="8"/>
  <c r="FO30" i="8"/>
  <c r="FN30" i="8"/>
  <c r="FM30" i="8"/>
  <c r="FL30" i="8"/>
  <c r="FA30" i="8"/>
  <c r="EZ30" i="8"/>
  <c r="EY30" i="8"/>
  <c r="EX30" i="8"/>
  <c r="EW30" i="8"/>
  <c r="EV30" i="8"/>
  <c r="EU30" i="8"/>
  <c r="ET30" i="8"/>
  <c r="ES30" i="8"/>
  <c r="ER30" i="8"/>
  <c r="EQ30" i="8"/>
  <c r="EN30" i="8"/>
  <c r="EM30" i="8"/>
  <c r="EL30" i="8"/>
  <c r="EK30" i="8"/>
  <c r="EJ30" i="8"/>
  <c r="EI30" i="8"/>
  <c r="EH30" i="8"/>
  <c r="EG30" i="8"/>
  <c r="EF30" i="8"/>
  <c r="EE30" i="8"/>
  <c r="ED30" i="8"/>
  <c r="EA30" i="8"/>
  <c r="DZ30" i="8"/>
  <c r="DY30" i="8"/>
  <c r="DX30" i="8"/>
  <c r="DW30" i="8"/>
  <c r="DV30" i="8"/>
  <c r="DU30" i="8"/>
  <c r="DT30" i="8"/>
  <c r="DS30" i="8"/>
  <c r="DR30" i="8"/>
  <c r="DQ30" i="8"/>
  <c r="DP30" i="8"/>
  <c r="DN30" i="8"/>
  <c r="DM30" i="8"/>
  <c r="DL30" i="8"/>
  <c r="DK30" i="8"/>
  <c r="DJ30" i="8"/>
  <c r="DI30" i="8"/>
  <c r="DH30" i="8"/>
  <c r="DG30" i="8"/>
  <c r="DF30" i="8"/>
  <c r="DE30" i="8"/>
  <c r="DC30" i="8"/>
  <c r="DB30" i="8"/>
  <c r="DA30" i="8"/>
  <c r="CZ30" i="8"/>
  <c r="CY30" i="8"/>
  <c r="CS30" i="8"/>
  <c r="CR30" i="8"/>
  <c r="CQ30" i="8"/>
  <c r="CP30" i="8"/>
  <c r="CO30" i="8"/>
  <c r="CN30" i="8"/>
  <c r="CM30" i="8"/>
  <c r="CL30" i="8"/>
  <c r="CK30" i="8"/>
  <c r="CJ30" i="8"/>
  <c r="CI30" i="8"/>
  <c r="CH30" i="8"/>
  <c r="CG30" i="8"/>
  <c r="CF30" i="8"/>
  <c r="CC30" i="8"/>
  <c r="CB30" i="8"/>
  <c r="CA30" i="8"/>
  <c r="BZ30" i="8"/>
  <c r="BY30" i="8"/>
  <c r="BW30" i="8"/>
  <c r="BV30" i="8"/>
  <c r="BU30" i="8"/>
  <c r="BT30" i="8"/>
  <c r="BS30" i="8"/>
  <c r="BQ30" i="8"/>
  <c r="BP30" i="8"/>
  <c r="BO30" i="8"/>
  <c r="BN30" i="8"/>
  <c r="BM30" i="8"/>
  <c r="BK30" i="8"/>
  <c r="BJ30" i="8"/>
  <c r="BI30" i="8"/>
  <c r="BH30" i="8"/>
  <c r="BG30" i="8"/>
  <c r="BE30" i="8"/>
  <c r="BD30" i="8"/>
  <c r="BC30" i="8"/>
  <c r="BB30" i="8"/>
  <c r="BA30" i="8"/>
  <c r="AZ30" i="8"/>
  <c r="AX30" i="8"/>
  <c r="AW30" i="8"/>
  <c r="AV30" i="8"/>
  <c r="AU30" i="8"/>
  <c r="AT30" i="8"/>
  <c r="AR30" i="8"/>
  <c r="AQ30" i="8"/>
  <c r="AP30" i="8"/>
  <c r="AO30" i="8"/>
  <c r="AN30" i="8"/>
  <c r="AM30" i="8"/>
  <c r="AK30" i="8"/>
  <c r="AJ30" i="8"/>
  <c r="AI30" i="8"/>
  <c r="AH30" i="8"/>
  <c r="AG30" i="8"/>
  <c r="AE30" i="8"/>
  <c r="AD30" i="8"/>
  <c r="AC30" i="8"/>
  <c r="AB30" i="8"/>
  <c r="AA30" i="8"/>
  <c r="Z30" i="8"/>
  <c r="X30" i="8"/>
  <c r="W30" i="8"/>
  <c r="V30" i="8"/>
  <c r="U30" i="8"/>
  <c r="T30" i="8"/>
  <c r="R30" i="8"/>
  <c r="Q30" i="8"/>
  <c r="P30" i="8"/>
  <c r="O30" i="8"/>
  <c r="N30" i="8"/>
  <c r="M30" i="8"/>
  <c r="K30" i="8"/>
  <c r="J30" i="8"/>
  <c r="I30" i="8"/>
  <c r="H30" i="8"/>
  <c r="G30" i="8"/>
  <c r="E30" i="8"/>
  <c r="A30" i="8"/>
  <c r="C30" i="8" s="1"/>
  <c r="FV29" i="8"/>
  <c r="FU29" i="8"/>
  <c r="FT29" i="8"/>
  <c r="FS29" i="8"/>
  <c r="FR29" i="8"/>
  <c r="FP29" i="8"/>
  <c r="FO29" i="8"/>
  <c r="FN29" i="8"/>
  <c r="FM29" i="8"/>
  <c r="FL29" i="8"/>
  <c r="FA29" i="8"/>
  <c r="EZ29" i="8"/>
  <c r="EY29" i="8"/>
  <c r="EX29" i="8"/>
  <c r="EW29" i="8"/>
  <c r="EV29" i="8"/>
  <c r="EU29" i="8"/>
  <c r="ET29" i="8"/>
  <c r="ES29" i="8"/>
  <c r="ER29" i="8"/>
  <c r="EQ29" i="8"/>
  <c r="EN29" i="8"/>
  <c r="EM29" i="8"/>
  <c r="EL29" i="8"/>
  <c r="EK29" i="8"/>
  <c r="EJ29" i="8"/>
  <c r="EI29" i="8"/>
  <c r="EH29" i="8"/>
  <c r="EG29" i="8"/>
  <c r="EF29" i="8"/>
  <c r="EE29" i="8"/>
  <c r="ED29" i="8"/>
  <c r="EA29" i="8"/>
  <c r="DZ29" i="8"/>
  <c r="DY29" i="8"/>
  <c r="DX29" i="8"/>
  <c r="DW29" i="8"/>
  <c r="DV29" i="8"/>
  <c r="DU29" i="8"/>
  <c r="DT29" i="8"/>
  <c r="DS29" i="8"/>
  <c r="DR29" i="8"/>
  <c r="DQ29" i="8"/>
  <c r="DP29" i="8"/>
  <c r="DN29" i="8"/>
  <c r="DM29" i="8"/>
  <c r="DL29" i="8"/>
  <c r="DK29" i="8"/>
  <c r="DJ29" i="8"/>
  <c r="DI29" i="8"/>
  <c r="DH29" i="8"/>
  <c r="DG29" i="8"/>
  <c r="DF29" i="8"/>
  <c r="DE29" i="8"/>
  <c r="DC29" i="8"/>
  <c r="DB29" i="8"/>
  <c r="DA29" i="8"/>
  <c r="CZ29" i="8"/>
  <c r="CY29" i="8"/>
  <c r="CS29" i="8"/>
  <c r="CR29" i="8"/>
  <c r="CQ29" i="8"/>
  <c r="CP29" i="8"/>
  <c r="CO29" i="8"/>
  <c r="CN29" i="8"/>
  <c r="CM29" i="8"/>
  <c r="CL29" i="8"/>
  <c r="CK29" i="8"/>
  <c r="CJ29" i="8"/>
  <c r="CI29" i="8"/>
  <c r="CH29" i="8"/>
  <c r="CG29" i="8"/>
  <c r="CF29" i="8"/>
  <c r="CC29" i="8"/>
  <c r="CB29" i="8"/>
  <c r="CA29" i="8"/>
  <c r="BZ29" i="8"/>
  <c r="BY29" i="8"/>
  <c r="BW29" i="8"/>
  <c r="BV29" i="8"/>
  <c r="BU29" i="8"/>
  <c r="BT29" i="8"/>
  <c r="BS29" i="8"/>
  <c r="BQ29" i="8"/>
  <c r="BP29" i="8"/>
  <c r="BO29" i="8"/>
  <c r="BN29" i="8"/>
  <c r="BM29" i="8"/>
  <c r="BK29" i="8"/>
  <c r="BJ29" i="8"/>
  <c r="BI29" i="8"/>
  <c r="BH29" i="8"/>
  <c r="BG29" i="8"/>
  <c r="BE29" i="8"/>
  <c r="BD29" i="8"/>
  <c r="BC29" i="8"/>
  <c r="BB29" i="8"/>
  <c r="BA29" i="8"/>
  <c r="AZ29" i="8"/>
  <c r="AX29" i="8"/>
  <c r="AW29" i="8"/>
  <c r="AV29" i="8"/>
  <c r="AU29" i="8"/>
  <c r="AT29" i="8"/>
  <c r="AR29" i="8"/>
  <c r="AQ29" i="8"/>
  <c r="AP29" i="8"/>
  <c r="AO29" i="8"/>
  <c r="AN29" i="8"/>
  <c r="AM29" i="8"/>
  <c r="AK29" i="8"/>
  <c r="AJ29" i="8"/>
  <c r="AI29" i="8"/>
  <c r="AH29" i="8"/>
  <c r="AG29" i="8"/>
  <c r="AE29" i="8"/>
  <c r="AD29" i="8"/>
  <c r="AC29" i="8"/>
  <c r="AB29" i="8"/>
  <c r="AA29" i="8"/>
  <c r="Z29" i="8"/>
  <c r="X29" i="8"/>
  <c r="W29" i="8"/>
  <c r="V29" i="8"/>
  <c r="U29" i="8"/>
  <c r="T29" i="8"/>
  <c r="R29" i="8"/>
  <c r="Q29" i="8"/>
  <c r="P29" i="8"/>
  <c r="O29" i="8"/>
  <c r="N29" i="8"/>
  <c r="M29" i="8"/>
  <c r="K29" i="8"/>
  <c r="J29" i="8"/>
  <c r="I29" i="8"/>
  <c r="H29" i="8"/>
  <c r="G29" i="8"/>
  <c r="E29" i="8"/>
  <c r="A29" i="8"/>
  <c r="C29" i="8" s="1"/>
  <c r="FV28" i="8"/>
  <c r="FU28" i="8"/>
  <c r="FT28" i="8"/>
  <c r="FS28" i="8"/>
  <c r="FR28" i="8"/>
  <c r="FP28" i="8"/>
  <c r="FO28" i="8"/>
  <c r="FN28" i="8"/>
  <c r="FM28" i="8"/>
  <c r="FL28" i="8"/>
  <c r="FA28" i="8"/>
  <c r="EZ28" i="8"/>
  <c r="EY28" i="8"/>
  <c r="EX28" i="8"/>
  <c r="EW28" i="8"/>
  <c r="EV28" i="8"/>
  <c r="EU28" i="8"/>
  <c r="ET28" i="8"/>
  <c r="ES28" i="8"/>
  <c r="ER28" i="8"/>
  <c r="EQ28" i="8"/>
  <c r="EN28" i="8"/>
  <c r="EM28" i="8"/>
  <c r="EL28" i="8"/>
  <c r="EK28" i="8"/>
  <c r="EJ28" i="8"/>
  <c r="EI28" i="8"/>
  <c r="EH28" i="8"/>
  <c r="EG28" i="8"/>
  <c r="EF28" i="8"/>
  <c r="EE28" i="8"/>
  <c r="ED28" i="8"/>
  <c r="EA28" i="8"/>
  <c r="DZ28" i="8"/>
  <c r="DY28" i="8"/>
  <c r="DX28" i="8"/>
  <c r="DW28" i="8"/>
  <c r="DV28" i="8"/>
  <c r="DU28" i="8"/>
  <c r="DT28" i="8"/>
  <c r="DS28" i="8"/>
  <c r="DR28" i="8"/>
  <c r="DQ28" i="8"/>
  <c r="DP28" i="8"/>
  <c r="DN28" i="8"/>
  <c r="DM28" i="8"/>
  <c r="DL28" i="8"/>
  <c r="DK28" i="8"/>
  <c r="DJ28" i="8"/>
  <c r="DI28" i="8"/>
  <c r="DH28" i="8"/>
  <c r="DG28" i="8"/>
  <c r="DF28" i="8"/>
  <c r="DE28" i="8"/>
  <c r="DC28" i="8"/>
  <c r="DB28" i="8"/>
  <c r="DA28" i="8"/>
  <c r="CZ28" i="8"/>
  <c r="CY28" i="8"/>
  <c r="CS28" i="8"/>
  <c r="CR28" i="8"/>
  <c r="CQ28" i="8"/>
  <c r="CP28" i="8"/>
  <c r="CO28" i="8"/>
  <c r="CN28" i="8"/>
  <c r="CM28" i="8"/>
  <c r="CL28" i="8"/>
  <c r="CK28" i="8"/>
  <c r="CJ28" i="8"/>
  <c r="CI28" i="8"/>
  <c r="CH28" i="8"/>
  <c r="CG28" i="8"/>
  <c r="CF28" i="8"/>
  <c r="CC28" i="8"/>
  <c r="CB28" i="8"/>
  <c r="CA28" i="8"/>
  <c r="BZ28" i="8"/>
  <c r="BY28" i="8"/>
  <c r="BW28" i="8"/>
  <c r="BV28" i="8"/>
  <c r="BU28" i="8"/>
  <c r="BT28" i="8"/>
  <c r="BS28" i="8"/>
  <c r="BQ28" i="8"/>
  <c r="BP28" i="8"/>
  <c r="BO28" i="8"/>
  <c r="BN28" i="8"/>
  <c r="BM28" i="8"/>
  <c r="BK28" i="8"/>
  <c r="BJ28" i="8"/>
  <c r="BI28" i="8"/>
  <c r="BH28" i="8"/>
  <c r="BG28" i="8"/>
  <c r="BE28" i="8"/>
  <c r="BD28" i="8"/>
  <c r="BC28" i="8"/>
  <c r="BB28" i="8"/>
  <c r="BA28" i="8"/>
  <c r="AZ28" i="8"/>
  <c r="AX28" i="8"/>
  <c r="AW28" i="8"/>
  <c r="AV28" i="8"/>
  <c r="AU28" i="8"/>
  <c r="AT28" i="8"/>
  <c r="AR28" i="8"/>
  <c r="AQ28" i="8"/>
  <c r="AP28" i="8"/>
  <c r="AO28" i="8"/>
  <c r="AN28" i="8"/>
  <c r="AM28" i="8"/>
  <c r="AK28" i="8"/>
  <c r="AJ28" i="8"/>
  <c r="AI28" i="8"/>
  <c r="AH28" i="8"/>
  <c r="AG28" i="8"/>
  <c r="AE28" i="8"/>
  <c r="AD28" i="8"/>
  <c r="AC28" i="8"/>
  <c r="AB28" i="8"/>
  <c r="AA28" i="8"/>
  <c r="Z28" i="8"/>
  <c r="X28" i="8"/>
  <c r="W28" i="8"/>
  <c r="V28" i="8"/>
  <c r="U28" i="8"/>
  <c r="T28" i="8"/>
  <c r="R28" i="8"/>
  <c r="Q28" i="8"/>
  <c r="P28" i="8"/>
  <c r="O28" i="8"/>
  <c r="N28" i="8"/>
  <c r="M28" i="8"/>
  <c r="K28" i="8"/>
  <c r="J28" i="8"/>
  <c r="I28" i="8"/>
  <c r="H28" i="8"/>
  <c r="G28" i="8"/>
  <c r="E28" i="8"/>
  <c r="A28" i="8"/>
  <c r="C28" i="8" s="1"/>
  <c r="FV27" i="8"/>
  <c r="FU27" i="8"/>
  <c r="FT27" i="8"/>
  <c r="FS27" i="8"/>
  <c r="FR27" i="8"/>
  <c r="FP27" i="8"/>
  <c r="FO27" i="8"/>
  <c r="FN27" i="8"/>
  <c r="FM27" i="8"/>
  <c r="FL27" i="8"/>
  <c r="FA27" i="8"/>
  <c r="EZ27" i="8"/>
  <c r="EY27" i="8"/>
  <c r="EX27" i="8"/>
  <c r="EW27" i="8"/>
  <c r="EV27" i="8"/>
  <c r="EU27" i="8"/>
  <c r="ET27" i="8"/>
  <c r="ES27" i="8"/>
  <c r="ER27" i="8"/>
  <c r="EQ27" i="8"/>
  <c r="EN27" i="8"/>
  <c r="EM27" i="8"/>
  <c r="EL27" i="8"/>
  <c r="EK27" i="8"/>
  <c r="EJ27" i="8"/>
  <c r="EI27" i="8"/>
  <c r="EH27" i="8"/>
  <c r="EG27" i="8"/>
  <c r="EF27" i="8"/>
  <c r="EE27" i="8"/>
  <c r="ED27" i="8"/>
  <c r="EA27" i="8"/>
  <c r="DZ27" i="8"/>
  <c r="DY27" i="8"/>
  <c r="DX27" i="8"/>
  <c r="DW27" i="8"/>
  <c r="DV27" i="8"/>
  <c r="DU27" i="8"/>
  <c r="DT27" i="8"/>
  <c r="DS27" i="8"/>
  <c r="DR27" i="8"/>
  <c r="DQ27" i="8"/>
  <c r="DP27" i="8"/>
  <c r="DN27" i="8"/>
  <c r="DM27" i="8"/>
  <c r="DL27" i="8"/>
  <c r="DK27" i="8"/>
  <c r="DJ27" i="8"/>
  <c r="DI27" i="8"/>
  <c r="DH27" i="8"/>
  <c r="DG27" i="8"/>
  <c r="DF27" i="8"/>
  <c r="DE27" i="8"/>
  <c r="DC27" i="8"/>
  <c r="DB27" i="8"/>
  <c r="DA27" i="8"/>
  <c r="CZ27" i="8"/>
  <c r="CY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C27" i="8"/>
  <c r="CB27" i="8"/>
  <c r="CA27" i="8"/>
  <c r="BZ27" i="8"/>
  <c r="BY27" i="8"/>
  <c r="BW27" i="8"/>
  <c r="BV27" i="8"/>
  <c r="BU27" i="8"/>
  <c r="BT27" i="8"/>
  <c r="BS27" i="8"/>
  <c r="BQ27" i="8"/>
  <c r="BP27" i="8"/>
  <c r="BO27" i="8"/>
  <c r="BN27" i="8"/>
  <c r="BM27" i="8"/>
  <c r="BK27" i="8"/>
  <c r="BJ27" i="8"/>
  <c r="BI27" i="8"/>
  <c r="BH27" i="8"/>
  <c r="BG27" i="8"/>
  <c r="BE27" i="8"/>
  <c r="BD27" i="8"/>
  <c r="BC27" i="8"/>
  <c r="BB27" i="8"/>
  <c r="BA27" i="8"/>
  <c r="AZ27" i="8"/>
  <c r="AX27" i="8"/>
  <c r="AW27" i="8"/>
  <c r="AV27" i="8"/>
  <c r="AU27" i="8"/>
  <c r="AT27" i="8"/>
  <c r="AR27" i="8"/>
  <c r="AQ27" i="8"/>
  <c r="AP27" i="8"/>
  <c r="AO27" i="8"/>
  <c r="AN27" i="8"/>
  <c r="AM27" i="8"/>
  <c r="AK27" i="8"/>
  <c r="AJ27" i="8"/>
  <c r="AI27" i="8"/>
  <c r="AH27" i="8"/>
  <c r="AG27" i="8"/>
  <c r="AE27" i="8"/>
  <c r="AD27" i="8"/>
  <c r="AC27" i="8"/>
  <c r="AB27" i="8"/>
  <c r="AA27" i="8"/>
  <c r="Z27" i="8"/>
  <c r="X27" i="8"/>
  <c r="W27" i="8"/>
  <c r="V27" i="8"/>
  <c r="U27" i="8"/>
  <c r="T27" i="8"/>
  <c r="R27" i="8"/>
  <c r="Q27" i="8"/>
  <c r="P27" i="8"/>
  <c r="O27" i="8"/>
  <c r="N27" i="8"/>
  <c r="M27" i="8"/>
  <c r="K27" i="8"/>
  <c r="J27" i="8"/>
  <c r="I27" i="8"/>
  <c r="H27" i="8"/>
  <c r="G27" i="8"/>
  <c r="E27" i="8"/>
  <c r="A27" i="8"/>
  <c r="C27" i="8" s="1"/>
  <c r="FV26" i="8"/>
  <c r="FU26" i="8"/>
  <c r="FT26" i="8"/>
  <c r="FS26" i="8"/>
  <c r="FR26" i="8"/>
  <c r="FP26" i="8"/>
  <c r="FO26" i="8"/>
  <c r="FN26" i="8"/>
  <c r="FM26" i="8"/>
  <c r="FL26" i="8"/>
  <c r="FA26" i="8"/>
  <c r="EZ26" i="8"/>
  <c r="EY26" i="8"/>
  <c r="EX26" i="8"/>
  <c r="EW26" i="8"/>
  <c r="EV26" i="8"/>
  <c r="EU26" i="8"/>
  <c r="ET26" i="8"/>
  <c r="ES26" i="8"/>
  <c r="ER26" i="8"/>
  <c r="EQ26" i="8"/>
  <c r="EN26" i="8"/>
  <c r="EM26" i="8"/>
  <c r="EL26" i="8"/>
  <c r="EK26" i="8"/>
  <c r="EJ26" i="8"/>
  <c r="EI26" i="8"/>
  <c r="EH26" i="8"/>
  <c r="EG26" i="8"/>
  <c r="EF26" i="8"/>
  <c r="EE26" i="8"/>
  <c r="ED26" i="8"/>
  <c r="EA26" i="8"/>
  <c r="DZ26" i="8"/>
  <c r="DY26" i="8"/>
  <c r="DX26" i="8"/>
  <c r="DW26" i="8"/>
  <c r="DV26" i="8"/>
  <c r="DU26" i="8"/>
  <c r="DT26" i="8"/>
  <c r="DS26" i="8"/>
  <c r="DR26" i="8"/>
  <c r="DQ26" i="8"/>
  <c r="DP26" i="8"/>
  <c r="DN26" i="8"/>
  <c r="DM26" i="8"/>
  <c r="DL26" i="8"/>
  <c r="DK26" i="8"/>
  <c r="DJ26" i="8"/>
  <c r="DI26" i="8"/>
  <c r="DH26" i="8"/>
  <c r="DG26" i="8"/>
  <c r="DF26" i="8"/>
  <c r="DE26" i="8"/>
  <c r="DC26" i="8"/>
  <c r="DB26" i="8"/>
  <c r="DA26" i="8"/>
  <c r="CZ26" i="8"/>
  <c r="CY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C26" i="8"/>
  <c r="CB26" i="8"/>
  <c r="CA26" i="8"/>
  <c r="BZ26" i="8"/>
  <c r="BY26" i="8"/>
  <c r="BW26" i="8"/>
  <c r="BV26" i="8"/>
  <c r="BU26" i="8"/>
  <c r="BT26" i="8"/>
  <c r="BS26" i="8"/>
  <c r="BQ26" i="8"/>
  <c r="BP26" i="8"/>
  <c r="BO26" i="8"/>
  <c r="BN26" i="8"/>
  <c r="BM26" i="8"/>
  <c r="BK26" i="8"/>
  <c r="BJ26" i="8"/>
  <c r="BI26" i="8"/>
  <c r="BH26" i="8"/>
  <c r="BG26" i="8"/>
  <c r="BE26" i="8"/>
  <c r="BD26" i="8"/>
  <c r="BC26" i="8"/>
  <c r="BB26" i="8"/>
  <c r="BA26" i="8"/>
  <c r="AZ26" i="8"/>
  <c r="AX26" i="8"/>
  <c r="AW26" i="8"/>
  <c r="AV26" i="8"/>
  <c r="AU26" i="8"/>
  <c r="AT26" i="8"/>
  <c r="AR26" i="8"/>
  <c r="AQ26" i="8"/>
  <c r="AP26" i="8"/>
  <c r="AO26" i="8"/>
  <c r="AN26" i="8"/>
  <c r="AM26" i="8"/>
  <c r="AK26" i="8"/>
  <c r="AJ26" i="8"/>
  <c r="AI26" i="8"/>
  <c r="AH26" i="8"/>
  <c r="AG26" i="8"/>
  <c r="AE26" i="8"/>
  <c r="AD26" i="8"/>
  <c r="AC26" i="8"/>
  <c r="AB26" i="8"/>
  <c r="AA26" i="8"/>
  <c r="Z26" i="8"/>
  <c r="X26" i="8"/>
  <c r="W26" i="8"/>
  <c r="V26" i="8"/>
  <c r="U26" i="8"/>
  <c r="T26" i="8"/>
  <c r="R26" i="8"/>
  <c r="Q26" i="8"/>
  <c r="P26" i="8"/>
  <c r="O26" i="8"/>
  <c r="N26" i="8"/>
  <c r="M26" i="8"/>
  <c r="K26" i="8"/>
  <c r="J26" i="8"/>
  <c r="I26" i="8"/>
  <c r="H26" i="8"/>
  <c r="G26" i="8"/>
  <c r="E26" i="8"/>
  <c r="A26" i="8"/>
  <c r="C26" i="8" s="1"/>
  <c r="FV24" i="8"/>
  <c r="FU24" i="8"/>
  <c r="FT24" i="8"/>
  <c r="FS24" i="8"/>
  <c r="FR24" i="8"/>
  <c r="FP24" i="8"/>
  <c r="FO24" i="8"/>
  <c r="FN24" i="8"/>
  <c r="FM24" i="8"/>
  <c r="FL24" i="8"/>
  <c r="FA24" i="8"/>
  <c r="EZ24" i="8"/>
  <c r="EY24" i="8"/>
  <c r="EX24" i="8"/>
  <c r="EW24" i="8"/>
  <c r="EV24" i="8"/>
  <c r="EU24" i="8"/>
  <c r="ET24" i="8"/>
  <c r="ES24" i="8"/>
  <c r="ER24" i="8"/>
  <c r="EQ24" i="8"/>
  <c r="EN24" i="8"/>
  <c r="EM24" i="8"/>
  <c r="EL24" i="8"/>
  <c r="EK24" i="8"/>
  <c r="EJ24" i="8"/>
  <c r="EI24" i="8"/>
  <c r="EH24" i="8"/>
  <c r="EG24" i="8"/>
  <c r="EF24" i="8"/>
  <c r="EE24" i="8"/>
  <c r="ED24" i="8"/>
  <c r="EA24" i="8"/>
  <c r="DZ24" i="8"/>
  <c r="DY24" i="8"/>
  <c r="DX24" i="8"/>
  <c r="DW24" i="8"/>
  <c r="DV24" i="8"/>
  <c r="DU24" i="8"/>
  <c r="DT24" i="8"/>
  <c r="DS24" i="8"/>
  <c r="DR24" i="8"/>
  <c r="DQ24" i="8"/>
  <c r="DP24" i="8"/>
  <c r="DN24" i="8"/>
  <c r="DM24" i="8"/>
  <c r="DL24" i="8"/>
  <c r="DK24" i="8"/>
  <c r="DJ24" i="8"/>
  <c r="DI24" i="8"/>
  <c r="DH24" i="8"/>
  <c r="DG24" i="8"/>
  <c r="DF24" i="8"/>
  <c r="DE24" i="8"/>
  <c r="DC24" i="8"/>
  <c r="DB24" i="8"/>
  <c r="DA24" i="8"/>
  <c r="CZ24" i="8"/>
  <c r="CY24" i="8"/>
  <c r="CS24" i="8"/>
  <c r="CR24" i="8"/>
  <c r="CQ24" i="8"/>
  <c r="CP24" i="8"/>
  <c r="CO24" i="8"/>
  <c r="CN24" i="8"/>
  <c r="CM24" i="8"/>
  <c r="CL24" i="8"/>
  <c r="CK24" i="8"/>
  <c r="CJ24" i="8"/>
  <c r="CI24" i="8"/>
  <c r="CH24" i="8"/>
  <c r="CG24" i="8"/>
  <c r="CF24" i="8"/>
  <c r="CC24" i="8"/>
  <c r="CB24" i="8"/>
  <c r="CA24" i="8"/>
  <c r="BZ24" i="8"/>
  <c r="BY24" i="8"/>
  <c r="BW24" i="8"/>
  <c r="BV24" i="8"/>
  <c r="BU24" i="8"/>
  <c r="BT24" i="8"/>
  <c r="BS24" i="8"/>
  <c r="BQ24" i="8"/>
  <c r="BP24" i="8"/>
  <c r="BO24" i="8"/>
  <c r="BN24" i="8"/>
  <c r="BM24" i="8"/>
  <c r="BK24" i="8"/>
  <c r="BJ24" i="8"/>
  <c r="BI24" i="8"/>
  <c r="BH24" i="8"/>
  <c r="BG24" i="8"/>
  <c r="BE24" i="8"/>
  <c r="BD24" i="8"/>
  <c r="BC24" i="8"/>
  <c r="BB24" i="8"/>
  <c r="BA24" i="8"/>
  <c r="AZ24" i="8"/>
  <c r="AX24" i="8"/>
  <c r="AW24" i="8"/>
  <c r="AV24" i="8"/>
  <c r="AU24" i="8"/>
  <c r="AT24" i="8"/>
  <c r="AR24" i="8"/>
  <c r="AQ24" i="8"/>
  <c r="AP24" i="8"/>
  <c r="AO24" i="8"/>
  <c r="AN24" i="8"/>
  <c r="AM24" i="8"/>
  <c r="AK24" i="8"/>
  <c r="AJ24" i="8"/>
  <c r="AI24" i="8"/>
  <c r="AH24" i="8"/>
  <c r="AG24" i="8"/>
  <c r="AE24" i="8"/>
  <c r="AD24" i="8"/>
  <c r="AC24" i="8"/>
  <c r="AB24" i="8"/>
  <c r="AA24" i="8"/>
  <c r="Z24" i="8"/>
  <c r="X24" i="8"/>
  <c r="W24" i="8"/>
  <c r="V24" i="8"/>
  <c r="U24" i="8"/>
  <c r="T24" i="8"/>
  <c r="R24" i="8"/>
  <c r="Q24" i="8"/>
  <c r="P24" i="8"/>
  <c r="O24" i="8"/>
  <c r="N24" i="8"/>
  <c r="M24" i="8"/>
  <c r="K24" i="8"/>
  <c r="J24" i="8"/>
  <c r="I24" i="8"/>
  <c r="H24" i="8"/>
  <c r="G24" i="8"/>
  <c r="E24" i="8"/>
  <c r="A24" i="8"/>
  <c r="C24" i="8" s="1"/>
  <c r="FV23" i="8"/>
  <c r="FU23" i="8"/>
  <c r="FT23" i="8"/>
  <c r="FS23" i="8"/>
  <c r="FR23" i="8"/>
  <c r="FP23" i="8"/>
  <c r="FO23" i="8"/>
  <c r="FN23" i="8"/>
  <c r="FM23" i="8"/>
  <c r="FL23" i="8"/>
  <c r="FA23" i="8"/>
  <c r="EZ23" i="8"/>
  <c r="EY23" i="8"/>
  <c r="EX23" i="8"/>
  <c r="EW23" i="8"/>
  <c r="EV23" i="8"/>
  <c r="EU23" i="8"/>
  <c r="ET23" i="8"/>
  <c r="ES23" i="8"/>
  <c r="ER23" i="8"/>
  <c r="EQ23" i="8"/>
  <c r="EN23" i="8"/>
  <c r="EM23" i="8"/>
  <c r="EL23" i="8"/>
  <c r="EK23" i="8"/>
  <c r="EJ23" i="8"/>
  <c r="EI23" i="8"/>
  <c r="EH23" i="8"/>
  <c r="EG23" i="8"/>
  <c r="EF23" i="8"/>
  <c r="EE23" i="8"/>
  <c r="ED23" i="8"/>
  <c r="EA23" i="8"/>
  <c r="DZ23" i="8"/>
  <c r="DY23" i="8"/>
  <c r="DX23" i="8"/>
  <c r="DW23" i="8"/>
  <c r="DV23" i="8"/>
  <c r="DU23" i="8"/>
  <c r="DT23" i="8"/>
  <c r="DS23" i="8"/>
  <c r="DR23" i="8"/>
  <c r="DQ23" i="8"/>
  <c r="DP23" i="8"/>
  <c r="DN23" i="8"/>
  <c r="DM23" i="8"/>
  <c r="DL23" i="8"/>
  <c r="DK23" i="8"/>
  <c r="DJ23" i="8"/>
  <c r="DI23" i="8"/>
  <c r="DH23" i="8"/>
  <c r="DG23" i="8"/>
  <c r="DF23" i="8"/>
  <c r="DE23" i="8"/>
  <c r="DC23" i="8"/>
  <c r="DB23" i="8"/>
  <c r="DA23" i="8"/>
  <c r="CZ23" i="8"/>
  <c r="CY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C23" i="8"/>
  <c r="CB23" i="8"/>
  <c r="CA23" i="8"/>
  <c r="BZ23" i="8"/>
  <c r="BY23" i="8"/>
  <c r="BW23" i="8"/>
  <c r="BV23" i="8"/>
  <c r="BU23" i="8"/>
  <c r="BT23" i="8"/>
  <c r="BS23" i="8"/>
  <c r="BQ23" i="8"/>
  <c r="BP23" i="8"/>
  <c r="BO23" i="8"/>
  <c r="BN23" i="8"/>
  <c r="BM23" i="8"/>
  <c r="BK23" i="8"/>
  <c r="BJ23" i="8"/>
  <c r="BI23" i="8"/>
  <c r="BH23" i="8"/>
  <c r="BG23" i="8"/>
  <c r="BE23" i="8"/>
  <c r="BD23" i="8"/>
  <c r="BC23" i="8"/>
  <c r="BB23" i="8"/>
  <c r="BA23" i="8"/>
  <c r="AZ23" i="8"/>
  <c r="AX23" i="8"/>
  <c r="AW23" i="8"/>
  <c r="AV23" i="8"/>
  <c r="AU23" i="8"/>
  <c r="AT23" i="8"/>
  <c r="AR23" i="8"/>
  <c r="AQ23" i="8"/>
  <c r="AP23" i="8"/>
  <c r="AO23" i="8"/>
  <c r="AN23" i="8"/>
  <c r="AM23" i="8"/>
  <c r="AK23" i="8"/>
  <c r="AJ23" i="8"/>
  <c r="AI23" i="8"/>
  <c r="AH23" i="8"/>
  <c r="AG23" i="8"/>
  <c r="AE23" i="8"/>
  <c r="AD23" i="8"/>
  <c r="AC23" i="8"/>
  <c r="AB23" i="8"/>
  <c r="AA23" i="8"/>
  <c r="Z23" i="8"/>
  <c r="X23" i="8"/>
  <c r="W23" i="8"/>
  <c r="V23" i="8"/>
  <c r="U23" i="8"/>
  <c r="T23" i="8"/>
  <c r="R23" i="8"/>
  <c r="Q23" i="8"/>
  <c r="P23" i="8"/>
  <c r="O23" i="8"/>
  <c r="N23" i="8"/>
  <c r="M23" i="8"/>
  <c r="K23" i="8"/>
  <c r="J23" i="8"/>
  <c r="I23" i="8"/>
  <c r="H23" i="8"/>
  <c r="G23" i="8"/>
  <c r="E23" i="8"/>
  <c r="A23" i="8"/>
  <c r="C23" i="8" s="1"/>
  <c r="FV22" i="8"/>
  <c r="FU22" i="8"/>
  <c r="FT22" i="8"/>
  <c r="FS22" i="8"/>
  <c r="FR22" i="8"/>
  <c r="FP22" i="8"/>
  <c r="FO22" i="8"/>
  <c r="FN22" i="8"/>
  <c r="FM22" i="8"/>
  <c r="FL22" i="8"/>
  <c r="FA22" i="8"/>
  <c r="EZ22" i="8"/>
  <c r="EY22" i="8"/>
  <c r="EX22" i="8"/>
  <c r="EW22" i="8"/>
  <c r="EV22" i="8"/>
  <c r="EU22" i="8"/>
  <c r="ET22" i="8"/>
  <c r="ES22" i="8"/>
  <c r="ER22" i="8"/>
  <c r="EQ22" i="8"/>
  <c r="EN22" i="8"/>
  <c r="EM22" i="8"/>
  <c r="EL22" i="8"/>
  <c r="EK22" i="8"/>
  <c r="EJ22" i="8"/>
  <c r="EI22" i="8"/>
  <c r="EH22" i="8"/>
  <c r="EG22" i="8"/>
  <c r="EF22" i="8"/>
  <c r="EE22" i="8"/>
  <c r="ED22" i="8"/>
  <c r="EA22" i="8"/>
  <c r="DZ22" i="8"/>
  <c r="DY22" i="8"/>
  <c r="DX22" i="8"/>
  <c r="DW22" i="8"/>
  <c r="DV22" i="8"/>
  <c r="DU22" i="8"/>
  <c r="DT22" i="8"/>
  <c r="DS22" i="8"/>
  <c r="DR22" i="8"/>
  <c r="DQ22" i="8"/>
  <c r="DP22" i="8"/>
  <c r="DN22" i="8"/>
  <c r="DM22" i="8"/>
  <c r="DL22" i="8"/>
  <c r="DK22" i="8"/>
  <c r="DJ22" i="8"/>
  <c r="DI22" i="8"/>
  <c r="DH22" i="8"/>
  <c r="DG22" i="8"/>
  <c r="DF22" i="8"/>
  <c r="DE22" i="8"/>
  <c r="DC22" i="8"/>
  <c r="DB22" i="8"/>
  <c r="DA22" i="8"/>
  <c r="CZ22" i="8"/>
  <c r="CY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C22" i="8"/>
  <c r="CB22" i="8"/>
  <c r="CA22" i="8"/>
  <c r="BZ22" i="8"/>
  <c r="BY22" i="8"/>
  <c r="BW22" i="8"/>
  <c r="BV22" i="8"/>
  <c r="BU22" i="8"/>
  <c r="BT22" i="8"/>
  <c r="BS22" i="8"/>
  <c r="BQ22" i="8"/>
  <c r="BP22" i="8"/>
  <c r="BO22" i="8"/>
  <c r="BN22" i="8"/>
  <c r="BM22" i="8"/>
  <c r="BK22" i="8"/>
  <c r="BJ22" i="8"/>
  <c r="BI22" i="8"/>
  <c r="BH22" i="8"/>
  <c r="BG22" i="8"/>
  <c r="BE22" i="8"/>
  <c r="BD22" i="8"/>
  <c r="BC22" i="8"/>
  <c r="BB22" i="8"/>
  <c r="BA22" i="8"/>
  <c r="AZ22" i="8"/>
  <c r="AX22" i="8"/>
  <c r="AW22" i="8"/>
  <c r="AV22" i="8"/>
  <c r="AU22" i="8"/>
  <c r="AT22" i="8"/>
  <c r="AR22" i="8"/>
  <c r="AQ22" i="8"/>
  <c r="AP22" i="8"/>
  <c r="AO22" i="8"/>
  <c r="AN22" i="8"/>
  <c r="AM22" i="8"/>
  <c r="AK22" i="8"/>
  <c r="AJ22" i="8"/>
  <c r="AI22" i="8"/>
  <c r="AH22" i="8"/>
  <c r="AG22" i="8"/>
  <c r="AE22" i="8"/>
  <c r="AD22" i="8"/>
  <c r="AC22" i="8"/>
  <c r="AB22" i="8"/>
  <c r="AA22" i="8"/>
  <c r="Z22" i="8"/>
  <c r="X22" i="8"/>
  <c r="W22" i="8"/>
  <c r="V22" i="8"/>
  <c r="U22" i="8"/>
  <c r="T22" i="8"/>
  <c r="R22" i="8"/>
  <c r="Q22" i="8"/>
  <c r="P22" i="8"/>
  <c r="O22" i="8"/>
  <c r="N22" i="8"/>
  <c r="M22" i="8"/>
  <c r="K22" i="8"/>
  <c r="J22" i="8"/>
  <c r="I22" i="8"/>
  <c r="H22" i="8"/>
  <c r="G22" i="8"/>
  <c r="E22" i="8"/>
  <c r="A22" i="8"/>
  <c r="C22" i="8" s="1"/>
  <c r="FV21" i="8"/>
  <c r="FU21" i="8"/>
  <c r="FT21" i="8"/>
  <c r="FS21" i="8"/>
  <c r="FR21" i="8"/>
  <c r="FP21" i="8"/>
  <c r="FO21" i="8"/>
  <c r="FN21" i="8"/>
  <c r="FM21" i="8"/>
  <c r="FL21" i="8"/>
  <c r="FA21" i="8"/>
  <c r="EZ21" i="8"/>
  <c r="EY21" i="8"/>
  <c r="EX21" i="8"/>
  <c r="EW21" i="8"/>
  <c r="EV21" i="8"/>
  <c r="EU21" i="8"/>
  <c r="ET21" i="8"/>
  <c r="ES21" i="8"/>
  <c r="ER21" i="8"/>
  <c r="EQ21" i="8"/>
  <c r="EN21" i="8"/>
  <c r="EM21" i="8"/>
  <c r="EL21" i="8"/>
  <c r="EK21" i="8"/>
  <c r="EJ21" i="8"/>
  <c r="EI21" i="8"/>
  <c r="EH21" i="8"/>
  <c r="EG21" i="8"/>
  <c r="EF21" i="8"/>
  <c r="EE21" i="8"/>
  <c r="ED21" i="8"/>
  <c r="EA21" i="8"/>
  <c r="DZ21" i="8"/>
  <c r="DY21" i="8"/>
  <c r="DX21" i="8"/>
  <c r="DW21" i="8"/>
  <c r="DV21" i="8"/>
  <c r="DU21" i="8"/>
  <c r="DT21" i="8"/>
  <c r="DS21" i="8"/>
  <c r="DR21" i="8"/>
  <c r="DQ21" i="8"/>
  <c r="DP21" i="8"/>
  <c r="DN21" i="8"/>
  <c r="DM21" i="8"/>
  <c r="DL21" i="8"/>
  <c r="DK21" i="8"/>
  <c r="DJ21" i="8"/>
  <c r="DI21" i="8"/>
  <c r="DH21" i="8"/>
  <c r="DG21" i="8"/>
  <c r="DF21" i="8"/>
  <c r="DE21" i="8"/>
  <c r="DC21" i="8"/>
  <c r="DB21" i="8"/>
  <c r="DA21" i="8"/>
  <c r="CZ21" i="8"/>
  <c r="CY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C21" i="8"/>
  <c r="CB21" i="8"/>
  <c r="CA21" i="8"/>
  <c r="BZ21" i="8"/>
  <c r="BY21" i="8"/>
  <c r="BW21" i="8"/>
  <c r="BV21" i="8"/>
  <c r="BU21" i="8"/>
  <c r="BT21" i="8"/>
  <c r="BS21" i="8"/>
  <c r="BQ21" i="8"/>
  <c r="BP21" i="8"/>
  <c r="BO21" i="8"/>
  <c r="BN21" i="8"/>
  <c r="BM21" i="8"/>
  <c r="BK21" i="8"/>
  <c r="BJ21" i="8"/>
  <c r="BI21" i="8"/>
  <c r="BH21" i="8"/>
  <c r="BG21" i="8"/>
  <c r="BE21" i="8"/>
  <c r="BD21" i="8"/>
  <c r="BC21" i="8"/>
  <c r="BB21" i="8"/>
  <c r="BA21" i="8"/>
  <c r="AZ21" i="8"/>
  <c r="AX21" i="8"/>
  <c r="AW21" i="8"/>
  <c r="AV21" i="8"/>
  <c r="AU21" i="8"/>
  <c r="AT21" i="8"/>
  <c r="AR21" i="8"/>
  <c r="AQ21" i="8"/>
  <c r="AP21" i="8"/>
  <c r="AO21" i="8"/>
  <c r="AN21" i="8"/>
  <c r="AM21" i="8"/>
  <c r="AK21" i="8"/>
  <c r="AJ21" i="8"/>
  <c r="AI21" i="8"/>
  <c r="AH21" i="8"/>
  <c r="AG21" i="8"/>
  <c r="AE21" i="8"/>
  <c r="AD21" i="8"/>
  <c r="AC21" i="8"/>
  <c r="AB21" i="8"/>
  <c r="AA21" i="8"/>
  <c r="Z21" i="8"/>
  <c r="X21" i="8"/>
  <c r="W21" i="8"/>
  <c r="V21" i="8"/>
  <c r="U21" i="8"/>
  <c r="T21" i="8"/>
  <c r="R21" i="8"/>
  <c r="Q21" i="8"/>
  <c r="P21" i="8"/>
  <c r="O21" i="8"/>
  <c r="N21" i="8"/>
  <c r="M21" i="8"/>
  <c r="K21" i="8"/>
  <c r="J21" i="8"/>
  <c r="I21" i="8"/>
  <c r="H21" i="8"/>
  <c r="G21" i="8"/>
  <c r="E21" i="8"/>
  <c r="A21" i="8"/>
  <c r="C21" i="8" s="1"/>
  <c r="FV20" i="8"/>
  <c r="FU20" i="8"/>
  <c r="FT20" i="8"/>
  <c r="FS20" i="8"/>
  <c r="FR20" i="8"/>
  <c r="FP20" i="8"/>
  <c r="FO20" i="8"/>
  <c r="FN20" i="8"/>
  <c r="FM20" i="8"/>
  <c r="FL20" i="8"/>
  <c r="FA20" i="8"/>
  <c r="EZ20" i="8"/>
  <c r="EY20" i="8"/>
  <c r="EX20" i="8"/>
  <c r="EW20" i="8"/>
  <c r="EV20" i="8"/>
  <c r="EU20" i="8"/>
  <c r="ET20" i="8"/>
  <c r="ES20" i="8"/>
  <c r="ER20" i="8"/>
  <c r="EQ20" i="8"/>
  <c r="EN20" i="8"/>
  <c r="EM20" i="8"/>
  <c r="EL20" i="8"/>
  <c r="EK20" i="8"/>
  <c r="EJ20" i="8"/>
  <c r="EI20" i="8"/>
  <c r="EH20" i="8"/>
  <c r="EG20" i="8"/>
  <c r="EF20" i="8"/>
  <c r="EE20" i="8"/>
  <c r="ED20" i="8"/>
  <c r="EA20" i="8"/>
  <c r="DZ20" i="8"/>
  <c r="DY20" i="8"/>
  <c r="DX20" i="8"/>
  <c r="DW20" i="8"/>
  <c r="DV20" i="8"/>
  <c r="DU20" i="8"/>
  <c r="DT20" i="8"/>
  <c r="DS20" i="8"/>
  <c r="DR20" i="8"/>
  <c r="DQ20" i="8"/>
  <c r="DP20" i="8"/>
  <c r="DN20" i="8"/>
  <c r="DM20" i="8"/>
  <c r="DL20" i="8"/>
  <c r="DK20" i="8"/>
  <c r="DJ20" i="8"/>
  <c r="DI20" i="8"/>
  <c r="DH20" i="8"/>
  <c r="DG20" i="8"/>
  <c r="DF20" i="8"/>
  <c r="DE20" i="8"/>
  <c r="DC20" i="8"/>
  <c r="DB20" i="8"/>
  <c r="DA20" i="8"/>
  <c r="CZ20" i="8"/>
  <c r="CY20" i="8"/>
  <c r="CS20" i="8"/>
  <c r="CR20" i="8"/>
  <c r="CQ20" i="8"/>
  <c r="CP20" i="8"/>
  <c r="CO20" i="8"/>
  <c r="CN20" i="8"/>
  <c r="CM20" i="8"/>
  <c r="CL20" i="8"/>
  <c r="CK20" i="8"/>
  <c r="CJ20" i="8"/>
  <c r="CI20" i="8"/>
  <c r="CH20" i="8"/>
  <c r="CG20" i="8"/>
  <c r="CF20" i="8"/>
  <c r="CC20" i="8"/>
  <c r="CB20" i="8"/>
  <c r="CA20" i="8"/>
  <c r="BZ20" i="8"/>
  <c r="BY20" i="8"/>
  <c r="BW20" i="8"/>
  <c r="BV20" i="8"/>
  <c r="BU20" i="8"/>
  <c r="BT20" i="8"/>
  <c r="BS20" i="8"/>
  <c r="BQ20" i="8"/>
  <c r="BP20" i="8"/>
  <c r="BO20" i="8"/>
  <c r="BN20" i="8"/>
  <c r="BM20" i="8"/>
  <c r="BK20" i="8"/>
  <c r="BJ20" i="8"/>
  <c r="BI20" i="8"/>
  <c r="BH20" i="8"/>
  <c r="BG20" i="8"/>
  <c r="BE20" i="8"/>
  <c r="BD20" i="8"/>
  <c r="BC20" i="8"/>
  <c r="BB20" i="8"/>
  <c r="BA20" i="8"/>
  <c r="AZ20" i="8"/>
  <c r="AX20" i="8"/>
  <c r="AW20" i="8"/>
  <c r="AV20" i="8"/>
  <c r="AU20" i="8"/>
  <c r="AT20" i="8"/>
  <c r="AR20" i="8"/>
  <c r="AQ20" i="8"/>
  <c r="AP20" i="8"/>
  <c r="AO20" i="8"/>
  <c r="AN20" i="8"/>
  <c r="AM20" i="8"/>
  <c r="AK20" i="8"/>
  <c r="AJ20" i="8"/>
  <c r="AI20" i="8"/>
  <c r="AH20" i="8"/>
  <c r="AG20" i="8"/>
  <c r="AE20" i="8"/>
  <c r="AD20" i="8"/>
  <c r="AC20" i="8"/>
  <c r="AB20" i="8"/>
  <c r="AA20" i="8"/>
  <c r="Z20" i="8"/>
  <c r="X20" i="8"/>
  <c r="W20" i="8"/>
  <c r="V20" i="8"/>
  <c r="U20" i="8"/>
  <c r="T20" i="8"/>
  <c r="R20" i="8"/>
  <c r="Q20" i="8"/>
  <c r="P20" i="8"/>
  <c r="O20" i="8"/>
  <c r="N20" i="8"/>
  <c r="M20" i="8"/>
  <c r="K20" i="8"/>
  <c r="J20" i="8"/>
  <c r="I20" i="8"/>
  <c r="H20" i="8"/>
  <c r="G20" i="8"/>
  <c r="E20" i="8"/>
  <c r="A20" i="8"/>
  <c r="C20" i="8" s="1"/>
  <c r="FV19" i="8"/>
  <c r="FU19" i="8"/>
  <c r="FT19" i="8"/>
  <c r="FS19" i="8"/>
  <c r="FR19" i="8"/>
  <c r="FP19" i="8"/>
  <c r="FO19" i="8"/>
  <c r="FN19" i="8"/>
  <c r="FM19" i="8"/>
  <c r="FL19" i="8"/>
  <c r="FA19" i="8"/>
  <c r="EZ19" i="8"/>
  <c r="EY19" i="8"/>
  <c r="EX19" i="8"/>
  <c r="EW19" i="8"/>
  <c r="EV19" i="8"/>
  <c r="EU19" i="8"/>
  <c r="ET19" i="8"/>
  <c r="ES19" i="8"/>
  <c r="ER19" i="8"/>
  <c r="EQ19" i="8"/>
  <c r="EN19" i="8"/>
  <c r="EM19" i="8"/>
  <c r="EL19" i="8"/>
  <c r="EK19" i="8"/>
  <c r="EJ19" i="8"/>
  <c r="EI19" i="8"/>
  <c r="EH19" i="8"/>
  <c r="EG19" i="8"/>
  <c r="EF19" i="8"/>
  <c r="EE19" i="8"/>
  <c r="ED19" i="8"/>
  <c r="EA19" i="8"/>
  <c r="DZ19" i="8"/>
  <c r="DY19" i="8"/>
  <c r="DX19" i="8"/>
  <c r="DW19" i="8"/>
  <c r="DV19" i="8"/>
  <c r="DU19" i="8"/>
  <c r="DT19" i="8"/>
  <c r="DS19" i="8"/>
  <c r="DR19" i="8"/>
  <c r="DQ19" i="8"/>
  <c r="DP19" i="8"/>
  <c r="DN19" i="8"/>
  <c r="DM19" i="8"/>
  <c r="DL19" i="8"/>
  <c r="DK19" i="8"/>
  <c r="DJ19" i="8"/>
  <c r="DI19" i="8"/>
  <c r="DH19" i="8"/>
  <c r="DG19" i="8"/>
  <c r="DF19" i="8"/>
  <c r="DE19" i="8"/>
  <c r="DC19" i="8"/>
  <c r="DB19" i="8"/>
  <c r="DA19" i="8"/>
  <c r="CZ19" i="8"/>
  <c r="CY19" i="8"/>
  <c r="CS19" i="8"/>
  <c r="CR19" i="8"/>
  <c r="CQ19" i="8"/>
  <c r="CP19" i="8"/>
  <c r="CO19" i="8"/>
  <c r="CN19" i="8"/>
  <c r="CM19" i="8"/>
  <c r="CL19" i="8"/>
  <c r="CK19" i="8"/>
  <c r="CJ19" i="8"/>
  <c r="CI19" i="8"/>
  <c r="CH19" i="8"/>
  <c r="CG19" i="8"/>
  <c r="CF19" i="8"/>
  <c r="CC19" i="8"/>
  <c r="CB19" i="8"/>
  <c r="CA19" i="8"/>
  <c r="BZ19" i="8"/>
  <c r="BY19" i="8"/>
  <c r="BW19" i="8"/>
  <c r="BV19" i="8"/>
  <c r="BU19" i="8"/>
  <c r="BT19" i="8"/>
  <c r="BS19" i="8"/>
  <c r="BQ19" i="8"/>
  <c r="BP19" i="8"/>
  <c r="BO19" i="8"/>
  <c r="BN19" i="8"/>
  <c r="BM19" i="8"/>
  <c r="BK19" i="8"/>
  <c r="BJ19" i="8"/>
  <c r="BI19" i="8"/>
  <c r="BH19" i="8"/>
  <c r="BG19" i="8"/>
  <c r="BE19" i="8"/>
  <c r="BD19" i="8"/>
  <c r="BC19" i="8"/>
  <c r="BB19" i="8"/>
  <c r="BA19" i="8"/>
  <c r="AZ19" i="8"/>
  <c r="AX19" i="8"/>
  <c r="AW19" i="8"/>
  <c r="AV19" i="8"/>
  <c r="AU19" i="8"/>
  <c r="AT19" i="8"/>
  <c r="AR19" i="8"/>
  <c r="AQ19" i="8"/>
  <c r="AP19" i="8"/>
  <c r="AO19" i="8"/>
  <c r="AN19" i="8"/>
  <c r="AM19" i="8"/>
  <c r="AK19" i="8"/>
  <c r="AJ19" i="8"/>
  <c r="AI19" i="8"/>
  <c r="AH19" i="8"/>
  <c r="AG19" i="8"/>
  <c r="AE19" i="8"/>
  <c r="AD19" i="8"/>
  <c r="AC19" i="8"/>
  <c r="AB19" i="8"/>
  <c r="AA19" i="8"/>
  <c r="Z19" i="8"/>
  <c r="X19" i="8"/>
  <c r="W19" i="8"/>
  <c r="V19" i="8"/>
  <c r="U19" i="8"/>
  <c r="T19" i="8"/>
  <c r="R19" i="8"/>
  <c r="Q19" i="8"/>
  <c r="P19" i="8"/>
  <c r="O19" i="8"/>
  <c r="N19" i="8"/>
  <c r="M19" i="8"/>
  <c r="K19" i="8"/>
  <c r="J19" i="8"/>
  <c r="I19" i="8"/>
  <c r="H19" i="8"/>
  <c r="G19" i="8"/>
  <c r="E19" i="8"/>
  <c r="A19" i="8"/>
  <c r="C19" i="8" s="1"/>
  <c r="FV18" i="8"/>
  <c r="FU18" i="8"/>
  <c r="FT18" i="8"/>
  <c r="FS18" i="8"/>
  <c r="FR18" i="8"/>
  <c r="FP18" i="8"/>
  <c r="FO18" i="8"/>
  <c r="FN18" i="8"/>
  <c r="FM18" i="8"/>
  <c r="FL18" i="8"/>
  <c r="FA18" i="8"/>
  <c r="EZ18" i="8"/>
  <c r="EY18" i="8"/>
  <c r="EX18" i="8"/>
  <c r="EW18" i="8"/>
  <c r="EV18" i="8"/>
  <c r="EU18" i="8"/>
  <c r="ET18" i="8"/>
  <c r="ES18" i="8"/>
  <c r="ER18" i="8"/>
  <c r="EQ18" i="8"/>
  <c r="EN18" i="8"/>
  <c r="EM18" i="8"/>
  <c r="EL18" i="8"/>
  <c r="EK18" i="8"/>
  <c r="EJ18" i="8"/>
  <c r="EI18" i="8"/>
  <c r="EH18" i="8"/>
  <c r="EG18" i="8"/>
  <c r="EF18" i="8"/>
  <c r="EE18" i="8"/>
  <c r="ED18" i="8"/>
  <c r="EA18" i="8"/>
  <c r="DZ18" i="8"/>
  <c r="DY18" i="8"/>
  <c r="DX18" i="8"/>
  <c r="DW18" i="8"/>
  <c r="DV18" i="8"/>
  <c r="DU18" i="8"/>
  <c r="DT18" i="8"/>
  <c r="DS18" i="8"/>
  <c r="DR18" i="8"/>
  <c r="DQ18" i="8"/>
  <c r="DP18" i="8"/>
  <c r="DN18" i="8"/>
  <c r="DM18" i="8"/>
  <c r="DL18" i="8"/>
  <c r="DK18" i="8"/>
  <c r="DJ18" i="8"/>
  <c r="DI18" i="8"/>
  <c r="DH18" i="8"/>
  <c r="DG18" i="8"/>
  <c r="DF18" i="8"/>
  <c r="DE18" i="8"/>
  <c r="DC18" i="8"/>
  <c r="DB18" i="8"/>
  <c r="DA18" i="8"/>
  <c r="CZ18" i="8"/>
  <c r="CY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C18" i="8"/>
  <c r="CB18" i="8"/>
  <c r="CA18" i="8"/>
  <c r="BZ18" i="8"/>
  <c r="BY18" i="8"/>
  <c r="BW18" i="8"/>
  <c r="BV18" i="8"/>
  <c r="BU18" i="8"/>
  <c r="BT18" i="8"/>
  <c r="BS18" i="8"/>
  <c r="BQ18" i="8"/>
  <c r="BP18" i="8"/>
  <c r="BO18" i="8"/>
  <c r="BN18" i="8"/>
  <c r="BM18" i="8"/>
  <c r="BK18" i="8"/>
  <c r="BJ18" i="8"/>
  <c r="BI18" i="8"/>
  <c r="BH18" i="8"/>
  <c r="BG18" i="8"/>
  <c r="BE18" i="8"/>
  <c r="BD18" i="8"/>
  <c r="BC18" i="8"/>
  <c r="BB18" i="8"/>
  <c r="BA18" i="8"/>
  <c r="AZ18" i="8"/>
  <c r="AX18" i="8"/>
  <c r="AW18" i="8"/>
  <c r="AV18" i="8"/>
  <c r="AU18" i="8"/>
  <c r="AT18" i="8"/>
  <c r="AR18" i="8"/>
  <c r="AQ18" i="8"/>
  <c r="AP18" i="8"/>
  <c r="AO18" i="8"/>
  <c r="AN18" i="8"/>
  <c r="AM18" i="8"/>
  <c r="AK18" i="8"/>
  <c r="AJ18" i="8"/>
  <c r="AI18" i="8"/>
  <c r="AH18" i="8"/>
  <c r="AG18" i="8"/>
  <c r="AE18" i="8"/>
  <c r="AD18" i="8"/>
  <c r="AC18" i="8"/>
  <c r="AB18" i="8"/>
  <c r="AA18" i="8"/>
  <c r="Z18" i="8"/>
  <c r="X18" i="8"/>
  <c r="W18" i="8"/>
  <c r="V18" i="8"/>
  <c r="U18" i="8"/>
  <c r="T18" i="8"/>
  <c r="R18" i="8"/>
  <c r="Q18" i="8"/>
  <c r="P18" i="8"/>
  <c r="O18" i="8"/>
  <c r="N18" i="8"/>
  <c r="M18" i="8"/>
  <c r="K18" i="8"/>
  <c r="J18" i="8"/>
  <c r="I18" i="8"/>
  <c r="H18" i="8"/>
  <c r="G18" i="8"/>
  <c r="E18" i="8"/>
  <c r="A18" i="8"/>
  <c r="C18" i="8" s="1"/>
  <c r="FV17" i="8"/>
  <c r="FU17" i="8"/>
  <c r="FT17" i="8"/>
  <c r="FS17" i="8"/>
  <c r="FR17" i="8"/>
  <c r="FP17" i="8"/>
  <c r="FO17" i="8"/>
  <c r="FN17" i="8"/>
  <c r="FM17" i="8"/>
  <c r="FL17" i="8"/>
  <c r="FA17" i="8"/>
  <c r="EZ17" i="8"/>
  <c r="EY17" i="8"/>
  <c r="EX17" i="8"/>
  <c r="EW17" i="8"/>
  <c r="EV17" i="8"/>
  <c r="EU17" i="8"/>
  <c r="ET17" i="8"/>
  <c r="ES17" i="8"/>
  <c r="ER17" i="8"/>
  <c r="EQ17" i="8"/>
  <c r="EN17" i="8"/>
  <c r="EM17" i="8"/>
  <c r="EL17" i="8"/>
  <c r="EK17" i="8"/>
  <c r="EJ17" i="8"/>
  <c r="EI17" i="8"/>
  <c r="EH17" i="8"/>
  <c r="EG17" i="8"/>
  <c r="EF17" i="8"/>
  <c r="EE17" i="8"/>
  <c r="ED17" i="8"/>
  <c r="EA17" i="8"/>
  <c r="DZ17" i="8"/>
  <c r="DY17" i="8"/>
  <c r="DX17" i="8"/>
  <c r="DW17" i="8"/>
  <c r="DV17" i="8"/>
  <c r="DU17" i="8"/>
  <c r="DT17" i="8"/>
  <c r="DS17" i="8"/>
  <c r="DR17" i="8"/>
  <c r="DQ17" i="8"/>
  <c r="DP17" i="8"/>
  <c r="DN17" i="8"/>
  <c r="DM17" i="8"/>
  <c r="DL17" i="8"/>
  <c r="DK17" i="8"/>
  <c r="DJ17" i="8"/>
  <c r="DI17" i="8"/>
  <c r="DH17" i="8"/>
  <c r="DG17" i="8"/>
  <c r="DF17" i="8"/>
  <c r="DE17" i="8"/>
  <c r="DC17" i="8"/>
  <c r="DB17" i="8"/>
  <c r="DA17" i="8"/>
  <c r="CZ17" i="8"/>
  <c r="CY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C17" i="8"/>
  <c r="CB17" i="8"/>
  <c r="CA17" i="8"/>
  <c r="BZ17" i="8"/>
  <c r="BY17" i="8"/>
  <c r="BW17" i="8"/>
  <c r="BV17" i="8"/>
  <c r="BU17" i="8"/>
  <c r="BT17" i="8"/>
  <c r="BS17" i="8"/>
  <c r="BQ17" i="8"/>
  <c r="BP17" i="8"/>
  <c r="BO17" i="8"/>
  <c r="BN17" i="8"/>
  <c r="BM17" i="8"/>
  <c r="BK17" i="8"/>
  <c r="BJ17" i="8"/>
  <c r="BI17" i="8"/>
  <c r="BH17" i="8"/>
  <c r="BG17" i="8"/>
  <c r="BE17" i="8"/>
  <c r="BD17" i="8"/>
  <c r="BC17" i="8"/>
  <c r="BB17" i="8"/>
  <c r="BA17" i="8"/>
  <c r="AZ17" i="8"/>
  <c r="AX17" i="8"/>
  <c r="AW17" i="8"/>
  <c r="AV17" i="8"/>
  <c r="AU17" i="8"/>
  <c r="AT17" i="8"/>
  <c r="AR17" i="8"/>
  <c r="AQ17" i="8"/>
  <c r="AP17" i="8"/>
  <c r="AO17" i="8"/>
  <c r="AN17" i="8"/>
  <c r="AM17" i="8"/>
  <c r="AK17" i="8"/>
  <c r="AJ17" i="8"/>
  <c r="AI17" i="8"/>
  <c r="AH17" i="8"/>
  <c r="AG17" i="8"/>
  <c r="AE17" i="8"/>
  <c r="AD17" i="8"/>
  <c r="AC17" i="8"/>
  <c r="AB17" i="8"/>
  <c r="AA17" i="8"/>
  <c r="Z17" i="8"/>
  <c r="X17" i="8"/>
  <c r="W17" i="8"/>
  <c r="V17" i="8"/>
  <c r="U17" i="8"/>
  <c r="T17" i="8"/>
  <c r="R17" i="8"/>
  <c r="Q17" i="8"/>
  <c r="P17" i="8"/>
  <c r="O17" i="8"/>
  <c r="N17" i="8"/>
  <c r="M17" i="8"/>
  <c r="K17" i="8"/>
  <c r="J17" i="8"/>
  <c r="I17" i="8"/>
  <c r="H17" i="8"/>
  <c r="G17" i="8"/>
  <c r="E17" i="8"/>
  <c r="A17" i="8"/>
  <c r="C17" i="8" s="1"/>
  <c r="FV16" i="8"/>
  <c r="FU16" i="8"/>
  <c r="FT16" i="8"/>
  <c r="FS16" i="8"/>
  <c r="FR16" i="8"/>
  <c r="FP16" i="8"/>
  <c r="FO16" i="8"/>
  <c r="FN16" i="8"/>
  <c r="FM16" i="8"/>
  <c r="FL16" i="8"/>
  <c r="FA16" i="8"/>
  <c r="EZ16" i="8"/>
  <c r="EY16" i="8"/>
  <c r="EX16" i="8"/>
  <c r="EW16" i="8"/>
  <c r="EV16" i="8"/>
  <c r="EU16" i="8"/>
  <c r="ET16" i="8"/>
  <c r="ES16" i="8"/>
  <c r="ER16" i="8"/>
  <c r="EQ16" i="8"/>
  <c r="EN16" i="8"/>
  <c r="EM16" i="8"/>
  <c r="EL16" i="8"/>
  <c r="EK16" i="8"/>
  <c r="EJ16" i="8"/>
  <c r="EI16" i="8"/>
  <c r="EH16" i="8"/>
  <c r="EG16" i="8"/>
  <c r="EF16" i="8"/>
  <c r="EE16" i="8"/>
  <c r="ED16" i="8"/>
  <c r="EA16" i="8"/>
  <c r="DZ16" i="8"/>
  <c r="DY16" i="8"/>
  <c r="DX16" i="8"/>
  <c r="DW16" i="8"/>
  <c r="DV16" i="8"/>
  <c r="DU16" i="8"/>
  <c r="DT16" i="8"/>
  <c r="DS16" i="8"/>
  <c r="DR16" i="8"/>
  <c r="DQ16" i="8"/>
  <c r="DP16" i="8"/>
  <c r="DN16" i="8"/>
  <c r="DM16" i="8"/>
  <c r="DL16" i="8"/>
  <c r="DK16" i="8"/>
  <c r="DJ16" i="8"/>
  <c r="DI16" i="8"/>
  <c r="DH16" i="8"/>
  <c r="DG16" i="8"/>
  <c r="DF16" i="8"/>
  <c r="DE16" i="8"/>
  <c r="DC16" i="8"/>
  <c r="DB16" i="8"/>
  <c r="DA16" i="8"/>
  <c r="CZ16" i="8"/>
  <c r="CY16" i="8"/>
  <c r="CS16" i="8"/>
  <c r="CR16" i="8"/>
  <c r="CQ16" i="8"/>
  <c r="CP16" i="8"/>
  <c r="CO16" i="8"/>
  <c r="CN16" i="8"/>
  <c r="CM16" i="8"/>
  <c r="CL16" i="8"/>
  <c r="CK16" i="8"/>
  <c r="CJ16" i="8"/>
  <c r="CI16" i="8"/>
  <c r="CH16" i="8"/>
  <c r="CG16" i="8"/>
  <c r="CF16" i="8"/>
  <c r="CC16" i="8"/>
  <c r="CB16" i="8"/>
  <c r="CA16" i="8"/>
  <c r="BZ16" i="8"/>
  <c r="BY16" i="8"/>
  <c r="BW16" i="8"/>
  <c r="BV16" i="8"/>
  <c r="BU16" i="8"/>
  <c r="BT16" i="8"/>
  <c r="BS16" i="8"/>
  <c r="BQ16" i="8"/>
  <c r="BP16" i="8"/>
  <c r="BO16" i="8"/>
  <c r="BN16" i="8"/>
  <c r="BM16" i="8"/>
  <c r="BK16" i="8"/>
  <c r="BJ16" i="8"/>
  <c r="BI16" i="8"/>
  <c r="BH16" i="8"/>
  <c r="BG16" i="8"/>
  <c r="BE16" i="8"/>
  <c r="BD16" i="8"/>
  <c r="BC16" i="8"/>
  <c r="BB16" i="8"/>
  <c r="BA16" i="8"/>
  <c r="AZ16" i="8"/>
  <c r="AX16" i="8"/>
  <c r="AW16" i="8"/>
  <c r="AV16" i="8"/>
  <c r="AU16" i="8"/>
  <c r="AT16" i="8"/>
  <c r="AR16" i="8"/>
  <c r="AQ16" i="8"/>
  <c r="AP16" i="8"/>
  <c r="AO16" i="8"/>
  <c r="AN16" i="8"/>
  <c r="AM16" i="8"/>
  <c r="AK16" i="8"/>
  <c r="AJ16" i="8"/>
  <c r="AI16" i="8"/>
  <c r="AH16" i="8"/>
  <c r="AG16" i="8"/>
  <c r="AE16" i="8"/>
  <c r="AD16" i="8"/>
  <c r="AC16" i="8"/>
  <c r="AB16" i="8"/>
  <c r="AA16" i="8"/>
  <c r="Z16" i="8"/>
  <c r="X16" i="8"/>
  <c r="W16" i="8"/>
  <c r="V16" i="8"/>
  <c r="U16" i="8"/>
  <c r="T16" i="8"/>
  <c r="R16" i="8"/>
  <c r="Q16" i="8"/>
  <c r="P16" i="8"/>
  <c r="O16" i="8"/>
  <c r="N16" i="8"/>
  <c r="M16" i="8"/>
  <c r="K16" i="8"/>
  <c r="J16" i="8"/>
  <c r="I16" i="8"/>
  <c r="H16" i="8"/>
  <c r="G16" i="8"/>
  <c r="E16" i="8"/>
  <c r="A16" i="8"/>
  <c r="C16" i="8" s="1"/>
  <c r="FV15" i="8"/>
  <c r="FU15" i="8"/>
  <c r="FT15" i="8"/>
  <c r="FS15" i="8"/>
  <c r="FR15" i="8"/>
  <c r="FP15" i="8"/>
  <c r="FO15" i="8"/>
  <c r="FN15" i="8"/>
  <c r="FM15" i="8"/>
  <c r="FL15" i="8"/>
  <c r="FA15" i="8"/>
  <c r="EZ15" i="8"/>
  <c r="EY15" i="8"/>
  <c r="EX15" i="8"/>
  <c r="EW15" i="8"/>
  <c r="EV15" i="8"/>
  <c r="EU15" i="8"/>
  <c r="ET15" i="8"/>
  <c r="ES15" i="8"/>
  <c r="ER15" i="8"/>
  <c r="EQ15" i="8"/>
  <c r="EN15" i="8"/>
  <c r="EM15" i="8"/>
  <c r="EL15" i="8"/>
  <c r="EK15" i="8"/>
  <c r="EJ15" i="8"/>
  <c r="EI15" i="8"/>
  <c r="EH15" i="8"/>
  <c r="EG15" i="8"/>
  <c r="EF15" i="8"/>
  <c r="EE15" i="8"/>
  <c r="ED15" i="8"/>
  <c r="EA15" i="8"/>
  <c r="DZ15" i="8"/>
  <c r="DY15" i="8"/>
  <c r="DX15" i="8"/>
  <c r="DW15" i="8"/>
  <c r="DV15" i="8"/>
  <c r="DU15" i="8"/>
  <c r="DT15" i="8"/>
  <c r="DS15" i="8"/>
  <c r="DR15" i="8"/>
  <c r="DQ15" i="8"/>
  <c r="DP15" i="8"/>
  <c r="DN15" i="8"/>
  <c r="DM15" i="8"/>
  <c r="DL15" i="8"/>
  <c r="DK15" i="8"/>
  <c r="DJ15" i="8"/>
  <c r="DI15" i="8"/>
  <c r="DH15" i="8"/>
  <c r="DG15" i="8"/>
  <c r="DF15" i="8"/>
  <c r="DE15" i="8"/>
  <c r="DC15" i="8"/>
  <c r="DB15" i="8"/>
  <c r="DA15" i="8"/>
  <c r="CZ15" i="8"/>
  <c r="CY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C15" i="8"/>
  <c r="CB15" i="8"/>
  <c r="CA15" i="8"/>
  <c r="BZ15" i="8"/>
  <c r="BY15" i="8"/>
  <c r="BW15" i="8"/>
  <c r="BV15" i="8"/>
  <c r="BU15" i="8"/>
  <c r="BT15" i="8"/>
  <c r="BS15" i="8"/>
  <c r="BQ15" i="8"/>
  <c r="BP15" i="8"/>
  <c r="BO15" i="8"/>
  <c r="BN15" i="8"/>
  <c r="BM15" i="8"/>
  <c r="BK15" i="8"/>
  <c r="BJ15" i="8"/>
  <c r="BI15" i="8"/>
  <c r="BH15" i="8"/>
  <c r="BG15" i="8"/>
  <c r="BE15" i="8"/>
  <c r="BD15" i="8"/>
  <c r="BC15" i="8"/>
  <c r="BB15" i="8"/>
  <c r="BA15" i="8"/>
  <c r="AZ15" i="8"/>
  <c r="AX15" i="8"/>
  <c r="AW15" i="8"/>
  <c r="AV15" i="8"/>
  <c r="AU15" i="8"/>
  <c r="AT15" i="8"/>
  <c r="AR15" i="8"/>
  <c r="AQ15" i="8"/>
  <c r="AP15" i="8"/>
  <c r="AO15" i="8"/>
  <c r="AN15" i="8"/>
  <c r="AM15" i="8"/>
  <c r="AK15" i="8"/>
  <c r="AJ15" i="8"/>
  <c r="AI15" i="8"/>
  <c r="AH15" i="8"/>
  <c r="AG15" i="8"/>
  <c r="AE15" i="8"/>
  <c r="AD15" i="8"/>
  <c r="AC15" i="8"/>
  <c r="AB15" i="8"/>
  <c r="AA15" i="8"/>
  <c r="Z15" i="8"/>
  <c r="X15" i="8"/>
  <c r="W15" i="8"/>
  <c r="V15" i="8"/>
  <c r="U15" i="8"/>
  <c r="T15" i="8"/>
  <c r="R15" i="8"/>
  <c r="Q15" i="8"/>
  <c r="P15" i="8"/>
  <c r="O15" i="8"/>
  <c r="N15" i="8"/>
  <c r="M15" i="8"/>
  <c r="K15" i="8"/>
  <c r="J15" i="8"/>
  <c r="I15" i="8"/>
  <c r="H15" i="8"/>
  <c r="G15" i="8"/>
  <c r="E15" i="8"/>
  <c r="A15" i="8"/>
  <c r="C15" i="8" s="1"/>
  <c r="FV14" i="8"/>
  <c r="FU14" i="8"/>
  <c r="FT14" i="8"/>
  <c r="FS14" i="8"/>
  <c r="FR14" i="8"/>
  <c r="FP14" i="8"/>
  <c r="FO14" i="8"/>
  <c r="FN14" i="8"/>
  <c r="FM14" i="8"/>
  <c r="FL14" i="8"/>
  <c r="FA14" i="8"/>
  <c r="EZ14" i="8"/>
  <c r="EY14" i="8"/>
  <c r="EX14" i="8"/>
  <c r="EW14" i="8"/>
  <c r="EV14" i="8"/>
  <c r="EU14" i="8"/>
  <c r="ET14" i="8"/>
  <c r="ES14" i="8"/>
  <c r="ER14" i="8"/>
  <c r="EQ14" i="8"/>
  <c r="EN14" i="8"/>
  <c r="EM14" i="8"/>
  <c r="EL14" i="8"/>
  <c r="EK14" i="8"/>
  <c r="EJ14" i="8"/>
  <c r="EI14" i="8"/>
  <c r="EH14" i="8"/>
  <c r="EG14" i="8"/>
  <c r="EF14" i="8"/>
  <c r="EE14" i="8"/>
  <c r="ED14" i="8"/>
  <c r="EA14" i="8"/>
  <c r="DZ14" i="8"/>
  <c r="DY14" i="8"/>
  <c r="DX14" i="8"/>
  <c r="DW14" i="8"/>
  <c r="DV14" i="8"/>
  <c r="DU14" i="8"/>
  <c r="DT14" i="8"/>
  <c r="DS14" i="8"/>
  <c r="DR14" i="8"/>
  <c r="DQ14" i="8"/>
  <c r="DP14" i="8"/>
  <c r="DN14" i="8"/>
  <c r="DM14" i="8"/>
  <c r="DL14" i="8"/>
  <c r="DK14" i="8"/>
  <c r="DJ14" i="8"/>
  <c r="DI14" i="8"/>
  <c r="DH14" i="8"/>
  <c r="DG14" i="8"/>
  <c r="DF14" i="8"/>
  <c r="DE14" i="8"/>
  <c r="DC14" i="8"/>
  <c r="DB14" i="8"/>
  <c r="DA14" i="8"/>
  <c r="CZ14" i="8"/>
  <c r="CY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C14" i="8"/>
  <c r="CB14" i="8"/>
  <c r="CA14" i="8"/>
  <c r="BZ14" i="8"/>
  <c r="BY14" i="8"/>
  <c r="BW14" i="8"/>
  <c r="BV14" i="8"/>
  <c r="BU14" i="8"/>
  <c r="BT14" i="8"/>
  <c r="BS14" i="8"/>
  <c r="BQ14" i="8"/>
  <c r="BP14" i="8"/>
  <c r="BO14" i="8"/>
  <c r="BN14" i="8"/>
  <c r="BM14" i="8"/>
  <c r="BK14" i="8"/>
  <c r="BJ14" i="8"/>
  <c r="BI14" i="8"/>
  <c r="BH14" i="8"/>
  <c r="BG14" i="8"/>
  <c r="BE14" i="8"/>
  <c r="BD14" i="8"/>
  <c r="BC14" i="8"/>
  <c r="BB14" i="8"/>
  <c r="BA14" i="8"/>
  <c r="AZ14" i="8"/>
  <c r="AX14" i="8"/>
  <c r="AW14" i="8"/>
  <c r="AV14" i="8"/>
  <c r="AU14" i="8"/>
  <c r="AT14" i="8"/>
  <c r="AR14" i="8"/>
  <c r="AQ14" i="8"/>
  <c r="AP14" i="8"/>
  <c r="AO14" i="8"/>
  <c r="AN14" i="8"/>
  <c r="AM14" i="8"/>
  <c r="AK14" i="8"/>
  <c r="AJ14" i="8"/>
  <c r="AI14" i="8"/>
  <c r="AH14" i="8"/>
  <c r="AG14" i="8"/>
  <c r="AE14" i="8"/>
  <c r="AD14" i="8"/>
  <c r="AC14" i="8"/>
  <c r="AB14" i="8"/>
  <c r="AA14" i="8"/>
  <c r="Z14" i="8"/>
  <c r="X14" i="8"/>
  <c r="W14" i="8"/>
  <c r="V14" i="8"/>
  <c r="U14" i="8"/>
  <c r="T14" i="8"/>
  <c r="R14" i="8"/>
  <c r="Q14" i="8"/>
  <c r="P14" i="8"/>
  <c r="O14" i="8"/>
  <c r="N14" i="8"/>
  <c r="M14" i="8"/>
  <c r="K14" i="8"/>
  <c r="J14" i="8"/>
  <c r="I14" i="8"/>
  <c r="H14" i="8"/>
  <c r="G14" i="8"/>
  <c r="E14" i="8"/>
  <c r="A14" i="8"/>
  <c r="C14" i="8" s="1"/>
  <c r="FV13" i="8"/>
  <c r="FU13" i="8"/>
  <c r="FT13" i="8"/>
  <c r="FS13" i="8"/>
  <c r="FR13" i="8"/>
  <c r="FP13" i="8"/>
  <c r="FO13" i="8"/>
  <c r="FN13" i="8"/>
  <c r="FM13" i="8"/>
  <c r="FL13" i="8"/>
  <c r="FA13" i="8"/>
  <c r="EZ13" i="8"/>
  <c r="EY13" i="8"/>
  <c r="EX13" i="8"/>
  <c r="EW13" i="8"/>
  <c r="EV13" i="8"/>
  <c r="EU13" i="8"/>
  <c r="ET13" i="8"/>
  <c r="ES13" i="8"/>
  <c r="ER13" i="8"/>
  <c r="EQ13" i="8"/>
  <c r="EN13" i="8"/>
  <c r="EM13" i="8"/>
  <c r="EL13" i="8"/>
  <c r="EK13" i="8"/>
  <c r="EJ13" i="8"/>
  <c r="EI13" i="8"/>
  <c r="EH13" i="8"/>
  <c r="EG13" i="8"/>
  <c r="EF13" i="8"/>
  <c r="EE13" i="8"/>
  <c r="ED13" i="8"/>
  <c r="EA13" i="8"/>
  <c r="DZ13" i="8"/>
  <c r="DY13" i="8"/>
  <c r="DX13" i="8"/>
  <c r="DW13" i="8"/>
  <c r="DV13" i="8"/>
  <c r="DU13" i="8"/>
  <c r="DT13" i="8"/>
  <c r="DS13" i="8"/>
  <c r="DR13" i="8"/>
  <c r="DQ13" i="8"/>
  <c r="DP13" i="8"/>
  <c r="DN13" i="8"/>
  <c r="DM13" i="8"/>
  <c r="DL13" i="8"/>
  <c r="DK13" i="8"/>
  <c r="DJ13" i="8"/>
  <c r="DI13" i="8"/>
  <c r="DH13" i="8"/>
  <c r="DG13" i="8"/>
  <c r="DF13" i="8"/>
  <c r="DE13" i="8"/>
  <c r="DC13" i="8"/>
  <c r="DB13" i="8"/>
  <c r="DA13" i="8"/>
  <c r="CZ13" i="8"/>
  <c r="CY13" i="8"/>
  <c r="CS13" i="8"/>
  <c r="CR13" i="8"/>
  <c r="CQ13" i="8"/>
  <c r="CP13" i="8"/>
  <c r="CO13" i="8"/>
  <c r="CN13" i="8"/>
  <c r="CM13" i="8"/>
  <c r="CL13" i="8"/>
  <c r="CK13" i="8"/>
  <c r="CJ13" i="8"/>
  <c r="CI13" i="8"/>
  <c r="CH13" i="8"/>
  <c r="CG13" i="8"/>
  <c r="CF13" i="8"/>
  <c r="CC13" i="8"/>
  <c r="CB13" i="8"/>
  <c r="CA13" i="8"/>
  <c r="BZ13" i="8"/>
  <c r="BY13" i="8"/>
  <c r="BW13" i="8"/>
  <c r="BV13" i="8"/>
  <c r="BU13" i="8"/>
  <c r="BT13" i="8"/>
  <c r="BS13" i="8"/>
  <c r="BQ13" i="8"/>
  <c r="BP13" i="8"/>
  <c r="BO13" i="8"/>
  <c r="BN13" i="8"/>
  <c r="BM13" i="8"/>
  <c r="BK13" i="8"/>
  <c r="BJ13" i="8"/>
  <c r="BI13" i="8"/>
  <c r="BH13" i="8"/>
  <c r="BG13" i="8"/>
  <c r="BE13" i="8"/>
  <c r="BD13" i="8"/>
  <c r="BC13" i="8"/>
  <c r="BB13" i="8"/>
  <c r="BA13" i="8"/>
  <c r="AZ13" i="8"/>
  <c r="AX13" i="8"/>
  <c r="AW13" i="8"/>
  <c r="AV13" i="8"/>
  <c r="AU13" i="8"/>
  <c r="AT13" i="8"/>
  <c r="AR13" i="8"/>
  <c r="AQ13" i="8"/>
  <c r="AP13" i="8"/>
  <c r="AO13" i="8"/>
  <c r="AN13" i="8"/>
  <c r="AM13" i="8"/>
  <c r="AK13" i="8"/>
  <c r="AJ13" i="8"/>
  <c r="AI13" i="8"/>
  <c r="AH13" i="8"/>
  <c r="AG13" i="8"/>
  <c r="AE13" i="8"/>
  <c r="AD13" i="8"/>
  <c r="AC13" i="8"/>
  <c r="AB13" i="8"/>
  <c r="AA13" i="8"/>
  <c r="Z13" i="8"/>
  <c r="X13" i="8"/>
  <c r="W13" i="8"/>
  <c r="V13" i="8"/>
  <c r="U13" i="8"/>
  <c r="T13" i="8"/>
  <c r="R13" i="8"/>
  <c r="Q13" i="8"/>
  <c r="P13" i="8"/>
  <c r="O13" i="8"/>
  <c r="N13" i="8"/>
  <c r="M13" i="8"/>
  <c r="K13" i="8"/>
  <c r="J13" i="8"/>
  <c r="I13" i="8"/>
  <c r="H13" i="8"/>
  <c r="G13" i="8"/>
  <c r="E13" i="8"/>
  <c r="A13" i="8"/>
  <c r="C13" i="8" s="1"/>
  <c r="FV12" i="8"/>
  <c r="FU12" i="8"/>
  <c r="FT12" i="8"/>
  <c r="FS12" i="8"/>
  <c r="FR12" i="8"/>
  <c r="FP12" i="8"/>
  <c r="FO12" i="8"/>
  <c r="FN12" i="8"/>
  <c r="FM12" i="8"/>
  <c r="FL12" i="8"/>
  <c r="FA12" i="8"/>
  <c r="EZ12" i="8"/>
  <c r="EY12" i="8"/>
  <c r="EX12" i="8"/>
  <c r="EW12" i="8"/>
  <c r="EV12" i="8"/>
  <c r="EU12" i="8"/>
  <c r="ET12" i="8"/>
  <c r="ES12" i="8"/>
  <c r="ER12" i="8"/>
  <c r="EQ12" i="8"/>
  <c r="EN12" i="8"/>
  <c r="EM12" i="8"/>
  <c r="EL12" i="8"/>
  <c r="EK12" i="8"/>
  <c r="EJ12" i="8"/>
  <c r="EI12" i="8"/>
  <c r="EH12" i="8"/>
  <c r="EG12" i="8"/>
  <c r="EF12" i="8"/>
  <c r="EE12" i="8"/>
  <c r="ED12" i="8"/>
  <c r="EA12" i="8"/>
  <c r="DZ12" i="8"/>
  <c r="DY12" i="8"/>
  <c r="DX12" i="8"/>
  <c r="DW12" i="8"/>
  <c r="DV12" i="8"/>
  <c r="DU12" i="8"/>
  <c r="DT12" i="8"/>
  <c r="DS12" i="8"/>
  <c r="DR12" i="8"/>
  <c r="DQ12" i="8"/>
  <c r="DP12" i="8"/>
  <c r="DN12" i="8"/>
  <c r="DM12" i="8"/>
  <c r="DL12" i="8"/>
  <c r="DK12" i="8"/>
  <c r="DJ12" i="8"/>
  <c r="DI12" i="8"/>
  <c r="DH12" i="8"/>
  <c r="DG12" i="8"/>
  <c r="DF12" i="8"/>
  <c r="DE12" i="8"/>
  <c r="DB12" i="8"/>
  <c r="DA12" i="8"/>
  <c r="CZ12" i="8"/>
  <c r="CY12" i="8"/>
  <c r="CS12" i="8"/>
  <c r="CR12" i="8"/>
  <c r="CQ12" i="8"/>
  <c r="CP12" i="8"/>
  <c r="CO12" i="8"/>
  <c r="CN12" i="8"/>
  <c r="CM12" i="8"/>
  <c r="CL12" i="8"/>
  <c r="CK12" i="8"/>
  <c r="CJ12" i="8"/>
  <c r="CI12" i="8"/>
  <c r="CH12" i="8"/>
  <c r="CG12" i="8"/>
  <c r="CF12" i="8"/>
  <c r="CC12" i="8"/>
  <c r="CB12" i="8"/>
  <c r="CA12" i="8"/>
  <c r="BZ12" i="8"/>
  <c r="BY12" i="8"/>
  <c r="BW12" i="8"/>
  <c r="BV12" i="8"/>
  <c r="BU12" i="8"/>
  <c r="BT12" i="8"/>
  <c r="BS12" i="8"/>
  <c r="BQ12" i="8"/>
  <c r="BP12" i="8"/>
  <c r="BO12" i="8"/>
  <c r="BN12" i="8"/>
  <c r="BM12" i="8"/>
  <c r="BK12" i="8"/>
  <c r="BJ12" i="8"/>
  <c r="BI12" i="8"/>
  <c r="BH12" i="8"/>
  <c r="BG12" i="8"/>
  <c r="BE12" i="8"/>
  <c r="BD12" i="8"/>
  <c r="BC12" i="8"/>
  <c r="BB12" i="8"/>
  <c r="BA12" i="8"/>
  <c r="AZ12" i="8"/>
  <c r="AX12" i="8"/>
  <c r="AW12" i="8"/>
  <c r="AV12" i="8"/>
  <c r="AU12" i="8"/>
  <c r="AT12" i="8"/>
  <c r="AR12" i="8"/>
  <c r="AQ12" i="8"/>
  <c r="AP12" i="8"/>
  <c r="AO12" i="8"/>
  <c r="AN12" i="8"/>
  <c r="AM12" i="8"/>
  <c r="AK12" i="8"/>
  <c r="AJ12" i="8"/>
  <c r="AI12" i="8"/>
  <c r="AH12" i="8"/>
  <c r="AG12" i="8"/>
  <c r="AE12" i="8"/>
  <c r="AD12" i="8"/>
  <c r="AC12" i="8"/>
  <c r="AB12" i="8"/>
  <c r="AA12" i="8"/>
  <c r="Z12" i="8"/>
  <c r="X12" i="8"/>
  <c r="W12" i="8"/>
  <c r="V12" i="8"/>
  <c r="U12" i="8"/>
  <c r="T12" i="8"/>
  <c r="R12" i="8"/>
  <c r="Q12" i="8"/>
  <c r="P12" i="8"/>
  <c r="O12" i="8"/>
  <c r="N12" i="8"/>
  <c r="M12" i="8"/>
  <c r="K12" i="8"/>
  <c r="J12" i="8"/>
  <c r="I12" i="8"/>
  <c r="H12" i="8"/>
  <c r="G12" i="8"/>
  <c r="E12" i="8"/>
  <c r="A12" i="8"/>
  <c r="C12" i="8" s="1"/>
  <c r="FV11" i="8"/>
  <c r="FU11" i="8"/>
  <c r="FT11" i="8"/>
  <c r="FS11" i="8"/>
  <c r="FR11" i="8"/>
  <c r="FP11" i="8"/>
  <c r="FO11" i="8"/>
  <c r="FN11" i="8"/>
  <c r="FM11" i="8"/>
  <c r="FL11" i="8"/>
  <c r="FA11" i="8"/>
  <c r="EZ11" i="8"/>
  <c r="EY11" i="8"/>
  <c r="EX11" i="8"/>
  <c r="EW11" i="8"/>
  <c r="EV11" i="8"/>
  <c r="EU11" i="8"/>
  <c r="ET11" i="8"/>
  <c r="ES11" i="8"/>
  <c r="ER11" i="8"/>
  <c r="EQ11" i="8"/>
  <c r="EN11" i="8"/>
  <c r="EM11" i="8"/>
  <c r="EL11" i="8"/>
  <c r="EK11" i="8"/>
  <c r="EJ11" i="8"/>
  <c r="EI11" i="8"/>
  <c r="EH11" i="8"/>
  <c r="EG11" i="8"/>
  <c r="EF11" i="8"/>
  <c r="EE11" i="8"/>
  <c r="ED11" i="8"/>
  <c r="EA11" i="8"/>
  <c r="DZ11" i="8"/>
  <c r="DY11" i="8"/>
  <c r="DX11" i="8"/>
  <c r="DW11" i="8"/>
  <c r="DV11" i="8"/>
  <c r="DU11" i="8"/>
  <c r="DT11" i="8"/>
  <c r="DS11" i="8"/>
  <c r="DR11" i="8"/>
  <c r="DQ11" i="8"/>
  <c r="DP11" i="8"/>
  <c r="DN11" i="8"/>
  <c r="DM11" i="8"/>
  <c r="DL11" i="8"/>
  <c r="DK11" i="8"/>
  <c r="DJ11" i="8"/>
  <c r="DI11" i="8"/>
  <c r="DH11" i="8"/>
  <c r="DG11" i="8"/>
  <c r="DF11" i="8"/>
  <c r="DE11" i="8"/>
  <c r="DC11" i="8"/>
  <c r="DB11" i="8"/>
  <c r="DA11" i="8"/>
  <c r="CZ11" i="8"/>
  <c r="CY11" i="8"/>
  <c r="CS11" i="8"/>
  <c r="CR11" i="8"/>
  <c r="CQ11" i="8"/>
  <c r="CP11" i="8"/>
  <c r="CO11" i="8"/>
  <c r="CN11" i="8"/>
  <c r="CM11" i="8"/>
  <c r="CL11" i="8"/>
  <c r="CK11" i="8"/>
  <c r="CJ11" i="8"/>
  <c r="CI11" i="8"/>
  <c r="CH11" i="8"/>
  <c r="CG11" i="8"/>
  <c r="CF11" i="8"/>
  <c r="CC11" i="8"/>
  <c r="CB11" i="8"/>
  <c r="CA11" i="8"/>
  <c r="BZ11" i="8"/>
  <c r="BY11" i="8"/>
  <c r="BW11" i="8"/>
  <c r="BV11" i="8"/>
  <c r="BU11" i="8"/>
  <c r="BT11" i="8"/>
  <c r="BS11" i="8"/>
  <c r="BQ11" i="8"/>
  <c r="BP11" i="8"/>
  <c r="BO11" i="8"/>
  <c r="BN11" i="8"/>
  <c r="BM11" i="8"/>
  <c r="BK11" i="8"/>
  <c r="BJ11" i="8"/>
  <c r="BI11" i="8"/>
  <c r="BH11" i="8"/>
  <c r="BG11" i="8"/>
  <c r="BE11" i="8"/>
  <c r="BD11" i="8"/>
  <c r="BC11" i="8"/>
  <c r="BB11" i="8"/>
  <c r="BA11" i="8"/>
  <c r="AZ11" i="8"/>
  <c r="AX11" i="8"/>
  <c r="AW11" i="8"/>
  <c r="AV11" i="8"/>
  <c r="AU11" i="8"/>
  <c r="AT11" i="8"/>
  <c r="AR11" i="8"/>
  <c r="AQ11" i="8"/>
  <c r="AP11" i="8"/>
  <c r="AO11" i="8"/>
  <c r="AN11" i="8"/>
  <c r="AM11" i="8"/>
  <c r="AK11" i="8"/>
  <c r="AJ11" i="8"/>
  <c r="AI11" i="8"/>
  <c r="AH11" i="8"/>
  <c r="AG11" i="8"/>
  <c r="AE11" i="8"/>
  <c r="AD11" i="8"/>
  <c r="AC11" i="8"/>
  <c r="AB11" i="8"/>
  <c r="AA11" i="8"/>
  <c r="Z11" i="8"/>
  <c r="X11" i="8"/>
  <c r="W11" i="8"/>
  <c r="V11" i="8"/>
  <c r="U11" i="8"/>
  <c r="T11" i="8"/>
  <c r="R11" i="8"/>
  <c r="Q11" i="8"/>
  <c r="P11" i="8"/>
  <c r="O11" i="8"/>
  <c r="N11" i="8"/>
  <c r="M11" i="8"/>
  <c r="K11" i="8"/>
  <c r="J11" i="8"/>
  <c r="I11" i="8"/>
  <c r="H11" i="8"/>
  <c r="G11" i="8"/>
  <c r="E11" i="8"/>
  <c r="A11" i="8"/>
  <c r="C11" i="8" s="1"/>
  <c r="FV10" i="8"/>
  <c r="FU10" i="8"/>
  <c r="FT10" i="8"/>
  <c r="FS10" i="8"/>
  <c r="FR10" i="8"/>
  <c r="FP10" i="8"/>
  <c r="FO10" i="8"/>
  <c r="FN10" i="8"/>
  <c r="FM10" i="8"/>
  <c r="FL10" i="8"/>
  <c r="FA10" i="8"/>
  <c r="EZ10" i="8"/>
  <c r="EY10" i="8"/>
  <c r="EX10" i="8"/>
  <c r="EW10" i="8"/>
  <c r="EV10" i="8"/>
  <c r="EU10" i="8"/>
  <c r="ET10" i="8"/>
  <c r="ES10" i="8"/>
  <c r="ER10" i="8"/>
  <c r="EQ10" i="8"/>
  <c r="EN10" i="8"/>
  <c r="EM10" i="8"/>
  <c r="EL10" i="8"/>
  <c r="EK10" i="8"/>
  <c r="EJ10" i="8"/>
  <c r="EI10" i="8"/>
  <c r="EH10" i="8"/>
  <c r="EG10" i="8"/>
  <c r="EF10" i="8"/>
  <c r="EE10" i="8"/>
  <c r="ED10" i="8"/>
  <c r="EA10" i="8"/>
  <c r="DZ10" i="8"/>
  <c r="DY10" i="8"/>
  <c r="DX10" i="8"/>
  <c r="DW10" i="8"/>
  <c r="DV10" i="8"/>
  <c r="DU10" i="8"/>
  <c r="DT10" i="8"/>
  <c r="DS10" i="8"/>
  <c r="DR10" i="8"/>
  <c r="DQ10" i="8"/>
  <c r="DP10" i="8"/>
  <c r="DN10" i="8"/>
  <c r="DM10" i="8"/>
  <c r="DL10" i="8"/>
  <c r="DK10" i="8"/>
  <c r="DJ10" i="8"/>
  <c r="DI10" i="8"/>
  <c r="DH10" i="8"/>
  <c r="DG10" i="8"/>
  <c r="DF10" i="8"/>
  <c r="DE10" i="8"/>
  <c r="DC10" i="8"/>
  <c r="DB10" i="8"/>
  <c r="DA10" i="8"/>
  <c r="CZ10" i="8"/>
  <c r="CY10" i="8"/>
  <c r="CS10" i="8"/>
  <c r="CR10" i="8"/>
  <c r="CQ10" i="8"/>
  <c r="CP10" i="8"/>
  <c r="CO10" i="8"/>
  <c r="CN10" i="8"/>
  <c r="CM10" i="8"/>
  <c r="CL10" i="8"/>
  <c r="CK10" i="8"/>
  <c r="CJ10" i="8"/>
  <c r="CI10" i="8"/>
  <c r="CH10" i="8"/>
  <c r="CG10" i="8"/>
  <c r="CF10" i="8"/>
  <c r="CC10" i="8"/>
  <c r="CB10" i="8"/>
  <c r="CA10" i="8"/>
  <c r="BZ10" i="8"/>
  <c r="BY10" i="8"/>
  <c r="BW10" i="8"/>
  <c r="BV10" i="8"/>
  <c r="BU10" i="8"/>
  <c r="BT10" i="8"/>
  <c r="BS10" i="8"/>
  <c r="BQ10" i="8"/>
  <c r="BP10" i="8"/>
  <c r="BO10" i="8"/>
  <c r="BN10" i="8"/>
  <c r="BM10" i="8"/>
  <c r="BK10" i="8"/>
  <c r="BJ10" i="8"/>
  <c r="BI10" i="8"/>
  <c r="BH10" i="8"/>
  <c r="BG10" i="8"/>
  <c r="BE10" i="8"/>
  <c r="BD10" i="8"/>
  <c r="BC10" i="8"/>
  <c r="BB10" i="8"/>
  <c r="BA10" i="8"/>
  <c r="AZ10" i="8"/>
  <c r="AX10" i="8"/>
  <c r="AW10" i="8"/>
  <c r="AV10" i="8"/>
  <c r="AU10" i="8"/>
  <c r="AT10" i="8"/>
  <c r="AR10" i="8"/>
  <c r="AQ10" i="8"/>
  <c r="AP10" i="8"/>
  <c r="AO10" i="8"/>
  <c r="AN10" i="8"/>
  <c r="AM10" i="8"/>
  <c r="AK10" i="8"/>
  <c r="AJ10" i="8"/>
  <c r="AI10" i="8"/>
  <c r="AH10" i="8"/>
  <c r="AG10" i="8"/>
  <c r="AE10" i="8"/>
  <c r="AD10" i="8"/>
  <c r="AC10" i="8"/>
  <c r="AB10" i="8"/>
  <c r="AA10" i="8"/>
  <c r="Z10" i="8"/>
  <c r="X10" i="8"/>
  <c r="W10" i="8"/>
  <c r="V10" i="8"/>
  <c r="U10" i="8"/>
  <c r="T10" i="8"/>
  <c r="R10" i="8"/>
  <c r="Q10" i="8"/>
  <c r="P10" i="8"/>
  <c r="O10" i="8"/>
  <c r="N10" i="8"/>
  <c r="M10" i="8"/>
  <c r="K10" i="8"/>
  <c r="J10" i="8"/>
  <c r="I10" i="8"/>
  <c r="H10" i="8"/>
  <c r="G10" i="8"/>
  <c r="E10" i="8"/>
  <c r="A10" i="8"/>
  <c r="C10" i="8" s="1"/>
  <c r="C66" i="8"/>
  <c r="FV9" i="8"/>
  <c r="FU9" i="8"/>
  <c r="FT9" i="8"/>
  <c r="FS9" i="8"/>
  <c r="FR9" i="8"/>
  <c r="FP9" i="8"/>
  <c r="FO9" i="8"/>
  <c r="FN9" i="8"/>
  <c r="FM9" i="8"/>
  <c r="FL9" i="8"/>
  <c r="FA9" i="8"/>
  <c r="EZ9" i="8"/>
  <c r="EY9" i="8"/>
  <c r="EX9" i="8"/>
  <c r="EW9" i="8"/>
  <c r="EV9" i="8"/>
  <c r="EU9" i="8"/>
  <c r="ET9" i="8"/>
  <c r="ES9" i="8"/>
  <c r="ER9" i="8"/>
  <c r="EQ9" i="8"/>
  <c r="EN9" i="8"/>
  <c r="EM9" i="8"/>
  <c r="EL9" i="8"/>
  <c r="EK9" i="8"/>
  <c r="EJ9" i="8"/>
  <c r="EI9" i="8"/>
  <c r="EH9" i="8"/>
  <c r="EG9" i="8"/>
  <c r="EF9" i="8"/>
  <c r="EE9" i="8"/>
  <c r="ED9" i="8"/>
  <c r="EA9" i="8"/>
  <c r="DZ9" i="8"/>
  <c r="DY9" i="8"/>
  <c r="DX9" i="8"/>
  <c r="DW9" i="8"/>
  <c r="DV9" i="8"/>
  <c r="DU9" i="8"/>
  <c r="DT9" i="8"/>
  <c r="DS9" i="8"/>
  <c r="DR9" i="8"/>
  <c r="DQ9" i="8"/>
  <c r="DP9" i="8"/>
  <c r="DN9" i="8"/>
  <c r="DM9" i="8"/>
  <c r="DL9" i="8"/>
  <c r="DK9" i="8"/>
  <c r="DJ9" i="8"/>
  <c r="DI9" i="8"/>
  <c r="DH9" i="8"/>
  <c r="DG9" i="8"/>
  <c r="DF9" i="8"/>
  <c r="DE9" i="8"/>
  <c r="DC9" i="8"/>
  <c r="DB9" i="8"/>
  <c r="DA9" i="8"/>
  <c r="CZ9" i="8"/>
  <c r="CY9" i="8"/>
  <c r="CS9" i="8"/>
  <c r="CR9" i="8"/>
  <c r="CQ9" i="8"/>
  <c r="CP9" i="8"/>
  <c r="CO9" i="8"/>
  <c r="CN9" i="8"/>
  <c r="CM9" i="8"/>
  <c r="CL9" i="8"/>
  <c r="CK9" i="8"/>
  <c r="CJ9" i="8"/>
  <c r="CI9" i="8"/>
  <c r="CH9" i="8"/>
  <c r="CG9" i="8"/>
  <c r="CF9" i="8"/>
  <c r="CC9" i="8"/>
  <c r="CB9" i="8"/>
  <c r="CA9" i="8"/>
  <c r="BZ9" i="8"/>
  <c r="BY9" i="8"/>
  <c r="BW9" i="8"/>
  <c r="BV9" i="8"/>
  <c r="BU9" i="8"/>
  <c r="BT9" i="8"/>
  <c r="BS9" i="8"/>
  <c r="BQ9" i="8"/>
  <c r="BP9" i="8"/>
  <c r="BO9" i="8"/>
  <c r="BN9" i="8"/>
  <c r="BM9" i="8"/>
  <c r="BK9" i="8"/>
  <c r="BJ9" i="8"/>
  <c r="BI9" i="8"/>
  <c r="BH9" i="8"/>
  <c r="BG9" i="8"/>
  <c r="BE9" i="8"/>
  <c r="BD9" i="8"/>
  <c r="BC9" i="8"/>
  <c r="BB9" i="8"/>
  <c r="BA9" i="8"/>
  <c r="AZ9" i="8"/>
  <c r="AX9" i="8"/>
  <c r="AW9" i="8"/>
  <c r="AV9" i="8"/>
  <c r="AU9" i="8"/>
  <c r="AT9" i="8"/>
  <c r="AR9" i="8"/>
  <c r="AQ9" i="8"/>
  <c r="AP9" i="8"/>
  <c r="AO9" i="8"/>
  <c r="AN9" i="8"/>
  <c r="AM9" i="8"/>
  <c r="AK9" i="8"/>
  <c r="AJ9" i="8"/>
  <c r="AI9" i="8"/>
  <c r="AH9" i="8"/>
  <c r="AG9" i="8"/>
  <c r="AE9" i="8"/>
  <c r="AD9" i="8"/>
  <c r="AC9" i="8"/>
  <c r="AB9" i="8"/>
  <c r="AA9" i="8"/>
  <c r="Z9" i="8"/>
  <c r="X9" i="8"/>
  <c r="W9" i="8"/>
  <c r="V9" i="8"/>
  <c r="U9" i="8"/>
  <c r="T9" i="8"/>
  <c r="R9" i="8"/>
  <c r="Q9" i="8"/>
  <c r="P9" i="8"/>
  <c r="O9" i="8"/>
  <c r="N9" i="8"/>
  <c r="M9" i="8"/>
  <c r="K9" i="8"/>
  <c r="J9" i="8"/>
  <c r="I9" i="8"/>
  <c r="H9" i="8"/>
  <c r="G9" i="8"/>
  <c r="E9" i="8"/>
  <c r="A9" i="8"/>
  <c r="C9" i="8" s="1"/>
  <c r="FV8" i="8"/>
  <c r="FU8" i="8"/>
  <c r="FT8" i="8"/>
  <c r="FS8" i="8"/>
  <c r="FR8" i="8"/>
  <c r="FP8" i="8"/>
  <c r="FO8" i="8"/>
  <c r="FN8" i="8"/>
  <c r="FM8" i="8"/>
  <c r="FL8" i="8"/>
  <c r="FA8" i="8"/>
  <c r="EZ8" i="8"/>
  <c r="EY8" i="8"/>
  <c r="EX8" i="8"/>
  <c r="EW8" i="8"/>
  <c r="EV8" i="8"/>
  <c r="EU8" i="8"/>
  <c r="ET8" i="8"/>
  <c r="ES8" i="8"/>
  <c r="ER8" i="8"/>
  <c r="EQ8" i="8"/>
  <c r="EN8" i="8"/>
  <c r="EM8" i="8"/>
  <c r="EL8" i="8"/>
  <c r="EK8" i="8"/>
  <c r="EJ8" i="8"/>
  <c r="EI8" i="8"/>
  <c r="EH8" i="8"/>
  <c r="EG8" i="8"/>
  <c r="EF8" i="8"/>
  <c r="EE8" i="8"/>
  <c r="ED8" i="8"/>
  <c r="EA8" i="8"/>
  <c r="DZ8" i="8"/>
  <c r="DY8" i="8"/>
  <c r="DX8" i="8"/>
  <c r="DW8" i="8"/>
  <c r="DV8" i="8"/>
  <c r="DU8" i="8"/>
  <c r="DT8" i="8"/>
  <c r="DS8" i="8"/>
  <c r="DR8" i="8"/>
  <c r="DQ8" i="8"/>
  <c r="DP8" i="8"/>
  <c r="DN8" i="8"/>
  <c r="DM8" i="8"/>
  <c r="DL8" i="8"/>
  <c r="DK8" i="8"/>
  <c r="DJ8" i="8"/>
  <c r="DI8" i="8"/>
  <c r="DH8" i="8"/>
  <c r="DG8" i="8"/>
  <c r="DF8" i="8"/>
  <c r="DE8" i="8"/>
  <c r="DC8" i="8"/>
  <c r="DB8" i="8"/>
  <c r="DA8" i="8"/>
  <c r="CZ8" i="8"/>
  <c r="CY8" i="8"/>
  <c r="CS8" i="8"/>
  <c r="CR8" i="8"/>
  <c r="CQ8" i="8"/>
  <c r="CP8" i="8"/>
  <c r="CO8" i="8"/>
  <c r="CN8" i="8"/>
  <c r="CM8" i="8"/>
  <c r="CL8" i="8"/>
  <c r="CK8" i="8"/>
  <c r="CJ8" i="8"/>
  <c r="CI8" i="8"/>
  <c r="CH8" i="8"/>
  <c r="CG8" i="8"/>
  <c r="CF8" i="8"/>
  <c r="CC8" i="8"/>
  <c r="CB8" i="8"/>
  <c r="CA8" i="8"/>
  <c r="BZ8" i="8"/>
  <c r="BY8" i="8"/>
  <c r="BW8" i="8"/>
  <c r="BV8" i="8"/>
  <c r="BU8" i="8"/>
  <c r="BT8" i="8"/>
  <c r="BS8" i="8"/>
  <c r="BQ8" i="8"/>
  <c r="BP8" i="8"/>
  <c r="BO8" i="8"/>
  <c r="BN8" i="8"/>
  <c r="BM8" i="8"/>
  <c r="BK8" i="8"/>
  <c r="BJ8" i="8"/>
  <c r="BI8" i="8"/>
  <c r="BH8" i="8"/>
  <c r="BG8" i="8"/>
  <c r="BE8" i="8"/>
  <c r="BD8" i="8"/>
  <c r="BC8" i="8"/>
  <c r="BB8" i="8"/>
  <c r="BA8" i="8"/>
  <c r="AZ8" i="8"/>
  <c r="AX8" i="8"/>
  <c r="AW8" i="8"/>
  <c r="AV8" i="8"/>
  <c r="AU8" i="8"/>
  <c r="AT8" i="8"/>
  <c r="AR8" i="8"/>
  <c r="AQ8" i="8"/>
  <c r="AP8" i="8"/>
  <c r="AO8" i="8"/>
  <c r="AN8" i="8"/>
  <c r="AM8" i="8"/>
  <c r="AK8" i="8"/>
  <c r="AJ8" i="8"/>
  <c r="AI8" i="8"/>
  <c r="AH8" i="8"/>
  <c r="AG8" i="8"/>
  <c r="AE8" i="8"/>
  <c r="AD8" i="8"/>
  <c r="AC8" i="8"/>
  <c r="AB8" i="8"/>
  <c r="AA8" i="8"/>
  <c r="Z8" i="8"/>
  <c r="X8" i="8"/>
  <c r="W8" i="8"/>
  <c r="V8" i="8"/>
  <c r="U8" i="8"/>
  <c r="T8" i="8"/>
  <c r="R8" i="8"/>
  <c r="Q8" i="8"/>
  <c r="P8" i="8"/>
  <c r="O8" i="8"/>
  <c r="N8" i="8"/>
  <c r="M8" i="8"/>
  <c r="K8" i="8"/>
  <c r="J8" i="8"/>
  <c r="I8" i="8"/>
  <c r="H8" i="8"/>
  <c r="G8" i="8"/>
  <c r="E8" i="8"/>
  <c r="A8" i="8"/>
  <c r="C8" i="8" s="1"/>
  <c r="FV7" i="8"/>
  <c r="FU7" i="8"/>
  <c r="FT7" i="8"/>
  <c r="FS7" i="8"/>
  <c r="FR7" i="8"/>
  <c r="FP7" i="8"/>
  <c r="FO7" i="8"/>
  <c r="FN7" i="8"/>
  <c r="FM7" i="8"/>
  <c r="FL7" i="8"/>
  <c r="FA7" i="8"/>
  <c r="EZ7" i="8"/>
  <c r="EY7" i="8"/>
  <c r="EX7" i="8"/>
  <c r="EW7" i="8"/>
  <c r="EV7" i="8"/>
  <c r="EU7" i="8"/>
  <c r="ET7" i="8"/>
  <c r="ES7" i="8"/>
  <c r="ER7" i="8"/>
  <c r="EQ7" i="8"/>
  <c r="EN7" i="8"/>
  <c r="EM7" i="8"/>
  <c r="EL7" i="8"/>
  <c r="EK7" i="8"/>
  <c r="EJ7" i="8"/>
  <c r="EI7" i="8"/>
  <c r="EH7" i="8"/>
  <c r="EG7" i="8"/>
  <c r="EF7" i="8"/>
  <c r="EE7" i="8"/>
  <c r="ED7" i="8"/>
  <c r="EA7" i="8"/>
  <c r="DZ7" i="8"/>
  <c r="DY7" i="8"/>
  <c r="DX7" i="8"/>
  <c r="DW7" i="8"/>
  <c r="DV7" i="8"/>
  <c r="DU7" i="8"/>
  <c r="DT7" i="8"/>
  <c r="DS7" i="8"/>
  <c r="DR7" i="8"/>
  <c r="DQ7" i="8"/>
  <c r="DP7" i="8"/>
  <c r="DN7" i="8"/>
  <c r="DM7" i="8"/>
  <c r="DL7" i="8"/>
  <c r="DK7" i="8"/>
  <c r="DJ7" i="8"/>
  <c r="DI7" i="8"/>
  <c r="DH7" i="8"/>
  <c r="DG7" i="8"/>
  <c r="DF7" i="8"/>
  <c r="DE7" i="8"/>
  <c r="DC7" i="8"/>
  <c r="DB7" i="8"/>
  <c r="DA7" i="8"/>
  <c r="CZ7" i="8"/>
  <c r="CY7" i="8"/>
  <c r="CS7" i="8"/>
  <c r="CR7" i="8"/>
  <c r="CQ7" i="8"/>
  <c r="CP7" i="8"/>
  <c r="CO7" i="8"/>
  <c r="CN7" i="8"/>
  <c r="CM7" i="8"/>
  <c r="CL7" i="8"/>
  <c r="CK7" i="8"/>
  <c r="CJ7" i="8"/>
  <c r="CI7" i="8"/>
  <c r="CH7" i="8"/>
  <c r="CG7" i="8"/>
  <c r="CF7" i="8"/>
  <c r="CC7" i="8"/>
  <c r="CB7" i="8"/>
  <c r="CA7" i="8"/>
  <c r="BZ7" i="8"/>
  <c r="BY7" i="8"/>
  <c r="BW7" i="8"/>
  <c r="BV7" i="8"/>
  <c r="BU7" i="8"/>
  <c r="BT7" i="8"/>
  <c r="BS7" i="8"/>
  <c r="BQ7" i="8"/>
  <c r="BP7" i="8"/>
  <c r="BO7" i="8"/>
  <c r="BN7" i="8"/>
  <c r="BM7" i="8"/>
  <c r="BK7" i="8"/>
  <c r="BJ7" i="8"/>
  <c r="BI7" i="8"/>
  <c r="BH7" i="8"/>
  <c r="BG7" i="8"/>
  <c r="BE7" i="8"/>
  <c r="BD7" i="8"/>
  <c r="BC7" i="8"/>
  <c r="BB7" i="8"/>
  <c r="BA7" i="8"/>
  <c r="AZ7" i="8"/>
  <c r="AX7" i="8"/>
  <c r="AW7" i="8"/>
  <c r="AV7" i="8"/>
  <c r="AU7" i="8"/>
  <c r="AT7" i="8"/>
  <c r="AR7" i="8"/>
  <c r="AQ7" i="8"/>
  <c r="AP7" i="8"/>
  <c r="AO7" i="8"/>
  <c r="AN7" i="8"/>
  <c r="AM7" i="8"/>
  <c r="AK7" i="8"/>
  <c r="AJ7" i="8"/>
  <c r="AI7" i="8"/>
  <c r="AH7" i="8"/>
  <c r="AG7" i="8"/>
  <c r="AE7" i="8"/>
  <c r="AD7" i="8"/>
  <c r="AC7" i="8"/>
  <c r="AB7" i="8"/>
  <c r="AA7" i="8"/>
  <c r="Z7" i="8"/>
  <c r="X7" i="8"/>
  <c r="W7" i="8"/>
  <c r="V7" i="8"/>
  <c r="U7" i="8"/>
  <c r="T7" i="8"/>
  <c r="R7" i="8"/>
  <c r="Q7" i="8"/>
  <c r="P7" i="8"/>
  <c r="O7" i="8"/>
  <c r="N7" i="8"/>
  <c r="M7" i="8"/>
  <c r="K7" i="8"/>
  <c r="J7" i="8"/>
  <c r="I7" i="8"/>
  <c r="H7" i="8"/>
  <c r="G7" i="8"/>
  <c r="E7" i="8"/>
  <c r="A7" i="8"/>
  <c r="C7" i="8" s="1"/>
  <c r="FV6" i="8"/>
  <c r="FU6" i="8"/>
  <c r="FT6" i="8"/>
  <c r="FS6" i="8"/>
  <c r="FR6" i="8"/>
  <c r="FP6" i="8"/>
  <c r="FO6" i="8"/>
  <c r="FN6" i="8"/>
  <c r="FM6" i="8"/>
  <c r="FL6" i="8"/>
  <c r="FA6" i="8"/>
  <c r="EZ6" i="8"/>
  <c r="EY6" i="8"/>
  <c r="EX6" i="8"/>
  <c r="EW6" i="8"/>
  <c r="EV6" i="8"/>
  <c r="EU6" i="8"/>
  <c r="ET6" i="8"/>
  <c r="ES6" i="8"/>
  <c r="ER6" i="8"/>
  <c r="EQ6" i="8"/>
  <c r="EN6" i="8"/>
  <c r="EM6" i="8"/>
  <c r="EL6" i="8"/>
  <c r="EK6" i="8"/>
  <c r="EJ6" i="8"/>
  <c r="EI6" i="8"/>
  <c r="EH6" i="8"/>
  <c r="EG6" i="8"/>
  <c r="EF6" i="8"/>
  <c r="EE6" i="8"/>
  <c r="ED6" i="8"/>
  <c r="EA6" i="8"/>
  <c r="DZ6" i="8"/>
  <c r="DY6" i="8"/>
  <c r="DX6" i="8"/>
  <c r="DW6" i="8"/>
  <c r="DV6" i="8"/>
  <c r="DU6" i="8"/>
  <c r="DT6" i="8"/>
  <c r="DS6" i="8"/>
  <c r="DR6" i="8"/>
  <c r="DQ6" i="8"/>
  <c r="DP6" i="8"/>
  <c r="DN6" i="8"/>
  <c r="DM6" i="8"/>
  <c r="DL6" i="8"/>
  <c r="DK6" i="8"/>
  <c r="DJ6" i="8"/>
  <c r="DI6" i="8"/>
  <c r="DH6" i="8"/>
  <c r="DG6" i="8"/>
  <c r="DF6" i="8"/>
  <c r="DE6" i="8"/>
  <c r="DC6" i="8"/>
  <c r="DB6" i="8"/>
  <c r="DA6" i="8"/>
  <c r="CZ6" i="8"/>
  <c r="CY6" i="8"/>
  <c r="CS6" i="8"/>
  <c r="CR6" i="8"/>
  <c r="CQ6" i="8"/>
  <c r="CP6" i="8"/>
  <c r="CO6" i="8"/>
  <c r="CN6" i="8"/>
  <c r="CM6" i="8"/>
  <c r="CL6" i="8"/>
  <c r="CK6" i="8"/>
  <c r="CJ6" i="8"/>
  <c r="CI6" i="8"/>
  <c r="CH6" i="8"/>
  <c r="CG6" i="8"/>
  <c r="CF6" i="8"/>
  <c r="CC6" i="8"/>
  <c r="CB6" i="8"/>
  <c r="CA6" i="8"/>
  <c r="BZ6" i="8"/>
  <c r="BY6" i="8"/>
  <c r="BW6" i="8"/>
  <c r="BV6" i="8"/>
  <c r="BU6" i="8"/>
  <c r="BT6" i="8"/>
  <c r="BS6" i="8"/>
  <c r="BQ6" i="8"/>
  <c r="BP6" i="8"/>
  <c r="BO6" i="8"/>
  <c r="BN6" i="8"/>
  <c r="BM6" i="8"/>
  <c r="BK6" i="8"/>
  <c r="BJ6" i="8"/>
  <c r="BI6" i="8"/>
  <c r="BH6" i="8"/>
  <c r="BG6" i="8"/>
  <c r="BE6" i="8"/>
  <c r="BD6" i="8"/>
  <c r="BC6" i="8"/>
  <c r="BB6" i="8"/>
  <c r="BA6" i="8"/>
  <c r="AZ6" i="8"/>
  <c r="AX6" i="8"/>
  <c r="AW6" i="8"/>
  <c r="AV6" i="8"/>
  <c r="AU6" i="8"/>
  <c r="AT6" i="8"/>
  <c r="AR6" i="8"/>
  <c r="AQ6" i="8"/>
  <c r="AP6" i="8"/>
  <c r="AO6" i="8"/>
  <c r="AN6" i="8"/>
  <c r="AM6" i="8"/>
  <c r="AK6" i="8"/>
  <c r="AJ6" i="8"/>
  <c r="AI6" i="8"/>
  <c r="AH6" i="8"/>
  <c r="AG6" i="8"/>
  <c r="AE6" i="8"/>
  <c r="AD6" i="8"/>
  <c r="AC6" i="8"/>
  <c r="AB6" i="8"/>
  <c r="AA6" i="8"/>
  <c r="Z6" i="8"/>
  <c r="X6" i="8"/>
  <c r="W6" i="8"/>
  <c r="V6" i="8"/>
  <c r="U6" i="8"/>
  <c r="T6" i="8"/>
  <c r="R6" i="8"/>
  <c r="Q6" i="8"/>
  <c r="P6" i="8"/>
  <c r="O6" i="8"/>
  <c r="N6" i="8"/>
  <c r="M6" i="8"/>
  <c r="K6" i="8"/>
  <c r="J6" i="8"/>
  <c r="I6" i="8"/>
  <c r="H6" i="8"/>
  <c r="G6" i="8"/>
  <c r="E6" i="8"/>
  <c r="A6" i="8"/>
  <c r="C6" i="8" s="1"/>
  <c r="BE5" i="8"/>
  <c r="BD5" i="8"/>
  <c r="BC5" i="8"/>
  <c r="BB5" i="8"/>
  <c r="BA5" i="8"/>
  <c r="AZ5" i="8"/>
  <c r="AR5" i="8"/>
  <c r="AQ5" i="8"/>
  <c r="AP5" i="8"/>
  <c r="AO5" i="8"/>
  <c r="AN5" i="8"/>
  <c r="AM5" i="8"/>
  <c r="AE5" i="8"/>
  <c r="AD5" i="8"/>
  <c r="AC5" i="8"/>
  <c r="AB5" i="8"/>
  <c r="AA5" i="8"/>
  <c r="Z5" i="8"/>
  <c r="A5" i="8"/>
  <c r="FL5" i="8"/>
  <c r="FM5" i="8"/>
  <c r="FN5" i="8"/>
  <c r="FO5" i="8"/>
  <c r="FP5" i="8"/>
  <c r="FR5" i="8"/>
  <c r="FS5" i="8"/>
  <c r="FT5" i="8"/>
  <c r="FU5" i="8"/>
  <c r="FV5" i="8"/>
  <c r="FA5" i="8"/>
  <c r="EZ5" i="8"/>
  <c r="EY5" i="8"/>
  <c r="EX5" i="8"/>
  <c r="EW5" i="8"/>
  <c r="EV5" i="8"/>
  <c r="EU5" i="8"/>
  <c r="ET5" i="8"/>
  <c r="ES5" i="8"/>
  <c r="ER5" i="8"/>
  <c r="EQ5" i="8"/>
  <c r="R5" i="8"/>
  <c r="Q5" i="8"/>
  <c r="P5" i="8"/>
  <c r="O5" i="8"/>
  <c r="N5" i="8"/>
  <c r="M5" i="8"/>
  <c r="DM5" i="8"/>
  <c r="CC5" i="8"/>
  <c r="CB5" i="8"/>
  <c r="CA5" i="8"/>
  <c r="BY5" i="8"/>
  <c r="BW5" i="8"/>
  <c r="BV5" i="8"/>
  <c r="BU5" i="8"/>
  <c r="BT5" i="8"/>
  <c r="BS5" i="8"/>
  <c r="BQ5" i="8"/>
  <c r="BP5" i="8"/>
  <c r="BO5" i="8"/>
  <c r="BN5" i="8"/>
  <c r="BM5" i="8"/>
  <c r="BK5" i="8"/>
  <c r="BJ5" i="8"/>
  <c r="BI5" i="8"/>
  <c r="BH5" i="8"/>
  <c r="BG5" i="8"/>
  <c r="CT35" i="8" l="1"/>
  <c r="CV48" i="8"/>
  <c r="CT10" i="8"/>
  <c r="CU10" i="8"/>
  <c r="CV10" i="8" s="1"/>
  <c r="CT11" i="8"/>
  <c r="CU11" i="8"/>
  <c r="CV11" i="8" s="1"/>
  <c r="CT12" i="8"/>
  <c r="CU12" i="8"/>
  <c r="CT13" i="8"/>
  <c r="CU13" i="8"/>
  <c r="CV13" i="8" s="1"/>
  <c r="CT14" i="8"/>
  <c r="CU14" i="8"/>
  <c r="CT15" i="8"/>
  <c r="CU15" i="8"/>
  <c r="CV15" i="8" s="1"/>
  <c r="CT16" i="8"/>
  <c r="CU16" i="8"/>
  <c r="CT17" i="8"/>
  <c r="CU17" i="8"/>
  <c r="CV17" i="8" s="1"/>
  <c r="CT18" i="8"/>
  <c r="CU18" i="8"/>
  <c r="CT19" i="8"/>
  <c r="CU19" i="8"/>
  <c r="CV19" i="8" s="1"/>
  <c r="CT20" i="8"/>
  <c r="CU20" i="8"/>
  <c r="CT21" i="8"/>
  <c r="CU21" i="8"/>
  <c r="CV21" i="8" s="1"/>
  <c r="CT22" i="8"/>
  <c r="CU22" i="8"/>
  <c r="CV22" i="8" s="1"/>
  <c r="CT23" i="8"/>
  <c r="CU23" i="8"/>
  <c r="CV23" i="8" s="1"/>
  <c r="CT24" i="8"/>
  <c r="CU24" i="8"/>
  <c r="CT26" i="8"/>
  <c r="CU26" i="8"/>
  <c r="CT27" i="8"/>
  <c r="CU27" i="8"/>
  <c r="CV27" i="8" s="1"/>
  <c r="CT28" i="8"/>
  <c r="CU28" i="8"/>
  <c r="CT29" i="8"/>
  <c r="CU29" i="8"/>
  <c r="CV29" i="8" s="1"/>
  <c r="CT30" i="8"/>
  <c r="CU30" i="8"/>
  <c r="CT31" i="8"/>
  <c r="CV31" i="8" s="1"/>
  <c r="CU31" i="8"/>
  <c r="CT32" i="8"/>
  <c r="CU32" i="8"/>
  <c r="CT33" i="8"/>
  <c r="CU33" i="8"/>
  <c r="CV33" i="8" s="1"/>
  <c r="CT34" i="8"/>
  <c r="CU34" i="8"/>
  <c r="CT36" i="8"/>
  <c r="CU36" i="8"/>
  <c r="CV36" i="8" s="1"/>
  <c r="CT37" i="8"/>
  <c r="CU37" i="8"/>
  <c r="CV37" i="8" s="1"/>
  <c r="CT38" i="8"/>
  <c r="CU38" i="8"/>
  <c r="CT39" i="8"/>
  <c r="CU39" i="8"/>
  <c r="CV39" i="8" s="1"/>
  <c r="CT40" i="8"/>
  <c r="CU40" i="8"/>
  <c r="CV40" i="8" s="1"/>
  <c r="CT41" i="8"/>
  <c r="CU41" i="8"/>
  <c r="CV41" i="8" s="1"/>
  <c r="CT42" i="8"/>
  <c r="CU42" i="8"/>
  <c r="CV42" i="8" s="1"/>
  <c r="CT43" i="8"/>
  <c r="CU43" i="8"/>
  <c r="CV43" i="8" s="1"/>
  <c r="CT44" i="8"/>
  <c r="CU44" i="8"/>
  <c r="CV44" i="8" s="1"/>
  <c r="CT45" i="8"/>
  <c r="CU45" i="8"/>
  <c r="CV45" i="8" s="1"/>
  <c r="CT46" i="8"/>
  <c r="CU46" i="8"/>
  <c r="CV46" i="8" s="1"/>
  <c r="CT47" i="8"/>
  <c r="CU47" i="8"/>
  <c r="CV47" i="8" s="1"/>
  <c r="CT50" i="8"/>
  <c r="CU50" i="8"/>
  <c r="CV50" i="8" s="1"/>
  <c r="CT51" i="8"/>
  <c r="CU51" i="8"/>
  <c r="CV51" i="8" s="1"/>
  <c r="CT52" i="8"/>
  <c r="CU52" i="8"/>
  <c r="CV52" i="8" s="1"/>
  <c r="CT54" i="8"/>
  <c r="CU54" i="8"/>
  <c r="CV54" i="8" s="1"/>
  <c r="CT55" i="8"/>
  <c r="CU55" i="8"/>
  <c r="CV55" i="8" s="1"/>
  <c r="CT56" i="8"/>
  <c r="CU56" i="8"/>
  <c r="CV56" i="8" s="1"/>
  <c r="CT57" i="8"/>
  <c r="CU57" i="8"/>
  <c r="CV57" i="8" s="1"/>
  <c r="CT58" i="8"/>
  <c r="CU58" i="8"/>
  <c r="CV58" i="8" s="1"/>
  <c r="CT59" i="8"/>
  <c r="CU59" i="8"/>
  <c r="CV59" i="8" s="1"/>
  <c r="CT60" i="8"/>
  <c r="CU60" i="8"/>
  <c r="CV60" i="8" s="1"/>
  <c r="CT61" i="8"/>
  <c r="CU61" i="8"/>
  <c r="CV61" i="8" s="1"/>
  <c r="CT62" i="8"/>
  <c r="CU62" i="8"/>
  <c r="CV62" i="8" s="1"/>
  <c r="CT63" i="8"/>
  <c r="CU63" i="8"/>
  <c r="CV63" i="8" s="1"/>
  <c r="CT64" i="8"/>
  <c r="CU64" i="8"/>
  <c r="CV64" i="8" s="1"/>
  <c r="CT65" i="8"/>
  <c r="CU65" i="8"/>
  <c r="CV65" i="8" s="1"/>
  <c r="CT66" i="8"/>
  <c r="CU66" i="8"/>
  <c r="CV66" i="8" s="1"/>
  <c r="CU35" i="8"/>
  <c r="CV35" i="8"/>
  <c r="CU6" i="8"/>
  <c r="CT7" i="8"/>
  <c r="CT9" i="8"/>
  <c r="CU9" i="8"/>
  <c r="CT6" i="8"/>
  <c r="CU7" i="8"/>
  <c r="CT8" i="8"/>
  <c r="CU8" i="8"/>
  <c r="CV9" i="8" l="1"/>
  <c r="CV24" i="8"/>
  <c r="CV20" i="8"/>
  <c r="CV18" i="8"/>
  <c r="CV16" i="8"/>
  <c r="CV14" i="8"/>
  <c r="CV12" i="8"/>
  <c r="CV38" i="8"/>
  <c r="CV34" i="8"/>
  <c r="CV32" i="8"/>
  <c r="CV30" i="8"/>
  <c r="CV28" i="8"/>
  <c r="CV26" i="8"/>
  <c r="CV6" i="8"/>
  <c r="CV7" i="8"/>
  <c r="CV8" i="8"/>
  <c r="BZ5" i="8" l="1"/>
  <c r="EN5" i="8" l="1"/>
  <c r="EM5" i="8"/>
  <c r="EL5" i="8"/>
  <c r="EK5" i="8"/>
  <c r="EJ5" i="8"/>
  <c r="EI5" i="8"/>
  <c r="EH5" i="8"/>
  <c r="EG5" i="8"/>
  <c r="EF5" i="8"/>
  <c r="EE5" i="8"/>
  <c r="ED5" i="8"/>
  <c r="EA5" i="8"/>
  <c r="DZ5" i="8"/>
  <c r="DY5" i="8"/>
  <c r="DX5" i="8"/>
  <c r="DW5" i="8"/>
  <c r="DV5" i="8"/>
  <c r="DU5" i="8"/>
  <c r="DT5" i="8"/>
  <c r="DS5" i="8"/>
  <c r="DR5" i="8"/>
  <c r="DQ5" i="8"/>
  <c r="DP5" i="8"/>
  <c r="DN5" i="8"/>
  <c r="DL5" i="8"/>
  <c r="DK5" i="8"/>
  <c r="DJ5" i="8"/>
  <c r="DI5" i="8"/>
  <c r="DH5" i="8"/>
  <c r="DG5" i="8"/>
  <c r="DF5" i="8"/>
  <c r="DE5" i="8"/>
  <c r="DC5" i="8"/>
  <c r="DB5" i="8"/>
  <c r="DA5" i="8"/>
  <c r="CZ5" i="8"/>
  <c r="CY5" i="8"/>
  <c r="CS5" i="8"/>
  <c r="CR5" i="8"/>
  <c r="CQ5" i="8"/>
  <c r="CP5" i="8"/>
  <c r="CO5" i="8"/>
  <c r="CN5" i="8"/>
  <c r="CM5" i="8"/>
  <c r="CL5" i="8"/>
  <c r="CK5" i="8"/>
  <c r="CJ5" i="8"/>
  <c r="CI5" i="8"/>
  <c r="CH5" i="8"/>
  <c r="CG5" i="8"/>
  <c r="CF5" i="8"/>
  <c r="AX5" i="8"/>
  <c r="AW5" i="8"/>
  <c r="AV5" i="8"/>
  <c r="AU5" i="8"/>
  <c r="AT5" i="8"/>
  <c r="AK5" i="8"/>
  <c r="AJ5" i="8"/>
  <c r="AI5" i="8"/>
  <c r="AH5" i="8"/>
  <c r="AG5" i="8"/>
  <c r="X5" i="8"/>
  <c r="W5" i="8"/>
  <c r="V5" i="8"/>
  <c r="U5" i="8"/>
  <c r="T5" i="8"/>
  <c r="K5" i="8"/>
  <c r="J5" i="8"/>
  <c r="I5" i="8"/>
  <c r="H5" i="8"/>
  <c r="G5" i="8"/>
  <c r="E5" i="8"/>
  <c r="C5" i="8"/>
  <c r="F6" i="2"/>
  <c r="D6" i="2"/>
  <c r="CY7" i="1"/>
  <c r="CX7" i="1"/>
  <c r="CW7" i="1"/>
  <c r="CV7" i="1"/>
  <c r="CU7" i="1"/>
  <c r="CT7" i="1"/>
  <c r="CS7" i="1"/>
  <c r="CR7" i="1"/>
  <c r="CQ7" i="1"/>
  <c r="CP7" i="1"/>
  <c r="CO7" i="1"/>
  <c r="CM7" i="1"/>
  <c r="CL7" i="1"/>
  <c r="CK7" i="1"/>
  <c r="CJ7" i="1"/>
  <c r="CI7" i="1"/>
  <c r="CH7" i="1"/>
  <c r="CG7" i="1"/>
  <c r="CF7" i="1"/>
  <c r="CE7" i="1"/>
  <c r="CD7" i="1"/>
  <c r="CC7" i="1"/>
  <c r="CA7" i="1"/>
  <c r="BZ7" i="1"/>
  <c r="BY7" i="1"/>
  <c r="BX7" i="1"/>
  <c r="BW7" i="1"/>
  <c r="BV7" i="1"/>
  <c r="BU7" i="1"/>
  <c r="BT7" i="1"/>
  <c r="BS7" i="1"/>
  <c r="BR7" i="1"/>
  <c r="BQ7" i="1"/>
  <c r="BP7" i="1"/>
  <c r="BN7" i="1"/>
  <c r="BM7" i="1"/>
  <c r="BL7" i="1"/>
  <c r="BK7" i="1"/>
  <c r="BJ7" i="1"/>
  <c r="BI7" i="1"/>
  <c r="BH7" i="1"/>
  <c r="BF7" i="1"/>
  <c r="BE7" i="1"/>
  <c r="BC7" i="1"/>
  <c r="BD7" i="1" s="1"/>
  <c r="BA7" i="1"/>
  <c r="AZ7" i="1"/>
  <c r="AY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D7" i="1"/>
  <c r="AC7" i="1"/>
  <c r="AB7" i="1"/>
  <c r="AA7" i="1"/>
  <c r="Z7" i="1"/>
  <c r="X7" i="1"/>
  <c r="W7" i="1"/>
  <c r="V7" i="1"/>
  <c r="U7" i="1"/>
  <c r="T7" i="1"/>
  <c r="R7" i="1"/>
  <c r="Q7" i="1"/>
  <c r="P7" i="1"/>
  <c r="O7" i="1"/>
  <c r="N7" i="1"/>
  <c r="L7" i="1"/>
  <c r="K7" i="1"/>
  <c r="J7" i="1"/>
  <c r="I7" i="1"/>
  <c r="H7" i="1"/>
  <c r="F7" i="1"/>
  <c r="CY6" i="1"/>
  <c r="CX6" i="1"/>
  <c r="CW6" i="1"/>
  <c r="CV6" i="1"/>
  <c r="CU6" i="1"/>
  <c r="CT6" i="1"/>
  <c r="CS6" i="1"/>
  <c r="CR6" i="1"/>
  <c r="CQ6" i="1"/>
  <c r="CP6" i="1"/>
  <c r="CO6" i="1"/>
  <c r="CM6" i="1"/>
  <c r="CL6" i="1"/>
  <c r="CK6" i="1"/>
  <c r="CJ6" i="1"/>
  <c r="CI6" i="1"/>
  <c r="CH6" i="1"/>
  <c r="CG6" i="1"/>
  <c r="CF6" i="1"/>
  <c r="CE6" i="1"/>
  <c r="CD6" i="1"/>
  <c r="CC6" i="1"/>
  <c r="CA6" i="1"/>
  <c r="BZ6" i="1"/>
  <c r="BY6" i="1"/>
  <c r="BX6" i="1"/>
  <c r="BW6" i="1"/>
  <c r="BV6" i="1"/>
  <c r="BU6" i="1"/>
  <c r="BT6" i="1"/>
  <c r="BS6" i="1"/>
  <c r="BR6" i="1"/>
  <c r="BQ6" i="1"/>
  <c r="BP6" i="1"/>
  <c r="BN6" i="1"/>
  <c r="BM6" i="1"/>
  <c r="BL6" i="1"/>
  <c r="BK6" i="1"/>
  <c r="BJ6" i="1"/>
  <c r="BI6" i="1"/>
  <c r="BH6" i="1"/>
  <c r="BF6" i="1"/>
  <c r="BE6" i="1"/>
  <c r="BC6" i="1"/>
  <c r="BD6" i="1" s="1"/>
  <c r="BA6" i="1"/>
  <c r="AZ6" i="1"/>
  <c r="AY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D6" i="1"/>
  <c r="AC6" i="1"/>
  <c r="AB6" i="1"/>
  <c r="AA6" i="1"/>
  <c r="Z6" i="1"/>
  <c r="X6" i="1"/>
  <c r="W6" i="1"/>
  <c r="V6" i="1"/>
  <c r="U6" i="1"/>
  <c r="T6" i="1"/>
  <c r="R6" i="1"/>
  <c r="Q6" i="1"/>
  <c r="P6" i="1"/>
  <c r="O6" i="1"/>
  <c r="N6" i="1"/>
  <c r="L6" i="1"/>
  <c r="K6" i="1"/>
  <c r="J6" i="1"/>
  <c r="I6" i="1"/>
  <c r="H6" i="1"/>
  <c r="F6" i="1"/>
  <c r="D7" i="1"/>
  <c r="CY6" i="2"/>
  <c r="CX6" i="2"/>
  <c r="CW6" i="2"/>
  <c r="CV6" i="2"/>
  <c r="CU6" i="2"/>
  <c r="CT6" i="2"/>
  <c r="CS6" i="2"/>
  <c r="CR6" i="2"/>
  <c r="CQ6" i="2"/>
  <c r="CP6" i="2"/>
  <c r="CO6" i="2"/>
  <c r="CM6" i="2"/>
  <c r="CL6" i="2"/>
  <c r="CK6" i="2"/>
  <c r="CJ6" i="2"/>
  <c r="CI6" i="2"/>
  <c r="CH6" i="2"/>
  <c r="CG6" i="2"/>
  <c r="CF6" i="2"/>
  <c r="CE6" i="2"/>
  <c r="CD6" i="2"/>
  <c r="CC6" i="2"/>
  <c r="CA6" i="2"/>
  <c r="BZ6" i="2"/>
  <c r="BY6" i="2"/>
  <c r="BX6" i="2"/>
  <c r="BW6" i="2"/>
  <c r="BV6" i="2"/>
  <c r="BU6" i="2"/>
  <c r="BT6" i="2"/>
  <c r="BS6" i="2"/>
  <c r="BR6" i="2"/>
  <c r="BQ6" i="2"/>
  <c r="BP6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D7" i="2"/>
  <c r="AC7" i="2"/>
  <c r="AB7" i="2"/>
  <c r="AA7" i="2"/>
  <c r="Z7" i="2"/>
  <c r="X7" i="2"/>
  <c r="W7" i="2"/>
  <c r="V7" i="2"/>
  <c r="U7" i="2"/>
  <c r="T7" i="2"/>
  <c r="R7" i="2"/>
  <c r="Q7" i="2"/>
  <c r="P7" i="2"/>
  <c r="O7" i="2"/>
  <c r="N7" i="2"/>
  <c r="L7" i="2"/>
  <c r="K7" i="2"/>
  <c r="J7" i="2"/>
  <c r="I7" i="2"/>
  <c r="H7" i="2"/>
  <c r="F7" i="2"/>
  <c r="BB6" i="2"/>
  <c r="CT5" i="8" l="1"/>
  <c r="CU5" i="8"/>
  <c r="AU7" i="1"/>
  <c r="AT7" i="1"/>
  <c r="BC6" i="2"/>
  <c r="BD6" i="2" s="1"/>
  <c r="CV5" i="8" l="1"/>
  <c r="AV7" i="1"/>
  <c r="BN6" i="2"/>
  <c r="BM6" i="2"/>
  <c r="BL6" i="2"/>
  <c r="BK6" i="2"/>
  <c r="BJ6" i="2"/>
  <c r="BI6" i="2"/>
  <c r="BH6" i="2"/>
  <c r="BF6" i="2"/>
  <c r="BE6" i="2"/>
  <c r="BA6" i="2"/>
  <c r="AZ6" i="2"/>
  <c r="AY6" i="2"/>
  <c r="AS6" i="2" l="1"/>
  <c r="AS8" i="2"/>
  <c r="AR6" i="2"/>
  <c r="AR8" i="2"/>
  <c r="AQ6" i="2"/>
  <c r="AQ8" i="2"/>
  <c r="AP6" i="2"/>
  <c r="AP8" i="2"/>
  <c r="AO6" i="2"/>
  <c r="AO8" i="2"/>
  <c r="AN6" i="2"/>
  <c r="AN8" i="2"/>
  <c r="AM6" i="2"/>
  <c r="AM8" i="2"/>
  <c r="AL6" i="2"/>
  <c r="AL8" i="2"/>
  <c r="AK6" i="2"/>
  <c r="AK8" i="2"/>
  <c r="AJ6" i="2"/>
  <c r="AJ8" i="2"/>
  <c r="AI6" i="2"/>
  <c r="AI8" i="2"/>
  <c r="AH8" i="2"/>
  <c r="AG6" i="2"/>
  <c r="AG8" i="2"/>
  <c r="AF6" i="2"/>
  <c r="AF8" i="2"/>
  <c r="AC6" i="2"/>
  <c r="AD6" i="2"/>
  <c r="AB6" i="2"/>
  <c r="AA6" i="2"/>
  <c r="Z6" i="2"/>
  <c r="W6" i="2"/>
  <c r="V6" i="2"/>
  <c r="U6" i="2"/>
  <c r="T6" i="2"/>
  <c r="R6" i="2"/>
  <c r="Q6" i="2"/>
  <c r="P6" i="2"/>
  <c r="O6" i="2"/>
  <c r="N6" i="2"/>
  <c r="L6" i="2"/>
  <c r="K6" i="2"/>
  <c r="J6" i="2"/>
  <c r="H6" i="2"/>
  <c r="AH6" i="2"/>
  <c r="X6" i="2"/>
  <c r="I6" i="2"/>
  <c r="AU6" i="2" l="1"/>
  <c r="D12" i="1"/>
  <c r="F12" i="1"/>
  <c r="H12" i="1"/>
  <c r="I12" i="1"/>
  <c r="J12" i="1"/>
  <c r="K12" i="1"/>
  <c r="L12" i="1"/>
  <c r="N12" i="1"/>
  <c r="O12" i="1"/>
  <c r="P12" i="1"/>
  <c r="Q12" i="1"/>
  <c r="R12" i="1"/>
  <c r="T12" i="1"/>
  <c r="U12" i="1"/>
  <c r="V12" i="1"/>
  <c r="W12" i="1"/>
  <c r="X12" i="1"/>
  <c r="Z12" i="1"/>
  <c r="AA12" i="1"/>
  <c r="AB12" i="1"/>
  <c r="AC12" i="1"/>
  <c r="AD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U12" i="1" l="1"/>
  <c r="AT12" i="1"/>
  <c r="AV12" i="1" l="1"/>
  <c r="G30" i="4" l="1"/>
  <c r="G36" i="4"/>
  <c r="F36" i="4"/>
  <c r="E36" i="4"/>
  <c r="D36" i="4"/>
  <c r="F30" i="4"/>
  <c r="E30" i="4"/>
  <c r="D30" i="4"/>
  <c r="G18" i="4"/>
  <c r="F18" i="4"/>
  <c r="G24" i="4"/>
  <c r="F24" i="4"/>
  <c r="E24" i="4"/>
  <c r="E18" i="4"/>
  <c r="C36" i="4"/>
  <c r="C30" i="4"/>
  <c r="C24" i="4"/>
  <c r="D40" i="4"/>
  <c r="D41" i="4"/>
  <c r="D51" i="4" l="1"/>
  <c r="G51" i="4"/>
  <c r="F51" i="4"/>
  <c r="E51" i="4"/>
  <c r="C51" i="4"/>
  <c r="G36" i="6"/>
  <c r="G41" i="6"/>
  <c r="G46" i="6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T23" i="2" s="1"/>
  <c r="AF23" i="2"/>
  <c r="AU22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U6" i="1"/>
  <c r="AT6" i="1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F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D6" i="3"/>
  <c r="AC6" i="3"/>
  <c r="AB6" i="3"/>
  <c r="AA6" i="3"/>
  <c r="Z6" i="3"/>
  <c r="X6" i="3"/>
  <c r="W6" i="3"/>
  <c r="V6" i="3"/>
  <c r="U6" i="3"/>
  <c r="T6" i="3"/>
  <c r="R6" i="3"/>
  <c r="Q6" i="3"/>
  <c r="P6" i="3"/>
  <c r="O6" i="3"/>
  <c r="N6" i="3"/>
  <c r="L6" i="3"/>
  <c r="K6" i="3"/>
  <c r="J6" i="3"/>
  <c r="I6" i="3"/>
  <c r="H6" i="3"/>
  <c r="F6" i="3"/>
  <c r="AG29" i="2" l="1"/>
  <c r="AI29" i="2"/>
  <c r="AK29" i="2"/>
  <c r="AM29" i="2"/>
  <c r="AO29" i="2"/>
  <c r="AQ29" i="2"/>
  <c r="AS29" i="2"/>
  <c r="AU14" i="2"/>
  <c r="AT15" i="2"/>
  <c r="AU26" i="1"/>
  <c r="AQ35" i="1"/>
  <c r="AT27" i="1"/>
  <c r="AM35" i="1"/>
  <c r="AU17" i="1"/>
  <c r="AT18" i="1"/>
  <c r="AT7" i="2"/>
  <c r="AU10" i="2"/>
  <c r="AT11" i="2"/>
  <c r="AU18" i="2"/>
  <c r="AT19" i="2"/>
  <c r="AU26" i="2"/>
  <c r="AT27" i="2"/>
  <c r="AS30" i="2"/>
  <c r="AO30" i="2"/>
  <c r="AK30" i="2"/>
  <c r="AG30" i="2"/>
  <c r="AU7" i="2"/>
  <c r="AT8" i="2"/>
  <c r="AU8" i="2"/>
  <c r="AT9" i="2"/>
  <c r="AU9" i="2"/>
  <c r="AT10" i="2"/>
  <c r="AU11" i="2"/>
  <c r="AT12" i="2"/>
  <c r="AU12" i="2"/>
  <c r="AT13" i="2"/>
  <c r="AU13" i="2"/>
  <c r="AT14" i="2"/>
  <c r="AV14" i="2" s="1"/>
  <c r="AU15" i="2"/>
  <c r="AV15" i="2" s="1"/>
  <c r="AT16" i="2"/>
  <c r="AU16" i="2"/>
  <c r="AT17" i="2"/>
  <c r="AU17" i="2"/>
  <c r="AT18" i="2"/>
  <c r="AU19" i="2"/>
  <c r="AT20" i="2"/>
  <c r="AU20" i="2"/>
  <c r="AT22" i="2"/>
  <c r="AV22" i="2" s="1"/>
  <c r="AU23" i="2"/>
  <c r="AV23" i="2" s="1"/>
  <c r="AT24" i="2"/>
  <c r="AU24" i="2"/>
  <c r="AT25" i="2"/>
  <c r="AU25" i="2"/>
  <c r="AT26" i="2"/>
  <c r="AU27" i="2"/>
  <c r="AT28" i="2"/>
  <c r="AU28" i="2"/>
  <c r="AQ30" i="2"/>
  <c r="AM30" i="2"/>
  <c r="AI30" i="2"/>
  <c r="AT13" i="1"/>
  <c r="AT14" i="1"/>
  <c r="AU21" i="1"/>
  <c r="AT22" i="1"/>
  <c r="AU13" i="1"/>
  <c r="AU14" i="1"/>
  <c r="AT15" i="1"/>
  <c r="AU15" i="1"/>
  <c r="AT16" i="1"/>
  <c r="AU16" i="1"/>
  <c r="AT17" i="1"/>
  <c r="AU18" i="1"/>
  <c r="AT19" i="1"/>
  <c r="AU19" i="1"/>
  <c r="AT20" i="1"/>
  <c r="AU20" i="1"/>
  <c r="AT21" i="1"/>
  <c r="AU22" i="1"/>
  <c r="AU27" i="1"/>
  <c r="AV27" i="1" s="1"/>
  <c r="AT28" i="1"/>
  <c r="AU28" i="1"/>
  <c r="AU25" i="1"/>
  <c r="AT26" i="1"/>
  <c r="AT24" i="1"/>
  <c r="AU24" i="1"/>
  <c r="AT23" i="1"/>
  <c r="AU23" i="1"/>
  <c r="AF29" i="2"/>
  <c r="AF30" i="2"/>
  <c r="AH30" i="2"/>
  <c r="AH29" i="2"/>
  <c r="AJ30" i="2"/>
  <c r="AJ29" i="2"/>
  <c r="AL30" i="2"/>
  <c r="AL29" i="2"/>
  <c r="AN30" i="2"/>
  <c r="AN29" i="2"/>
  <c r="AP30" i="2"/>
  <c r="AP29" i="2"/>
  <c r="AR30" i="2"/>
  <c r="AR29" i="2"/>
  <c r="AT6" i="2"/>
  <c r="AV6" i="2" s="1"/>
  <c r="AV6" i="1"/>
  <c r="AF35" i="1"/>
  <c r="AH35" i="1"/>
  <c r="AL35" i="1"/>
  <c r="AN34" i="1"/>
  <c r="AP35" i="1"/>
  <c r="AR34" i="1"/>
  <c r="AG35" i="1"/>
  <c r="AI34" i="1"/>
  <c r="AK35" i="1"/>
  <c r="AM34" i="1"/>
  <c r="AO35" i="1"/>
  <c r="AQ34" i="1"/>
  <c r="AS35" i="1"/>
  <c r="AI35" i="1"/>
  <c r="AO34" i="1"/>
  <c r="AF34" i="1"/>
  <c r="AP34" i="1"/>
  <c r="AL34" i="1"/>
  <c r="AH34" i="1"/>
  <c r="AR35" i="1"/>
  <c r="AN35" i="1"/>
  <c r="AJ35" i="1"/>
  <c r="AT25" i="1"/>
  <c r="AS34" i="1"/>
  <c r="AJ34" i="1"/>
  <c r="AK34" i="1"/>
  <c r="AG34" i="1"/>
  <c r="G41" i="4"/>
  <c r="F41" i="4"/>
  <c r="E41" i="4"/>
  <c r="C41" i="4"/>
  <c r="G40" i="4"/>
  <c r="F40" i="4"/>
  <c r="E40" i="4"/>
  <c r="AD28" i="2"/>
  <c r="AC28" i="2"/>
  <c r="AB28" i="2"/>
  <c r="AA28" i="2"/>
  <c r="Z28" i="2"/>
  <c r="X28" i="2"/>
  <c r="W28" i="2"/>
  <c r="V28" i="2"/>
  <c r="U28" i="2"/>
  <c r="T28" i="2"/>
  <c r="R28" i="2"/>
  <c r="Q28" i="2"/>
  <c r="P28" i="2"/>
  <c r="O28" i="2"/>
  <c r="N28" i="2"/>
  <c r="L28" i="2"/>
  <c r="K28" i="2"/>
  <c r="J28" i="2"/>
  <c r="I28" i="2"/>
  <c r="H28" i="2"/>
  <c r="F28" i="2"/>
  <c r="D28" i="2"/>
  <c r="AD27" i="2"/>
  <c r="AC27" i="2"/>
  <c r="AB27" i="2"/>
  <c r="AA27" i="2"/>
  <c r="Z27" i="2"/>
  <c r="X27" i="2"/>
  <c r="W27" i="2"/>
  <c r="V27" i="2"/>
  <c r="U27" i="2"/>
  <c r="T27" i="2"/>
  <c r="R27" i="2"/>
  <c r="Q27" i="2"/>
  <c r="P27" i="2"/>
  <c r="O27" i="2"/>
  <c r="N27" i="2"/>
  <c r="L27" i="2"/>
  <c r="K27" i="2"/>
  <c r="J27" i="2"/>
  <c r="I27" i="2"/>
  <c r="H27" i="2"/>
  <c r="F27" i="2"/>
  <c r="D27" i="2"/>
  <c r="AD26" i="2"/>
  <c r="AC26" i="2"/>
  <c r="AB26" i="2"/>
  <c r="AA26" i="2"/>
  <c r="Z26" i="2"/>
  <c r="X26" i="2"/>
  <c r="W26" i="2"/>
  <c r="V26" i="2"/>
  <c r="U26" i="2"/>
  <c r="T26" i="2"/>
  <c r="R26" i="2"/>
  <c r="Q26" i="2"/>
  <c r="P26" i="2"/>
  <c r="O26" i="2"/>
  <c r="N26" i="2"/>
  <c r="L26" i="2"/>
  <c r="K26" i="2"/>
  <c r="J26" i="2"/>
  <c r="I26" i="2"/>
  <c r="H26" i="2"/>
  <c r="F26" i="2"/>
  <c r="D26" i="2"/>
  <c r="AD25" i="2"/>
  <c r="AC25" i="2"/>
  <c r="AB25" i="2"/>
  <c r="AA25" i="2"/>
  <c r="Z25" i="2"/>
  <c r="X25" i="2"/>
  <c r="W25" i="2"/>
  <c r="V25" i="2"/>
  <c r="U25" i="2"/>
  <c r="T25" i="2"/>
  <c r="R25" i="2"/>
  <c r="Q25" i="2"/>
  <c r="P25" i="2"/>
  <c r="O25" i="2"/>
  <c r="N25" i="2"/>
  <c r="L25" i="2"/>
  <c r="K25" i="2"/>
  <c r="J25" i="2"/>
  <c r="I25" i="2"/>
  <c r="H25" i="2"/>
  <c r="F25" i="2"/>
  <c r="D25" i="2"/>
  <c r="AD24" i="2"/>
  <c r="AC24" i="2"/>
  <c r="AB24" i="2"/>
  <c r="AA24" i="2"/>
  <c r="Z24" i="2"/>
  <c r="X24" i="2"/>
  <c r="W24" i="2"/>
  <c r="V24" i="2"/>
  <c r="U24" i="2"/>
  <c r="T24" i="2"/>
  <c r="R24" i="2"/>
  <c r="Q24" i="2"/>
  <c r="P24" i="2"/>
  <c r="O24" i="2"/>
  <c r="N24" i="2"/>
  <c r="L24" i="2"/>
  <c r="K24" i="2"/>
  <c r="J24" i="2"/>
  <c r="I24" i="2"/>
  <c r="H24" i="2"/>
  <c r="F24" i="2"/>
  <c r="D24" i="2"/>
  <c r="AD23" i="2"/>
  <c r="AC23" i="2"/>
  <c r="AB23" i="2"/>
  <c r="AA23" i="2"/>
  <c r="Z23" i="2"/>
  <c r="X23" i="2"/>
  <c r="W23" i="2"/>
  <c r="V23" i="2"/>
  <c r="U23" i="2"/>
  <c r="T23" i="2"/>
  <c r="R23" i="2"/>
  <c r="Q23" i="2"/>
  <c r="P23" i="2"/>
  <c r="O23" i="2"/>
  <c r="N23" i="2"/>
  <c r="L23" i="2"/>
  <c r="K23" i="2"/>
  <c r="J23" i="2"/>
  <c r="I23" i="2"/>
  <c r="H23" i="2"/>
  <c r="F23" i="2"/>
  <c r="D23" i="2"/>
  <c r="D22" i="2"/>
  <c r="D21" i="2"/>
  <c r="AD20" i="2"/>
  <c r="AC20" i="2"/>
  <c r="AB20" i="2"/>
  <c r="AA20" i="2"/>
  <c r="AA29" i="2" s="1"/>
  <c r="AA30" i="2" s="1"/>
  <c r="Z20" i="2"/>
  <c r="X20" i="2"/>
  <c r="W20" i="2"/>
  <c r="V20" i="2"/>
  <c r="U20" i="2"/>
  <c r="T20" i="2"/>
  <c r="R20" i="2"/>
  <c r="Q20" i="2"/>
  <c r="P20" i="2"/>
  <c r="O20" i="2"/>
  <c r="N20" i="2"/>
  <c r="L20" i="2"/>
  <c r="K20" i="2"/>
  <c r="J20" i="2"/>
  <c r="I20" i="2"/>
  <c r="H20" i="2"/>
  <c r="D20" i="2"/>
  <c r="AD19" i="2"/>
  <c r="AC19" i="2"/>
  <c r="AB19" i="2"/>
  <c r="AA19" i="2"/>
  <c r="Z19" i="2"/>
  <c r="X19" i="2"/>
  <c r="W19" i="2"/>
  <c r="V19" i="2"/>
  <c r="U19" i="2"/>
  <c r="T19" i="2"/>
  <c r="R19" i="2"/>
  <c r="Q19" i="2"/>
  <c r="P19" i="2"/>
  <c r="O19" i="2"/>
  <c r="N19" i="2"/>
  <c r="L19" i="2"/>
  <c r="K19" i="2"/>
  <c r="J19" i="2"/>
  <c r="I19" i="2"/>
  <c r="H19" i="2"/>
  <c r="F19" i="2"/>
  <c r="D19" i="2"/>
  <c r="AD18" i="2"/>
  <c r="AC18" i="2"/>
  <c r="AB18" i="2"/>
  <c r="AA18" i="2"/>
  <c r="Z18" i="2"/>
  <c r="X18" i="2"/>
  <c r="W18" i="2"/>
  <c r="V18" i="2"/>
  <c r="U18" i="2"/>
  <c r="T18" i="2"/>
  <c r="R18" i="2"/>
  <c r="Q18" i="2"/>
  <c r="P18" i="2"/>
  <c r="O18" i="2"/>
  <c r="N18" i="2"/>
  <c r="L18" i="2"/>
  <c r="K18" i="2"/>
  <c r="J18" i="2"/>
  <c r="I18" i="2"/>
  <c r="H18" i="2"/>
  <c r="F18" i="2"/>
  <c r="D18" i="2"/>
  <c r="AD17" i="2"/>
  <c r="AC17" i="2"/>
  <c r="AB17" i="2"/>
  <c r="AA17" i="2"/>
  <c r="Z17" i="2"/>
  <c r="X17" i="2"/>
  <c r="W17" i="2"/>
  <c r="V17" i="2"/>
  <c r="U17" i="2"/>
  <c r="T17" i="2"/>
  <c r="R17" i="2"/>
  <c r="Q17" i="2"/>
  <c r="P17" i="2"/>
  <c r="O17" i="2"/>
  <c r="N17" i="2"/>
  <c r="L17" i="2"/>
  <c r="K17" i="2"/>
  <c r="J17" i="2"/>
  <c r="I17" i="2"/>
  <c r="H17" i="2"/>
  <c r="F17" i="2"/>
  <c r="D17" i="2"/>
  <c r="AD16" i="2"/>
  <c r="AC16" i="2"/>
  <c r="AB16" i="2"/>
  <c r="AA16" i="2"/>
  <c r="Z16" i="2"/>
  <c r="X16" i="2"/>
  <c r="W16" i="2"/>
  <c r="V16" i="2"/>
  <c r="U16" i="2"/>
  <c r="T16" i="2"/>
  <c r="R16" i="2"/>
  <c r="Q16" i="2"/>
  <c r="P16" i="2"/>
  <c r="O16" i="2"/>
  <c r="N16" i="2"/>
  <c r="L16" i="2"/>
  <c r="K16" i="2"/>
  <c r="J16" i="2"/>
  <c r="I16" i="2"/>
  <c r="H16" i="2"/>
  <c r="F16" i="2"/>
  <c r="D16" i="2"/>
  <c r="AD15" i="2"/>
  <c r="AC15" i="2"/>
  <c r="AB15" i="2"/>
  <c r="AA15" i="2"/>
  <c r="Z15" i="2"/>
  <c r="X15" i="2"/>
  <c r="W15" i="2"/>
  <c r="V15" i="2"/>
  <c r="U15" i="2"/>
  <c r="T15" i="2"/>
  <c r="R15" i="2"/>
  <c r="Q15" i="2"/>
  <c r="P15" i="2"/>
  <c r="O15" i="2"/>
  <c r="N15" i="2"/>
  <c r="L15" i="2"/>
  <c r="K15" i="2"/>
  <c r="J15" i="2"/>
  <c r="I15" i="2"/>
  <c r="H15" i="2"/>
  <c r="F15" i="2"/>
  <c r="D15" i="2"/>
  <c r="AD14" i="2"/>
  <c r="AC14" i="2"/>
  <c r="AB14" i="2"/>
  <c r="AA14" i="2"/>
  <c r="Z14" i="2"/>
  <c r="X14" i="2"/>
  <c r="W14" i="2"/>
  <c r="V14" i="2"/>
  <c r="U14" i="2"/>
  <c r="T14" i="2"/>
  <c r="R14" i="2"/>
  <c r="Q14" i="2"/>
  <c r="P14" i="2"/>
  <c r="O14" i="2"/>
  <c r="N14" i="2"/>
  <c r="L14" i="2"/>
  <c r="K14" i="2"/>
  <c r="J14" i="2"/>
  <c r="I14" i="2"/>
  <c r="H14" i="2"/>
  <c r="F14" i="2"/>
  <c r="D14" i="2"/>
  <c r="AD13" i="2"/>
  <c r="AC13" i="2"/>
  <c r="AB13" i="2"/>
  <c r="AA13" i="2"/>
  <c r="Z13" i="2"/>
  <c r="X13" i="2"/>
  <c r="W13" i="2"/>
  <c r="V13" i="2"/>
  <c r="U13" i="2"/>
  <c r="T13" i="2"/>
  <c r="R13" i="2"/>
  <c r="Q13" i="2"/>
  <c r="P13" i="2"/>
  <c r="O13" i="2"/>
  <c r="N13" i="2"/>
  <c r="L13" i="2"/>
  <c r="K13" i="2"/>
  <c r="J13" i="2"/>
  <c r="I13" i="2"/>
  <c r="H13" i="2"/>
  <c r="F13" i="2"/>
  <c r="D13" i="2"/>
  <c r="AD12" i="2"/>
  <c r="AC12" i="2"/>
  <c r="AB12" i="2"/>
  <c r="AA12" i="2"/>
  <c r="Z12" i="2"/>
  <c r="X12" i="2"/>
  <c r="W12" i="2"/>
  <c r="V12" i="2"/>
  <c r="U12" i="2"/>
  <c r="T12" i="2"/>
  <c r="R12" i="2"/>
  <c r="Q12" i="2"/>
  <c r="P12" i="2"/>
  <c r="O12" i="2"/>
  <c r="N12" i="2"/>
  <c r="L12" i="2"/>
  <c r="K12" i="2"/>
  <c r="J12" i="2"/>
  <c r="I12" i="2"/>
  <c r="H12" i="2"/>
  <c r="F12" i="2"/>
  <c r="D12" i="2"/>
  <c r="AD11" i="2"/>
  <c r="AC11" i="2"/>
  <c r="AB11" i="2"/>
  <c r="AA11" i="2"/>
  <c r="Z11" i="2"/>
  <c r="X11" i="2"/>
  <c r="W11" i="2"/>
  <c r="V11" i="2"/>
  <c r="U11" i="2"/>
  <c r="T11" i="2"/>
  <c r="R11" i="2"/>
  <c r="Q11" i="2"/>
  <c r="P11" i="2"/>
  <c r="O11" i="2"/>
  <c r="N11" i="2"/>
  <c r="L11" i="2"/>
  <c r="K11" i="2"/>
  <c r="J11" i="2"/>
  <c r="I11" i="2"/>
  <c r="H11" i="2"/>
  <c r="F11" i="2"/>
  <c r="D11" i="2"/>
  <c r="AD10" i="2"/>
  <c r="AC10" i="2"/>
  <c r="AB10" i="2"/>
  <c r="AA10" i="2"/>
  <c r="Z10" i="2"/>
  <c r="X10" i="2"/>
  <c r="W10" i="2"/>
  <c r="V10" i="2"/>
  <c r="U10" i="2"/>
  <c r="T10" i="2"/>
  <c r="R10" i="2"/>
  <c r="Q10" i="2"/>
  <c r="P10" i="2"/>
  <c r="O10" i="2"/>
  <c r="N10" i="2"/>
  <c r="L10" i="2"/>
  <c r="K10" i="2"/>
  <c r="J10" i="2"/>
  <c r="I10" i="2"/>
  <c r="H10" i="2"/>
  <c r="F10" i="2"/>
  <c r="D10" i="2"/>
  <c r="AD9" i="2"/>
  <c r="AC9" i="2"/>
  <c r="AB9" i="2"/>
  <c r="AA9" i="2"/>
  <c r="Z9" i="2"/>
  <c r="X9" i="2"/>
  <c r="W9" i="2"/>
  <c r="V9" i="2"/>
  <c r="U9" i="2"/>
  <c r="T9" i="2"/>
  <c r="R9" i="2"/>
  <c r="Q9" i="2"/>
  <c r="P9" i="2"/>
  <c r="O9" i="2"/>
  <c r="N9" i="2"/>
  <c r="L9" i="2"/>
  <c r="K9" i="2"/>
  <c r="J9" i="2"/>
  <c r="I9" i="2"/>
  <c r="H9" i="2"/>
  <c r="F9" i="2"/>
  <c r="D9" i="2"/>
  <c r="AD8" i="2"/>
  <c r="AC8" i="2"/>
  <c r="AB8" i="2"/>
  <c r="AA8" i="2"/>
  <c r="Z8" i="2"/>
  <c r="X8" i="2"/>
  <c r="W8" i="2"/>
  <c r="V8" i="2"/>
  <c r="U8" i="2"/>
  <c r="T8" i="2"/>
  <c r="R8" i="2"/>
  <c r="Q8" i="2"/>
  <c r="P8" i="2"/>
  <c r="O8" i="2"/>
  <c r="N8" i="2"/>
  <c r="L8" i="2"/>
  <c r="K8" i="2"/>
  <c r="J8" i="2"/>
  <c r="I8" i="2"/>
  <c r="H8" i="2"/>
  <c r="F8" i="2"/>
  <c r="D8" i="2"/>
  <c r="D7" i="2"/>
  <c r="AD28" i="1"/>
  <c r="AC28" i="1"/>
  <c r="AB28" i="1"/>
  <c r="AA28" i="1"/>
  <c r="Z28" i="1"/>
  <c r="X28" i="1"/>
  <c r="W28" i="1"/>
  <c r="V28" i="1"/>
  <c r="U28" i="1"/>
  <c r="T28" i="1"/>
  <c r="R28" i="1"/>
  <c r="Q28" i="1"/>
  <c r="P28" i="1"/>
  <c r="O28" i="1"/>
  <c r="N28" i="1"/>
  <c r="L28" i="1"/>
  <c r="K28" i="1"/>
  <c r="J28" i="1"/>
  <c r="I28" i="1"/>
  <c r="H28" i="1"/>
  <c r="F28" i="1"/>
  <c r="D28" i="1"/>
  <c r="AD27" i="1"/>
  <c r="AC27" i="1"/>
  <c r="AB27" i="1"/>
  <c r="AA27" i="1"/>
  <c r="Z27" i="1"/>
  <c r="X27" i="1"/>
  <c r="W27" i="1"/>
  <c r="V27" i="1"/>
  <c r="U27" i="1"/>
  <c r="T27" i="1"/>
  <c r="R27" i="1"/>
  <c r="Q27" i="1"/>
  <c r="P27" i="1"/>
  <c r="O27" i="1"/>
  <c r="N27" i="1"/>
  <c r="L27" i="1"/>
  <c r="K27" i="1"/>
  <c r="J27" i="1"/>
  <c r="I27" i="1"/>
  <c r="H27" i="1"/>
  <c r="F27" i="1"/>
  <c r="D27" i="1"/>
  <c r="AD26" i="1"/>
  <c r="AC26" i="1"/>
  <c r="AB26" i="1"/>
  <c r="AA26" i="1"/>
  <c r="Z26" i="1"/>
  <c r="X26" i="1"/>
  <c r="W26" i="1"/>
  <c r="V26" i="1"/>
  <c r="U26" i="1"/>
  <c r="T26" i="1"/>
  <c r="R26" i="1"/>
  <c r="Q26" i="1"/>
  <c r="P26" i="1"/>
  <c r="O26" i="1"/>
  <c r="N26" i="1"/>
  <c r="L26" i="1"/>
  <c r="K26" i="1"/>
  <c r="J26" i="1"/>
  <c r="I26" i="1"/>
  <c r="H26" i="1"/>
  <c r="F26" i="1"/>
  <c r="D26" i="1"/>
  <c r="AD25" i="1"/>
  <c r="AC25" i="1"/>
  <c r="AB25" i="1"/>
  <c r="AA25" i="1"/>
  <c r="Z25" i="1"/>
  <c r="X25" i="1"/>
  <c r="W25" i="1"/>
  <c r="V25" i="1"/>
  <c r="U25" i="1"/>
  <c r="T25" i="1"/>
  <c r="R25" i="1"/>
  <c r="Q25" i="1"/>
  <c r="P25" i="1"/>
  <c r="O25" i="1"/>
  <c r="N25" i="1"/>
  <c r="L25" i="1"/>
  <c r="K25" i="1"/>
  <c r="J25" i="1"/>
  <c r="I25" i="1"/>
  <c r="H25" i="1"/>
  <c r="F25" i="1"/>
  <c r="D25" i="1"/>
  <c r="AD24" i="1"/>
  <c r="AC24" i="1"/>
  <c r="AB24" i="1"/>
  <c r="AA24" i="1"/>
  <c r="Z24" i="1"/>
  <c r="X24" i="1"/>
  <c r="W24" i="1"/>
  <c r="V24" i="1"/>
  <c r="U24" i="1"/>
  <c r="T24" i="1"/>
  <c r="R24" i="1"/>
  <c r="Q24" i="1"/>
  <c r="P24" i="1"/>
  <c r="O24" i="1"/>
  <c r="N24" i="1"/>
  <c r="L24" i="1"/>
  <c r="K24" i="1"/>
  <c r="J24" i="1"/>
  <c r="I24" i="1"/>
  <c r="H24" i="1"/>
  <c r="F24" i="1"/>
  <c r="D24" i="1"/>
  <c r="AD23" i="1"/>
  <c r="AC23" i="1"/>
  <c r="AB23" i="1"/>
  <c r="AA23" i="1"/>
  <c r="Z23" i="1"/>
  <c r="X23" i="1"/>
  <c r="W23" i="1"/>
  <c r="V23" i="1"/>
  <c r="U23" i="1"/>
  <c r="T23" i="1"/>
  <c r="R23" i="1"/>
  <c r="Q23" i="1"/>
  <c r="P23" i="1"/>
  <c r="O23" i="1"/>
  <c r="N23" i="1"/>
  <c r="L23" i="1"/>
  <c r="K23" i="1"/>
  <c r="J23" i="1"/>
  <c r="I23" i="1"/>
  <c r="H23" i="1"/>
  <c r="F23" i="1"/>
  <c r="D23" i="1"/>
  <c r="AD22" i="1"/>
  <c r="AC22" i="1"/>
  <c r="AB22" i="1"/>
  <c r="AA22" i="1"/>
  <c r="Z22" i="1"/>
  <c r="X22" i="1"/>
  <c r="W22" i="1"/>
  <c r="V22" i="1"/>
  <c r="U22" i="1"/>
  <c r="T22" i="1"/>
  <c r="R22" i="1"/>
  <c r="Q22" i="1"/>
  <c r="P22" i="1"/>
  <c r="O22" i="1"/>
  <c r="N22" i="1"/>
  <c r="L22" i="1"/>
  <c r="K22" i="1"/>
  <c r="J22" i="1"/>
  <c r="I22" i="1"/>
  <c r="H22" i="1"/>
  <c r="F22" i="1"/>
  <c r="D22" i="1"/>
  <c r="AD21" i="1"/>
  <c r="AC21" i="1"/>
  <c r="AB21" i="1"/>
  <c r="AA21" i="1"/>
  <c r="Z21" i="1"/>
  <c r="X21" i="1"/>
  <c r="W21" i="1"/>
  <c r="V21" i="1"/>
  <c r="U21" i="1"/>
  <c r="T21" i="1"/>
  <c r="R21" i="1"/>
  <c r="Q21" i="1"/>
  <c r="P21" i="1"/>
  <c r="O21" i="1"/>
  <c r="N21" i="1"/>
  <c r="L21" i="1"/>
  <c r="K21" i="1"/>
  <c r="J21" i="1"/>
  <c r="I21" i="1"/>
  <c r="H21" i="1"/>
  <c r="F21" i="1"/>
  <c r="D21" i="1"/>
  <c r="AD20" i="1"/>
  <c r="AC20" i="1"/>
  <c r="AB20" i="1"/>
  <c r="AA20" i="1"/>
  <c r="Z20" i="1"/>
  <c r="X20" i="1"/>
  <c r="W20" i="1"/>
  <c r="V20" i="1"/>
  <c r="U20" i="1"/>
  <c r="T20" i="1"/>
  <c r="R20" i="1"/>
  <c r="Q20" i="1"/>
  <c r="P20" i="1"/>
  <c r="O20" i="1"/>
  <c r="N20" i="1"/>
  <c r="L20" i="1"/>
  <c r="K20" i="1"/>
  <c r="J20" i="1"/>
  <c r="I20" i="1"/>
  <c r="H20" i="1"/>
  <c r="F20" i="1"/>
  <c r="D20" i="1"/>
  <c r="AD19" i="1"/>
  <c r="AC19" i="1"/>
  <c r="AB19" i="1"/>
  <c r="AA19" i="1"/>
  <c r="Z19" i="1"/>
  <c r="X19" i="1"/>
  <c r="W19" i="1"/>
  <c r="V19" i="1"/>
  <c r="U19" i="1"/>
  <c r="T19" i="1"/>
  <c r="R19" i="1"/>
  <c r="Q19" i="1"/>
  <c r="P19" i="1"/>
  <c r="O19" i="1"/>
  <c r="N19" i="1"/>
  <c r="L19" i="1"/>
  <c r="K19" i="1"/>
  <c r="J19" i="1"/>
  <c r="I19" i="1"/>
  <c r="H19" i="1"/>
  <c r="F19" i="1"/>
  <c r="D19" i="1"/>
  <c r="AD18" i="1"/>
  <c r="AC18" i="1"/>
  <c r="AB18" i="1"/>
  <c r="AA18" i="1"/>
  <c r="Z18" i="1"/>
  <c r="X18" i="1"/>
  <c r="W18" i="1"/>
  <c r="V18" i="1"/>
  <c r="U18" i="1"/>
  <c r="T18" i="1"/>
  <c r="R18" i="1"/>
  <c r="Q18" i="1"/>
  <c r="P18" i="1"/>
  <c r="O18" i="1"/>
  <c r="N18" i="1"/>
  <c r="L18" i="1"/>
  <c r="K18" i="1"/>
  <c r="J18" i="1"/>
  <c r="I18" i="1"/>
  <c r="H18" i="1"/>
  <c r="F18" i="1"/>
  <c r="D18" i="1"/>
  <c r="AD17" i="1"/>
  <c r="AC17" i="1"/>
  <c r="AB17" i="1"/>
  <c r="AA17" i="1"/>
  <c r="Z17" i="1"/>
  <c r="X17" i="1"/>
  <c r="W17" i="1"/>
  <c r="V17" i="1"/>
  <c r="U17" i="1"/>
  <c r="T17" i="1"/>
  <c r="R17" i="1"/>
  <c r="Q17" i="1"/>
  <c r="P17" i="1"/>
  <c r="O17" i="1"/>
  <c r="N17" i="1"/>
  <c r="L17" i="1"/>
  <c r="K17" i="1"/>
  <c r="J17" i="1"/>
  <c r="I17" i="1"/>
  <c r="H17" i="1"/>
  <c r="F17" i="1"/>
  <c r="D17" i="1"/>
  <c r="AD16" i="1"/>
  <c r="AC16" i="1"/>
  <c r="AB16" i="1"/>
  <c r="AA16" i="1"/>
  <c r="Z16" i="1"/>
  <c r="X16" i="1"/>
  <c r="W16" i="1"/>
  <c r="V16" i="1"/>
  <c r="U16" i="1"/>
  <c r="T16" i="1"/>
  <c r="R16" i="1"/>
  <c r="Q16" i="1"/>
  <c r="P16" i="1"/>
  <c r="O16" i="1"/>
  <c r="N16" i="1"/>
  <c r="L16" i="1"/>
  <c r="K16" i="1"/>
  <c r="J16" i="1"/>
  <c r="I16" i="1"/>
  <c r="H16" i="1"/>
  <c r="F16" i="1"/>
  <c r="D16" i="1"/>
  <c r="AD15" i="1"/>
  <c r="AC15" i="1"/>
  <c r="AB15" i="1"/>
  <c r="AA15" i="1"/>
  <c r="Z15" i="1"/>
  <c r="X15" i="1"/>
  <c r="W15" i="1"/>
  <c r="V15" i="1"/>
  <c r="U15" i="1"/>
  <c r="T15" i="1"/>
  <c r="R15" i="1"/>
  <c r="Q15" i="1"/>
  <c r="P15" i="1"/>
  <c r="O15" i="1"/>
  <c r="N15" i="1"/>
  <c r="L15" i="1"/>
  <c r="K15" i="1"/>
  <c r="J15" i="1"/>
  <c r="I15" i="1"/>
  <c r="H15" i="1"/>
  <c r="F15" i="1"/>
  <c r="D15" i="1"/>
  <c r="AD14" i="1"/>
  <c r="AC14" i="1"/>
  <c r="AB14" i="1"/>
  <c r="AA14" i="1"/>
  <c r="Z14" i="1"/>
  <c r="X14" i="1"/>
  <c r="W14" i="1"/>
  <c r="V14" i="1"/>
  <c r="U14" i="1"/>
  <c r="T14" i="1"/>
  <c r="R14" i="1"/>
  <c r="Q14" i="1"/>
  <c r="P14" i="1"/>
  <c r="O14" i="1"/>
  <c r="N14" i="1"/>
  <c r="L14" i="1"/>
  <c r="K14" i="1"/>
  <c r="J14" i="1"/>
  <c r="I14" i="1"/>
  <c r="H14" i="1"/>
  <c r="F14" i="1"/>
  <c r="D14" i="1"/>
  <c r="AD13" i="1"/>
  <c r="AC13" i="1"/>
  <c r="AB13" i="1"/>
  <c r="AA13" i="1"/>
  <c r="Z13" i="1"/>
  <c r="X13" i="1"/>
  <c r="W13" i="1"/>
  <c r="V13" i="1"/>
  <c r="U13" i="1"/>
  <c r="T13" i="1"/>
  <c r="R13" i="1"/>
  <c r="Q13" i="1"/>
  <c r="P13" i="1"/>
  <c r="O13" i="1"/>
  <c r="N13" i="1"/>
  <c r="L13" i="1"/>
  <c r="K13" i="1"/>
  <c r="J13" i="1"/>
  <c r="I13" i="1"/>
  <c r="H13" i="1"/>
  <c r="F13" i="1"/>
  <c r="D13" i="1"/>
  <c r="D6" i="1"/>
  <c r="H29" i="2" l="1"/>
  <c r="L29" i="2"/>
  <c r="L30" i="2" s="1"/>
  <c r="Q29" i="2"/>
  <c r="Q30" i="2" s="1"/>
  <c r="V29" i="2"/>
  <c r="V30" i="2" s="1"/>
  <c r="AV24" i="2"/>
  <c r="H30" i="2"/>
  <c r="H34" i="1"/>
  <c r="H35" i="1" s="1"/>
  <c r="AV23" i="1"/>
  <c r="AV26" i="1"/>
  <c r="AV17" i="1"/>
  <c r="AV13" i="1"/>
  <c r="AC39" i="1"/>
  <c r="AV18" i="1"/>
  <c r="AV21" i="1"/>
  <c r="AV10" i="2"/>
  <c r="AA39" i="1"/>
  <c r="H39" i="1"/>
  <c r="Q39" i="1"/>
  <c r="AB39" i="1"/>
  <c r="AD39" i="1"/>
  <c r="AU35" i="1"/>
  <c r="AV7" i="2"/>
  <c r="AU34" i="1"/>
  <c r="AV28" i="2"/>
  <c r="AV26" i="2"/>
  <c r="AV20" i="2"/>
  <c r="AV18" i="2"/>
  <c r="K39" i="1"/>
  <c r="N39" i="1"/>
  <c r="R39" i="1"/>
  <c r="U39" i="1"/>
  <c r="W39" i="1"/>
  <c r="J39" i="1"/>
  <c r="T39" i="1"/>
  <c r="X39" i="1"/>
  <c r="AT39" i="1"/>
  <c r="AU39" i="1"/>
  <c r="AV28" i="1"/>
  <c r="AV20" i="1"/>
  <c r="AV19" i="1"/>
  <c r="AV16" i="1"/>
  <c r="AV15" i="1"/>
  <c r="V39" i="1"/>
  <c r="AV27" i="2"/>
  <c r="AV19" i="2"/>
  <c r="AV16" i="2"/>
  <c r="AV12" i="2"/>
  <c r="AV11" i="2"/>
  <c r="AV8" i="2"/>
  <c r="L39" i="1"/>
  <c r="AV25" i="2"/>
  <c r="AV17" i="2"/>
  <c r="AV13" i="2"/>
  <c r="AV9" i="2"/>
  <c r="AV14" i="1"/>
  <c r="AV22" i="1"/>
  <c r="AV24" i="1"/>
  <c r="AU29" i="2"/>
  <c r="AU30" i="2"/>
  <c r="AT30" i="2"/>
  <c r="AT29" i="2"/>
  <c r="P34" i="1"/>
  <c r="P35" i="1" s="1"/>
  <c r="P39" i="1"/>
  <c r="Z34" i="1"/>
  <c r="Z35" i="1" s="1"/>
  <c r="Z39" i="1"/>
  <c r="T34" i="1"/>
  <c r="T35" i="1" s="1"/>
  <c r="X34" i="1"/>
  <c r="X35" i="1" s="1"/>
  <c r="U34" i="1"/>
  <c r="U35" i="1" s="1"/>
  <c r="AT34" i="1"/>
  <c r="AT35" i="1"/>
  <c r="AV25" i="1"/>
  <c r="E47" i="4"/>
  <c r="F47" i="4"/>
  <c r="G47" i="4"/>
  <c r="D47" i="4"/>
  <c r="R29" i="2"/>
  <c r="R30" i="2" s="1"/>
  <c r="W29" i="2"/>
  <c r="W30" i="2" s="1"/>
  <c r="K29" i="2"/>
  <c r="K30" i="2" s="1"/>
  <c r="J34" i="1"/>
  <c r="J35" i="1" s="1"/>
  <c r="AD34" i="1"/>
  <c r="AD35" i="1" s="1"/>
  <c r="AC34" i="1"/>
  <c r="AC35" i="1" s="1"/>
  <c r="N34" i="1"/>
  <c r="N35" i="1" s="1"/>
  <c r="AB34" i="1"/>
  <c r="AB35" i="1" s="1"/>
  <c r="W34" i="1"/>
  <c r="W35" i="1" s="1"/>
  <c r="R34" i="1"/>
  <c r="R35" i="1" s="1"/>
  <c r="L34" i="1"/>
  <c r="L35" i="1" s="1"/>
  <c r="AA34" i="1"/>
  <c r="AA35" i="1" s="1"/>
  <c r="V34" i="1"/>
  <c r="V35" i="1" s="1"/>
  <c r="Q34" i="1"/>
  <c r="Q35" i="1" s="1"/>
  <c r="K34" i="1"/>
  <c r="K35" i="1" s="1"/>
  <c r="AB29" i="2"/>
  <c r="AB30" i="2" s="1"/>
  <c r="AD29" i="2"/>
  <c r="AD30" i="2" s="1"/>
  <c r="Z29" i="2"/>
  <c r="Z30" i="2" s="1"/>
  <c r="U29" i="2"/>
  <c r="U30" i="2" s="1"/>
  <c r="P29" i="2"/>
  <c r="P30" i="2" s="1"/>
  <c r="J29" i="2"/>
  <c r="J30" i="2" s="1"/>
  <c r="AC29" i="2"/>
  <c r="AC30" i="2" s="1"/>
  <c r="X29" i="2"/>
  <c r="X30" i="2" s="1"/>
  <c r="T29" i="2"/>
  <c r="T30" i="2" s="1"/>
  <c r="N29" i="2"/>
  <c r="N30" i="2" s="1"/>
  <c r="AD47" i="3"/>
  <c r="AC47" i="3"/>
  <c r="AB47" i="3"/>
  <c r="AA47" i="3"/>
  <c r="Z47" i="3"/>
  <c r="X47" i="3"/>
  <c r="W47" i="3"/>
  <c r="V47" i="3"/>
  <c r="U47" i="3"/>
  <c r="T47" i="3"/>
  <c r="R47" i="3"/>
  <c r="Q47" i="3"/>
  <c r="P47" i="3"/>
  <c r="O47" i="3"/>
  <c r="N47" i="3"/>
  <c r="L47" i="3"/>
  <c r="K47" i="3"/>
  <c r="J47" i="3"/>
  <c r="I47" i="3"/>
  <c r="H47" i="3"/>
  <c r="F47" i="3"/>
  <c r="D47" i="3"/>
  <c r="AD46" i="3"/>
  <c r="AC46" i="3"/>
  <c r="AB46" i="3"/>
  <c r="AA46" i="3"/>
  <c r="Z46" i="3"/>
  <c r="X46" i="3"/>
  <c r="W46" i="3"/>
  <c r="V46" i="3"/>
  <c r="U46" i="3"/>
  <c r="T46" i="3"/>
  <c r="R46" i="3"/>
  <c r="Q46" i="3"/>
  <c r="P46" i="3"/>
  <c r="O46" i="3"/>
  <c r="N46" i="3"/>
  <c r="L46" i="3"/>
  <c r="K46" i="3"/>
  <c r="J46" i="3"/>
  <c r="I46" i="3"/>
  <c r="H46" i="3"/>
  <c r="F46" i="3"/>
  <c r="D46" i="3"/>
  <c r="AD45" i="3"/>
  <c r="AC45" i="3"/>
  <c r="AB45" i="3"/>
  <c r="AA45" i="3"/>
  <c r="Z45" i="3"/>
  <c r="X45" i="3"/>
  <c r="W45" i="3"/>
  <c r="V45" i="3"/>
  <c r="U45" i="3"/>
  <c r="T45" i="3"/>
  <c r="R45" i="3"/>
  <c r="Q45" i="3"/>
  <c r="P45" i="3"/>
  <c r="O45" i="3"/>
  <c r="N45" i="3"/>
  <c r="L45" i="3"/>
  <c r="K45" i="3"/>
  <c r="J45" i="3"/>
  <c r="I45" i="3"/>
  <c r="H45" i="3"/>
  <c r="F45" i="3"/>
  <c r="D45" i="3"/>
  <c r="AD44" i="3"/>
  <c r="AC44" i="3"/>
  <c r="AB44" i="3"/>
  <c r="AA44" i="3"/>
  <c r="Z44" i="3"/>
  <c r="X44" i="3"/>
  <c r="W44" i="3"/>
  <c r="V44" i="3"/>
  <c r="U44" i="3"/>
  <c r="T44" i="3"/>
  <c r="R44" i="3"/>
  <c r="Q44" i="3"/>
  <c r="P44" i="3"/>
  <c r="O44" i="3"/>
  <c r="N44" i="3"/>
  <c r="L44" i="3"/>
  <c r="K44" i="3"/>
  <c r="J44" i="3"/>
  <c r="I44" i="3"/>
  <c r="H44" i="3"/>
  <c r="F44" i="3"/>
  <c r="D44" i="3"/>
  <c r="AD43" i="3"/>
  <c r="AC43" i="3"/>
  <c r="AB43" i="3"/>
  <c r="AA43" i="3"/>
  <c r="Z43" i="3"/>
  <c r="X43" i="3"/>
  <c r="W43" i="3"/>
  <c r="V43" i="3"/>
  <c r="U43" i="3"/>
  <c r="T43" i="3"/>
  <c r="R43" i="3"/>
  <c r="Q43" i="3"/>
  <c r="P43" i="3"/>
  <c r="O43" i="3"/>
  <c r="N43" i="3"/>
  <c r="L43" i="3"/>
  <c r="K43" i="3"/>
  <c r="J43" i="3"/>
  <c r="I43" i="3"/>
  <c r="H43" i="3"/>
  <c r="F43" i="3"/>
  <c r="D43" i="3"/>
  <c r="AD42" i="3"/>
  <c r="AC42" i="3"/>
  <c r="AB42" i="3"/>
  <c r="AA42" i="3"/>
  <c r="Z42" i="3"/>
  <c r="X42" i="3"/>
  <c r="W42" i="3"/>
  <c r="V42" i="3"/>
  <c r="U42" i="3"/>
  <c r="T42" i="3"/>
  <c r="R42" i="3"/>
  <c r="Q42" i="3"/>
  <c r="P42" i="3"/>
  <c r="O42" i="3"/>
  <c r="N42" i="3"/>
  <c r="L42" i="3"/>
  <c r="K42" i="3"/>
  <c r="J42" i="3"/>
  <c r="I42" i="3"/>
  <c r="H42" i="3"/>
  <c r="F42" i="3"/>
  <c r="D42" i="3"/>
  <c r="AD41" i="3"/>
  <c r="AC41" i="3"/>
  <c r="AB41" i="3"/>
  <c r="AA41" i="3"/>
  <c r="Z41" i="3"/>
  <c r="X41" i="3"/>
  <c r="W41" i="3"/>
  <c r="V41" i="3"/>
  <c r="U41" i="3"/>
  <c r="T41" i="3"/>
  <c r="R41" i="3"/>
  <c r="Q41" i="3"/>
  <c r="P41" i="3"/>
  <c r="O41" i="3"/>
  <c r="N41" i="3"/>
  <c r="L41" i="3"/>
  <c r="K41" i="3"/>
  <c r="J41" i="3"/>
  <c r="I41" i="3"/>
  <c r="H41" i="3"/>
  <c r="F41" i="3"/>
  <c r="D41" i="3"/>
  <c r="AD40" i="3"/>
  <c r="AC40" i="3"/>
  <c r="AB40" i="3"/>
  <c r="AA40" i="3"/>
  <c r="Z40" i="3"/>
  <c r="X40" i="3"/>
  <c r="W40" i="3"/>
  <c r="V40" i="3"/>
  <c r="U40" i="3"/>
  <c r="T40" i="3"/>
  <c r="R40" i="3"/>
  <c r="Q40" i="3"/>
  <c r="P40" i="3"/>
  <c r="O40" i="3"/>
  <c r="N40" i="3"/>
  <c r="L40" i="3"/>
  <c r="K40" i="3"/>
  <c r="J40" i="3"/>
  <c r="I40" i="3"/>
  <c r="H40" i="3"/>
  <c r="F40" i="3"/>
  <c r="D40" i="3"/>
  <c r="AD39" i="3"/>
  <c r="AC39" i="3"/>
  <c r="AB39" i="3"/>
  <c r="AA39" i="3"/>
  <c r="Z39" i="3"/>
  <c r="X39" i="3"/>
  <c r="W39" i="3"/>
  <c r="V39" i="3"/>
  <c r="U39" i="3"/>
  <c r="T39" i="3"/>
  <c r="R39" i="3"/>
  <c r="Q39" i="3"/>
  <c r="P39" i="3"/>
  <c r="O39" i="3"/>
  <c r="N39" i="3"/>
  <c r="L39" i="3"/>
  <c r="K39" i="3"/>
  <c r="J39" i="3"/>
  <c r="I39" i="3"/>
  <c r="H39" i="3"/>
  <c r="F39" i="3"/>
  <c r="D39" i="3"/>
  <c r="AD38" i="3"/>
  <c r="AC38" i="3"/>
  <c r="AB38" i="3"/>
  <c r="AA38" i="3"/>
  <c r="Z38" i="3"/>
  <c r="X38" i="3"/>
  <c r="W38" i="3"/>
  <c r="V38" i="3"/>
  <c r="U38" i="3"/>
  <c r="T38" i="3"/>
  <c r="R38" i="3"/>
  <c r="Q38" i="3"/>
  <c r="P38" i="3"/>
  <c r="O38" i="3"/>
  <c r="N38" i="3"/>
  <c r="L38" i="3"/>
  <c r="K38" i="3"/>
  <c r="J38" i="3"/>
  <c r="I38" i="3"/>
  <c r="H38" i="3"/>
  <c r="F38" i="3"/>
  <c r="D38" i="3"/>
  <c r="AD37" i="3"/>
  <c r="AC37" i="3"/>
  <c r="AB37" i="3"/>
  <c r="AA37" i="3"/>
  <c r="Z37" i="3"/>
  <c r="X37" i="3"/>
  <c r="W37" i="3"/>
  <c r="V37" i="3"/>
  <c r="U37" i="3"/>
  <c r="T37" i="3"/>
  <c r="R37" i="3"/>
  <c r="Q37" i="3"/>
  <c r="P37" i="3"/>
  <c r="O37" i="3"/>
  <c r="N37" i="3"/>
  <c r="L37" i="3"/>
  <c r="K37" i="3"/>
  <c r="J37" i="3"/>
  <c r="I37" i="3"/>
  <c r="H37" i="3"/>
  <c r="F37" i="3"/>
  <c r="D37" i="3"/>
  <c r="AD36" i="3"/>
  <c r="AC36" i="3"/>
  <c r="AB36" i="3"/>
  <c r="AA36" i="3"/>
  <c r="Z36" i="3"/>
  <c r="X36" i="3"/>
  <c r="W36" i="3"/>
  <c r="V36" i="3"/>
  <c r="U36" i="3"/>
  <c r="T36" i="3"/>
  <c r="R36" i="3"/>
  <c r="Q36" i="3"/>
  <c r="P36" i="3"/>
  <c r="O36" i="3"/>
  <c r="N36" i="3"/>
  <c r="L36" i="3"/>
  <c r="K36" i="3"/>
  <c r="J36" i="3"/>
  <c r="I36" i="3"/>
  <c r="H36" i="3"/>
  <c r="F36" i="3"/>
  <c r="D36" i="3"/>
  <c r="AD35" i="3"/>
  <c r="AC35" i="3"/>
  <c r="AB35" i="3"/>
  <c r="AA35" i="3"/>
  <c r="Z35" i="3"/>
  <c r="X35" i="3"/>
  <c r="W35" i="3"/>
  <c r="V35" i="3"/>
  <c r="U35" i="3"/>
  <c r="T35" i="3"/>
  <c r="R35" i="3"/>
  <c r="Q35" i="3"/>
  <c r="P35" i="3"/>
  <c r="O35" i="3"/>
  <c r="N35" i="3"/>
  <c r="L35" i="3"/>
  <c r="K35" i="3"/>
  <c r="J35" i="3"/>
  <c r="I35" i="3"/>
  <c r="H35" i="3"/>
  <c r="F35" i="3"/>
  <c r="D35" i="3"/>
  <c r="AD34" i="3"/>
  <c r="AC34" i="3"/>
  <c r="AB34" i="3"/>
  <c r="AA34" i="3"/>
  <c r="Z34" i="3"/>
  <c r="X34" i="3"/>
  <c r="W34" i="3"/>
  <c r="V34" i="3"/>
  <c r="U34" i="3"/>
  <c r="T34" i="3"/>
  <c r="R34" i="3"/>
  <c r="Q34" i="3"/>
  <c r="P34" i="3"/>
  <c r="O34" i="3"/>
  <c r="N34" i="3"/>
  <c r="L34" i="3"/>
  <c r="K34" i="3"/>
  <c r="J34" i="3"/>
  <c r="I34" i="3"/>
  <c r="H34" i="3"/>
  <c r="F34" i="3"/>
  <c r="D34" i="3"/>
  <c r="AD33" i="3"/>
  <c r="AC33" i="3"/>
  <c r="AB33" i="3"/>
  <c r="AA33" i="3"/>
  <c r="Z33" i="3"/>
  <c r="X33" i="3"/>
  <c r="W33" i="3"/>
  <c r="V33" i="3"/>
  <c r="U33" i="3"/>
  <c r="T33" i="3"/>
  <c r="R33" i="3"/>
  <c r="Q33" i="3"/>
  <c r="P33" i="3"/>
  <c r="O33" i="3"/>
  <c r="N33" i="3"/>
  <c r="L33" i="3"/>
  <c r="K33" i="3"/>
  <c r="J33" i="3"/>
  <c r="I33" i="3"/>
  <c r="H33" i="3"/>
  <c r="F33" i="3"/>
  <c r="D33" i="3"/>
  <c r="AD32" i="3"/>
  <c r="AC32" i="3"/>
  <c r="AB32" i="3"/>
  <c r="AA32" i="3"/>
  <c r="Z32" i="3"/>
  <c r="X32" i="3"/>
  <c r="W32" i="3"/>
  <c r="V32" i="3"/>
  <c r="U32" i="3"/>
  <c r="T32" i="3"/>
  <c r="R32" i="3"/>
  <c r="Q32" i="3"/>
  <c r="P32" i="3"/>
  <c r="O32" i="3"/>
  <c r="N32" i="3"/>
  <c r="L32" i="3"/>
  <c r="K32" i="3"/>
  <c r="J32" i="3"/>
  <c r="I32" i="3"/>
  <c r="H32" i="3"/>
  <c r="F32" i="3"/>
  <c r="D32" i="3"/>
  <c r="AD31" i="3"/>
  <c r="AC31" i="3"/>
  <c r="AB31" i="3"/>
  <c r="AA31" i="3"/>
  <c r="Z31" i="3"/>
  <c r="X31" i="3"/>
  <c r="W31" i="3"/>
  <c r="V31" i="3"/>
  <c r="U31" i="3"/>
  <c r="T31" i="3"/>
  <c r="R31" i="3"/>
  <c r="Q31" i="3"/>
  <c r="P31" i="3"/>
  <c r="O31" i="3"/>
  <c r="N31" i="3"/>
  <c r="L31" i="3"/>
  <c r="K31" i="3"/>
  <c r="J31" i="3"/>
  <c r="I31" i="3"/>
  <c r="H31" i="3"/>
  <c r="F31" i="3"/>
  <c r="D31" i="3"/>
  <c r="AD30" i="3"/>
  <c r="AC30" i="3"/>
  <c r="AB30" i="3"/>
  <c r="AA30" i="3"/>
  <c r="Z30" i="3"/>
  <c r="X30" i="3"/>
  <c r="W30" i="3"/>
  <c r="V30" i="3"/>
  <c r="U30" i="3"/>
  <c r="T30" i="3"/>
  <c r="R30" i="3"/>
  <c r="Q30" i="3"/>
  <c r="P30" i="3"/>
  <c r="O30" i="3"/>
  <c r="N30" i="3"/>
  <c r="L30" i="3"/>
  <c r="K30" i="3"/>
  <c r="J30" i="3"/>
  <c r="I30" i="3"/>
  <c r="H30" i="3"/>
  <c r="F30" i="3"/>
  <c r="D30" i="3"/>
  <c r="AD29" i="3"/>
  <c r="AC29" i="3"/>
  <c r="AB29" i="3"/>
  <c r="AA29" i="3"/>
  <c r="Z29" i="3"/>
  <c r="X29" i="3"/>
  <c r="W29" i="3"/>
  <c r="V29" i="3"/>
  <c r="U29" i="3"/>
  <c r="T29" i="3"/>
  <c r="R29" i="3"/>
  <c r="Q29" i="3"/>
  <c r="P29" i="3"/>
  <c r="O29" i="3"/>
  <c r="N29" i="3"/>
  <c r="L29" i="3"/>
  <c r="K29" i="3"/>
  <c r="J29" i="3"/>
  <c r="I29" i="3"/>
  <c r="H29" i="3"/>
  <c r="F29" i="3"/>
  <c r="D29" i="3"/>
  <c r="AD28" i="3"/>
  <c r="AC28" i="3"/>
  <c r="AB28" i="3"/>
  <c r="AA28" i="3"/>
  <c r="Z28" i="3"/>
  <c r="X28" i="3"/>
  <c r="W28" i="3"/>
  <c r="V28" i="3"/>
  <c r="U28" i="3"/>
  <c r="T28" i="3"/>
  <c r="R28" i="3"/>
  <c r="Q28" i="3"/>
  <c r="P28" i="3"/>
  <c r="O28" i="3"/>
  <c r="N28" i="3"/>
  <c r="L28" i="3"/>
  <c r="K28" i="3"/>
  <c r="J28" i="3"/>
  <c r="I28" i="3"/>
  <c r="H28" i="3"/>
  <c r="F28" i="3"/>
  <c r="D28" i="3"/>
  <c r="AD27" i="3"/>
  <c r="AC27" i="3"/>
  <c r="AB27" i="3"/>
  <c r="AA27" i="3"/>
  <c r="Z27" i="3"/>
  <c r="X27" i="3"/>
  <c r="W27" i="3"/>
  <c r="V27" i="3"/>
  <c r="U27" i="3"/>
  <c r="T27" i="3"/>
  <c r="R27" i="3"/>
  <c r="Q27" i="3"/>
  <c r="P27" i="3"/>
  <c r="O27" i="3"/>
  <c r="N27" i="3"/>
  <c r="L27" i="3"/>
  <c r="K27" i="3"/>
  <c r="J27" i="3"/>
  <c r="I27" i="3"/>
  <c r="H27" i="3"/>
  <c r="F27" i="3"/>
  <c r="D27" i="3"/>
  <c r="AD26" i="3"/>
  <c r="AC26" i="3"/>
  <c r="AB26" i="3"/>
  <c r="AA26" i="3"/>
  <c r="Z26" i="3"/>
  <c r="X26" i="3"/>
  <c r="W26" i="3"/>
  <c r="V26" i="3"/>
  <c r="U26" i="3"/>
  <c r="T26" i="3"/>
  <c r="R26" i="3"/>
  <c r="Q26" i="3"/>
  <c r="P26" i="3"/>
  <c r="O26" i="3"/>
  <c r="N26" i="3"/>
  <c r="L26" i="3"/>
  <c r="K26" i="3"/>
  <c r="J26" i="3"/>
  <c r="I26" i="3"/>
  <c r="H26" i="3"/>
  <c r="F26" i="3"/>
  <c r="D26" i="3"/>
  <c r="AD25" i="3"/>
  <c r="AC25" i="3"/>
  <c r="AB25" i="3"/>
  <c r="AA25" i="3"/>
  <c r="Z25" i="3"/>
  <c r="X25" i="3"/>
  <c r="W25" i="3"/>
  <c r="V25" i="3"/>
  <c r="U25" i="3"/>
  <c r="T25" i="3"/>
  <c r="R25" i="3"/>
  <c r="Q25" i="3"/>
  <c r="P25" i="3"/>
  <c r="O25" i="3"/>
  <c r="N25" i="3"/>
  <c r="L25" i="3"/>
  <c r="K25" i="3"/>
  <c r="J25" i="3"/>
  <c r="I25" i="3"/>
  <c r="H25" i="3"/>
  <c r="F25" i="3"/>
  <c r="D25" i="3"/>
  <c r="AD24" i="3"/>
  <c r="AC24" i="3"/>
  <c r="AB24" i="3"/>
  <c r="AA24" i="3"/>
  <c r="Z24" i="3"/>
  <c r="X24" i="3"/>
  <c r="W24" i="3"/>
  <c r="V24" i="3"/>
  <c r="U24" i="3"/>
  <c r="T24" i="3"/>
  <c r="R24" i="3"/>
  <c r="Q24" i="3"/>
  <c r="P24" i="3"/>
  <c r="O24" i="3"/>
  <c r="N24" i="3"/>
  <c r="L24" i="3"/>
  <c r="K24" i="3"/>
  <c r="J24" i="3"/>
  <c r="I24" i="3"/>
  <c r="H24" i="3"/>
  <c r="F24" i="3"/>
  <c r="D24" i="3"/>
  <c r="AD23" i="3"/>
  <c r="AC23" i="3"/>
  <c r="AB23" i="3"/>
  <c r="AA23" i="3"/>
  <c r="Z23" i="3"/>
  <c r="X23" i="3"/>
  <c r="W23" i="3"/>
  <c r="V23" i="3"/>
  <c r="U23" i="3"/>
  <c r="T23" i="3"/>
  <c r="R23" i="3"/>
  <c r="Q23" i="3"/>
  <c r="P23" i="3"/>
  <c r="O23" i="3"/>
  <c r="N23" i="3"/>
  <c r="L23" i="3"/>
  <c r="K23" i="3"/>
  <c r="J23" i="3"/>
  <c r="I23" i="3"/>
  <c r="H23" i="3"/>
  <c r="F23" i="3"/>
  <c r="D23" i="3"/>
  <c r="AD22" i="3"/>
  <c r="AC22" i="3"/>
  <c r="AB22" i="3"/>
  <c r="AA22" i="3"/>
  <c r="Z22" i="3"/>
  <c r="X22" i="3"/>
  <c r="W22" i="3"/>
  <c r="V22" i="3"/>
  <c r="U22" i="3"/>
  <c r="T22" i="3"/>
  <c r="R22" i="3"/>
  <c r="Q22" i="3"/>
  <c r="P22" i="3"/>
  <c r="O22" i="3"/>
  <c r="N22" i="3"/>
  <c r="L22" i="3"/>
  <c r="K22" i="3"/>
  <c r="J22" i="3"/>
  <c r="I22" i="3"/>
  <c r="H22" i="3"/>
  <c r="F22" i="3"/>
  <c r="D22" i="3"/>
  <c r="AD21" i="3"/>
  <c r="AC21" i="3"/>
  <c r="AB21" i="3"/>
  <c r="AA21" i="3"/>
  <c r="Z21" i="3"/>
  <c r="X21" i="3"/>
  <c r="W21" i="3"/>
  <c r="V21" i="3"/>
  <c r="U21" i="3"/>
  <c r="T21" i="3"/>
  <c r="R21" i="3"/>
  <c r="Q21" i="3"/>
  <c r="P21" i="3"/>
  <c r="O21" i="3"/>
  <c r="N21" i="3"/>
  <c r="L21" i="3"/>
  <c r="K21" i="3"/>
  <c r="J21" i="3"/>
  <c r="I21" i="3"/>
  <c r="H21" i="3"/>
  <c r="F21" i="3"/>
  <c r="D21" i="3"/>
  <c r="AD20" i="3"/>
  <c r="AC20" i="3"/>
  <c r="AB20" i="3"/>
  <c r="AA20" i="3"/>
  <c r="Z20" i="3"/>
  <c r="X20" i="3"/>
  <c r="W20" i="3"/>
  <c r="V20" i="3"/>
  <c r="U20" i="3"/>
  <c r="T20" i="3"/>
  <c r="R20" i="3"/>
  <c r="Q20" i="3"/>
  <c r="P20" i="3"/>
  <c r="O20" i="3"/>
  <c r="N20" i="3"/>
  <c r="L20" i="3"/>
  <c r="K20" i="3"/>
  <c r="J20" i="3"/>
  <c r="I20" i="3"/>
  <c r="H20" i="3"/>
  <c r="F20" i="3"/>
  <c r="D20" i="3"/>
  <c r="AD19" i="3"/>
  <c r="AC19" i="3"/>
  <c r="AB19" i="3"/>
  <c r="AA19" i="3"/>
  <c r="Z19" i="3"/>
  <c r="X19" i="3"/>
  <c r="W19" i="3"/>
  <c r="V19" i="3"/>
  <c r="U19" i="3"/>
  <c r="T19" i="3"/>
  <c r="R19" i="3"/>
  <c r="Q19" i="3"/>
  <c r="P19" i="3"/>
  <c r="O19" i="3"/>
  <c r="N19" i="3"/>
  <c r="L19" i="3"/>
  <c r="K19" i="3"/>
  <c r="J19" i="3"/>
  <c r="I19" i="3"/>
  <c r="H19" i="3"/>
  <c r="F19" i="3"/>
  <c r="D19" i="3"/>
  <c r="AD18" i="3"/>
  <c r="AC18" i="3"/>
  <c r="AB18" i="3"/>
  <c r="AA18" i="3"/>
  <c r="Z18" i="3"/>
  <c r="X18" i="3"/>
  <c r="W18" i="3"/>
  <c r="V18" i="3"/>
  <c r="U18" i="3"/>
  <c r="T18" i="3"/>
  <c r="R18" i="3"/>
  <c r="Q18" i="3"/>
  <c r="P18" i="3"/>
  <c r="O18" i="3"/>
  <c r="N18" i="3"/>
  <c r="L18" i="3"/>
  <c r="K18" i="3"/>
  <c r="J18" i="3"/>
  <c r="I18" i="3"/>
  <c r="H18" i="3"/>
  <c r="F18" i="3"/>
  <c r="D18" i="3"/>
  <c r="AD17" i="3"/>
  <c r="AC17" i="3"/>
  <c r="AB17" i="3"/>
  <c r="AA17" i="3"/>
  <c r="Z17" i="3"/>
  <c r="X17" i="3"/>
  <c r="W17" i="3"/>
  <c r="V17" i="3"/>
  <c r="U17" i="3"/>
  <c r="T17" i="3"/>
  <c r="R17" i="3"/>
  <c r="Q17" i="3"/>
  <c r="P17" i="3"/>
  <c r="O17" i="3"/>
  <c r="N17" i="3"/>
  <c r="L17" i="3"/>
  <c r="K17" i="3"/>
  <c r="J17" i="3"/>
  <c r="I17" i="3"/>
  <c r="H17" i="3"/>
  <c r="F17" i="3"/>
  <c r="D17" i="3"/>
  <c r="AD16" i="3"/>
  <c r="AC16" i="3"/>
  <c r="AB16" i="3"/>
  <c r="AA16" i="3"/>
  <c r="Z16" i="3"/>
  <c r="X16" i="3"/>
  <c r="W16" i="3"/>
  <c r="V16" i="3"/>
  <c r="U16" i="3"/>
  <c r="T16" i="3"/>
  <c r="R16" i="3"/>
  <c r="Q16" i="3"/>
  <c r="P16" i="3"/>
  <c r="O16" i="3"/>
  <c r="N16" i="3"/>
  <c r="L16" i="3"/>
  <c r="K16" i="3"/>
  <c r="J16" i="3"/>
  <c r="I16" i="3"/>
  <c r="H16" i="3"/>
  <c r="F16" i="3"/>
  <c r="D16" i="3"/>
  <c r="AD15" i="3"/>
  <c r="AC15" i="3"/>
  <c r="AB15" i="3"/>
  <c r="AA15" i="3"/>
  <c r="Z15" i="3"/>
  <c r="X15" i="3"/>
  <c r="W15" i="3"/>
  <c r="V15" i="3"/>
  <c r="U15" i="3"/>
  <c r="T15" i="3"/>
  <c r="R15" i="3"/>
  <c r="Q15" i="3"/>
  <c r="P15" i="3"/>
  <c r="O15" i="3"/>
  <c r="N15" i="3"/>
  <c r="L15" i="3"/>
  <c r="K15" i="3"/>
  <c r="J15" i="3"/>
  <c r="I15" i="3"/>
  <c r="H15" i="3"/>
  <c r="F15" i="3"/>
  <c r="D15" i="3"/>
  <c r="D14" i="3"/>
  <c r="AD13" i="3"/>
  <c r="AC13" i="3"/>
  <c r="AB13" i="3"/>
  <c r="AA13" i="3"/>
  <c r="Z13" i="3"/>
  <c r="X13" i="3"/>
  <c r="W13" i="3"/>
  <c r="V13" i="3"/>
  <c r="U13" i="3"/>
  <c r="T13" i="3"/>
  <c r="R13" i="3"/>
  <c r="Q13" i="3"/>
  <c r="P13" i="3"/>
  <c r="O13" i="3"/>
  <c r="N13" i="3"/>
  <c r="L13" i="3"/>
  <c r="K13" i="3"/>
  <c r="J13" i="3"/>
  <c r="I13" i="3"/>
  <c r="H13" i="3"/>
  <c r="F13" i="3"/>
  <c r="D13" i="3"/>
  <c r="AD12" i="3"/>
  <c r="AC12" i="3"/>
  <c r="AB12" i="3"/>
  <c r="AA12" i="3"/>
  <c r="Z12" i="3"/>
  <c r="X12" i="3"/>
  <c r="W12" i="3"/>
  <c r="V12" i="3"/>
  <c r="U12" i="3"/>
  <c r="T12" i="3"/>
  <c r="R12" i="3"/>
  <c r="Q12" i="3"/>
  <c r="P12" i="3"/>
  <c r="O12" i="3"/>
  <c r="N12" i="3"/>
  <c r="L12" i="3"/>
  <c r="K12" i="3"/>
  <c r="J12" i="3"/>
  <c r="I12" i="3"/>
  <c r="H12" i="3"/>
  <c r="F12" i="3"/>
  <c r="D12" i="3"/>
  <c r="AD11" i="3"/>
  <c r="AC11" i="3"/>
  <c r="AB11" i="3"/>
  <c r="AA11" i="3"/>
  <c r="Z11" i="3"/>
  <c r="X11" i="3"/>
  <c r="W11" i="3"/>
  <c r="V11" i="3"/>
  <c r="U11" i="3"/>
  <c r="T11" i="3"/>
  <c r="R11" i="3"/>
  <c r="Q11" i="3"/>
  <c r="P11" i="3"/>
  <c r="O11" i="3"/>
  <c r="N11" i="3"/>
  <c r="L11" i="3"/>
  <c r="K11" i="3"/>
  <c r="J11" i="3"/>
  <c r="I11" i="3"/>
  <c r="H11" i="3"/>
  <c r="F11" i="3"/>
  <c r="D11" i="3"/>
  <c r="AD10" i="3"/>
  <c r="AC10" i="3"/>
  <c r="AB10" i="3"/>
  <c r="AA10" i="3"/>
  <c r="Z10" i="3"/>
  <c r="X10" i="3"/>
  <c r="W10" i="3"/>
  <c r="V10" i="3"/>
  <c r="U10" i="3"/>
  <c r="T10" i="3"/>
  <c r="R10" i="3"/>
  <c r="Q10" i="3"/>
  <c r="P10" i="3"/>
  <c r="O10" i="3"/>
  <c r="N10" i="3"/>
  <c r="L10" i="3"/>
  <c r="K10" i="3"/>
  <c r="J10" i="3"/>
  <c r="I10" i="3"/>
  <c r="H10" i="3"/>
  <c r="F10" i="3"/>
  <c r="D10" i="3"/>
  <c r="AD9" i="3"/>
  <c r="AC9" i="3"/>
  <c r="AB9" i="3"/>
  <c r="AA9" i="3"/>
  <c r="Z9" i="3"/>
  <c r="X9" i="3"/>
  <c r="W9" i="3"/>
  <c r="V9" i="3"/>
  <c r="U9" i="3"/>
  <c r="T9" i="3"/>
  <c r="R9" i="3"/>
  <c r="Q9" i="3"/>
  <c r="P9" i="3"/>
  <c r="O9" i="3"/>
  <c r="N9" i="3"/>
  <c r="L9" i="3"/>
  <c r="K9" i="3"/>
  <c r="J9" i="3"/>
  <c r="I9" i="3"/>
  <c r="H9" i="3"/>
  <c r="F9" i="3"/>
  <c r="D9" i="3"/>
  <c r="AD8" i="3"/>
  <c r="AC8" i="3"/>
  <c r="AB8" i="3"/>
  <c r="AA8" i="3"/>
  <c r="Z8" i="3"/>
  <c r="X8" i="3"/>
  <c r="W8" i="3"/>
  <c r="V8" i="3"/>
  <c r="U8" i="3"/>
  <c r="T8" i="3"/>
  <c r="R8" i="3"/>
  <c r="Q8" i="3"/>
  <c r="P8" i="3"/>
  <c r="O8" i="3"/>
  <c r="N8" i="3"/>
  <c r="L8" i="3"/>
  <c r="K8" i="3"/>
  <c r="J8" i="3"/>
  <c r="I8" i="3"/>
  <c r="H8" i="3"/>
  <c r="F8" i="3"/>
  <c r="D8" i="3"/>
  <c r="AV39" i="1" l="1"/>
  <c r="AV30" i="2"/>
  <c r="AV29" i="2"/>
  <c r="AV34" i="1"/>
  <c r="AV35" i="1"/>
  <c r="AD7" i="3"/>
  <c r="AC7" i="3"/>
  <c r="AB7" i="3"/>
  <c r="AA7" i="3"/>
  <c r="Z7" i="3"/>
  <c r="X7" i="3"/>
  <c r="W7" i="3"/>
  <c r="V7" i="3"/>
  <c r="U7" i="3"/>
  <c r="T7" i="3"/>
  <c r="R7" i="3"/>
  <c r="Q7" i="3"/>
  <c r="P7" i="3"/>
  <c r="O7" i="3"/>
  <c r="N7" i="3"/>
  <c r="L7" i="3"/>
  <c r="K7" i="3"/>
  <c r="J7" i="3"/>
  <c r="I7" i="3"/>
  <c r="H7" i="3"/>
  <c r="D7" i="3"/>
  <c r="D6" i="3" l="1"/>
</calcChain>
</file>

<file path=xl/sharedStrings.xml><?xml version="1.0" encoding="utf-8"?>
<sst xmlns="http://schemas.openxmlformats.org/spreadsheetml/2006/main" count="3016" uniqueCount="385">
  <si>
    <t>Demographics</t>
  </si>
  <si>
    <t>IPSm</t>
  </si>
  <si>
    <t>Success</t>
  </si>
  <si>
    <t>Self Efficacy</t>
  </si>
  <si>
    <t>TRI</t>
  </si>
  <si>
    <t>Time between</t>
  </si>
  <si>
    <t>Basic Training</t>
  </si>
  <si>
    <t>Served as</t>
  </si>
  <si>
    <t>If yes, how</t>
  </si>
  <si>
    <t>Pre</t>
  </si>
  <si>
    <t>Post</t>
  </si>
  <si>
    <t>Procedure confidence</t>
  </si>
  <si>
    <t>File name</t>
  </si>
  <si>
    <t>Adj_IPSm</t>
  </si>
  <si>
    <t>Critical errors</t>
  </si>
  <si>
    <t>Study</t>
  </si>
  <si>
    <t>AAE</t>
  </si>
  <si>
    <t>FAE</t>
  </si>
  <si>
    <t>LEF</t>
  </si>
  <si>
    <t>UEF</t>
  </si>
  <si>
    <t>Number of</t>
  </si>
  <si>
    <t>Didactic</t>
  </si>
  <si>
    <t>Evaluation</t>
  </si>
  <si>
    <t>didactic and</t>
  </si>
  <si>
    <t>Completion</t>
  </si>
  <si>
    <t>Months Served</t>
  </si>
  <si>
    <t>Operating Room</t>
  </si>
  <si>
    <t>Deployed</t>
  </si>
  <si>
    <t>many combat</t>
  </si>
  <si>
    <t>Cadaver lab</t>
  </si>
  <si>
    <t>Succeed at any</t>
  </si>
  <si>
    <t>Even when things</t>
  </si>
  <si>
    <t>Determine the</t>
  </si>
  <si>
    <t>Control</t>
  </si>
  <si>
    <t>Plan appropriate</t>
  </si>
  <si>
    <t>Conduct surgical</t>
  </si>
  <si>
    <t>When to use</t>
  </si>
  <si>
    <t>Appropriate</t>
  </si>
  <si>
    <t>ID specific</t>
  </si>
  <si>
    <t>ID bony</t>
  </si>
  <si>
    <t>Performing</t>
  </si>
  <si>
    <t>Caffeinated</t>
  </si>
  <si>
    <t>All Vascular</t>
  </si>
  <si>
    <t>All Fasciotomy</t>
  </si>
  <si>
    <t>Name</t>
  </si>
  <si>
    <t>Participant ID</t>
  </si>
  <si>
    <t>Filename</t>
  </si>
  <si>
    <t>Group</t>
  </si>
  <si>
    <t>Anatomy</t>
  </si>
  <si>
    <t>Pathophysiology</t>
  </si>
  <si>
    <t>Management</t>
  </si>
  <si>
    <t>Procedural</t>
  </si>
  <si>
    <t>Technique</t>
  </si>
  <si>
    <t>AA</t>
  </si>
  <si>
    <t>CFA</t>
  </si>
  <si>
    <t>SFA</t>
  </si>
  <si>
    <t>PFA</t>
  </si>
  <si>
    <t>Ant</t>
  </si>
  <si>
    <t>Lat</t>
  </si>
  <si>
    <t>SP</t>
  </si>
  <si>
    <t>DP</t>
  </si>
  <si>
    <t>V</t>
  </si>
  <si>
    <t>DV</t>
  </si>
  <si>
    <t>BA</t>
  </si>
  <si>
    <t>MW</t>
  </si>
  <si>
    <t>CT</t>
  </si>
  <si>
    <t>D</t>
  </si>
  <si>
    <t>Evaluators</t>
  </si>
  <si>
    <t>Sequence</t>
  </si>
  <si>
    <t>Sex</t>
  </si>
  <si>
    <t>Iteration #</t>
  </si>
  <si>
    <t>Date</t>
  </si>
  <si>
    <t>evaluation</t>
  </si>
  <si>
    <t>Age</t>
  </si>
  <si>
    <t>(month/yr)</t>
  </si>
  <si>
    <t>as a Medic</t>
  </si>
  <si>
    <t>Medic or Tech</t>
  </si>
  <si>
    <t>many months</t>
  </si>
  <si>
    <t>Internationally</t>
  </si>
  <si>
    <t>many times</t>
  </si>
  <si>
    <t>zones</t>
  </si>
  <si>
    <t>experience</t>
  </si>
  <si>
    <t>endeavor</t>
  </si>
  <si>
    <t>are tough</t>
  </si>
  <si>
    <t>need for surgery</t>
  </si>
  <si>
    <t>bleeding</t>
  </si>
  <si>
    <t>interventions</t>
  </si>
  <si>
    <t>procedures</t>
  </si>
  <si>
    <t>tourniquet</t>
  </si>
  <si>
    <t>incision</t>
  </si>
  <si>
    <t>arteries</t>
  </si>
  <si>
    <t>landmarks</t>
  </si>
  <si>
    <t>CPR</t>
  </si>
  <si>
    <t>beverages</t>
  </si>
  <si>
    <t>Cric</t>
  </si>
  <si>
    <t>CAE</t>
  </si>
  <si>
    <t>HC-WP</t>
  </si>
  <si>
    <t>SM</t>
  </si>
  <si>
    <t>Chest tube</t>
  </si>
  <si>
    <t>HF</t>
  </si>
  <si>
    <t>BAE</t>
  </si>
  <si>
    <t>M_007</t>
  </si>
  <si>
    <t>M_009</t>
  </si>
  <si>
    <t>M_012</t>
  </si>
  <si>
    <t>M_013</t>
  </si>
  <si>
    <t>M_014</t>
  </si>
  <si>
    <t>M_021</t>
  </si>
  <si>
    <t>M_022</t>
  </si>
  <si>
    <t>M_024</t>
  </si>
  <si>
    <t>M_027</t>
  </si>
  <si>
    <t>D+M</t>
  </si>
  <si>
    <t>n/a</t>
  </si>
  <si>
    <t>M_028</t>
  </si>
  <si>
    <t>M_029</t>
  </si>
  <si>
    <t>M_030</t>
  </si>
  <si>
    <t>M_031</t>
  </si>
  <si>
    <t>M_032</t>
  </si>
  <si>
    <t>M_033</t>
  </si>
  <si>
    <t>M_034</t>
  </si>
  <si>
    <t>M_035</t>
  </si>
  <si>
    <t>M_036</t>
  </si>
  <si>
    <t>M_038</t>
  </si>
  <si>
    <t>M_039</t>
  </si>
  <si>
    <t>M_040</t>
  </si>
  <si>
    <t>M_041</t>
  </si>
  <si>
    <t>M_045</t>
  </si>
  <si>
    <t>M_046</t>
  </si>
  <si>
    <t>M_047</t>
  </si>
  <si>
    <t>M_048</t>
  </si>
  <si>
    <t>M_049</t>
  </si>
  <si>
    <t>M_083</t>
  </si>
  <si>
    <t>M_084</t>
  </si>
  <si>
    <t>M_085</t>
  </si>
  <si>
    <t>M_086</t>
  </si>
  <si>
    <t>M_087</t>
  </si>
  <si>
    <t>M_089</t>
  </si>
  <si>
    <t>M_090</t>
  </si>
  <si>
    <t>M_091</t>
  </si>
  <si>
    <t>M_092</t>
  </si>
  <si>
    <t>M_093</t>
  </si>
  <si>
    <t>M_094</t>
  </si>
  <si>
    <t>M_095</t>
  </si>
  <si>
    <t>M_096</t>
  </si>
  <si>
    <t>M_098</t>
  </si>
  <si>
    <t>M_099</t>
  </si>
  <si>
    <t>Self-Efficacy</t>
  </si>
  <si>
    <t>Total vasc</t>
  </si>
  <si>
    <t>Total fasc</t>
  </si>
  <si>
    <t>TOTAL COMBINED</t>
  </si>
  <si>
    <t>68W</t>
  </si>
  <si>
    <t>certification</t>
  </si>
  <si>
    <t>Success All Vascular</t>
  </si>
  <si>
    <t>Success All Fasciotomy</t>
  </si>
  <si>
    <t>Number of Evaluators</t>
  </si>
  <si>
    <t xml:space="preserve">m/yr </t>
  </si>
  <si>
    <t>Succeed at any endeavor</t>
  </si>
  <si>
    <t>AVERAGE</t>
  </si>
  <si>
    <t>STDV</t>
  </si>
  <si>
    <t>t-tests</t>
  </si>
  <si>
    <t>='[M_007.xlsx]Template '!$B$15</t>
  </si>
  <si>
    <t xml:space="preserve">Global </t>
  </si>
  <si>
    <t xml:space="preserve">adjIPS </t>
  </si>
  <si>
    <t>PreQ1</t>
  </si>
  <si>
    <t>PreQ2</t>
  </si>
  <si>
    <t>PreQ3</t>
  </si>
  <si>
    <t>PreQ4</t>
  </si>
  <si>
    <t>PreQ5</t>
  </si>
  <si>
    <t>PreQ6</t>
  </si>
  <si>
    <t>PreQ7</t>
  </si>
  <si>
    <t>PreQ8</t>
  </si>
  <si>
    <t>PreQ9</t>
  </si>
  <si>
    <t>PreQ10</t>
  </si>
  <si>
    <t>PreQ11</t>
  </si>
  <si>
    <t>PreQ12</t>
  </si>
  <si>
    <t>PostQ1</t>
  </si>
  <si>
    <t>PostQ2</t>
  </si>
  <si>
    <t>PostQ3</t>
  </si>
  <si>
    <t>PostQ4</t>
  </si>
  <si>
    <t>PostQ5</t>
  </si>
  <si>
    <t>PostQ6</t>
  </si>
  <si>
    <t>PostQ7</t>
  </si>
  <si>
    <t>PostQ8</t>
  </si>
  <si>
    <t>PostQ9</t>
  </si>
  <si>
    <t>PostQ10</t>
  </si>
  <si>
    <t>PostQ11</t>
  </si>
  <si>
    <t>Evaluator</t>
  </si>
  <si>
    <t>evaluation &amp;</t>
  </si>
  <si>
    <t xml:space="preserve">LEF </t>
  </si>
  <si>
    <t xml:space="preserve">Adj_IPSm </t>
  </si>
  <si>
    <t xml:space="preserve">IPSm </t>
  </si>
  <si>
    <t>Time</t>
  </si>
  <si>
    <t>Rating</t>
  </si>
  <si>
    <t>treatment</t>
  </si>
  <si>
    <t>anatomy</t>
  </si>
  <si>
    <t>technique</t>
  </si>
  <si>
    <t>readiness</t>
  </si>
  <si>
    <t>M_079</t>
  </si>
  <si>
    <t>M_079.xlsx</t>
  </si>
  <si>
    <t>mSTAT only</t>
  </si>
  <si>
    <t>A</t>
  </si>
  <si>
    <t>10/18</t>
  </si>
  <si>
    <t>2/19</t>
  </si>
  <si>
    <t>M_082</t>
  </si>
  <si>
    <t>M_082.xlsx</t>
  </si>
  <si>
    <t>7/21</t>
  </si>
  <si>
    <t>M_081</t>
  </si>
  <si>
    <t>M_081.xlsx</t>
  </si>
  <si>
    <t>B</t>
  </si>
  <si>
    <t>3/23</t>
  </si>
  <si>
    <t>6/23</t>
  </si>
  <si>
    <t>M_078</t>
  </si>
  <si>
    <t>M_078.xlsx</t>
  </si>
  <si>
    <t>3/21</t>
  </si>
  <si>
    <t>6/21</t>
  </si>
  <si>
    <t>M_077</t>
  </si>
  <si>
    <t>M_077.xlsx</t>
  </si>
  <si>
    <t>12/22</t>
  </si>
  <si>
    <t>4/23</t>
  </si>
  <si>
    <t>M_076</t>
  </si>
  <si>
    <t>M_076.xlsx</t>
  </si>
  <si>
    <t>9/22</t>
  </si>
  <si>
    <t>1/23</t>
  </si>
  <si>
    <t>M_075</t>
  </si>
  <si>
    <t>M_075.xlsx</t>
  </si>
  <si>
    <t>11/18</t>
  </si>
  <si>
    <t>5/19</t>
  </si>
  <si>
    <t>M_074</t>
  </si>
  <si>
    <t>M_074.xlsx</t>
  </si>
  <si>
    <t>M_073</t>
  </si>
  <si>
    <t>M_073.xlsx</t>
  </si>
  <si>
    <t>1/17</t>
  </si>
  <si>
    <t>3/17</t>
  </si>
  <si>
    <t>M_072</t>
  </si>
  <si>
    <t>M_072.xlsx</t>
  </si>
  <si>
    <t>2/23</t>
  </si>
  <si>
    <t>M_071</t>
  </si>
  <si>
    <t>M_071.xlsx</t>
  </si>
  <si>
    <t>11/23</t>
  </si>
  <si>
    <t>3/24</t>
  </si>
  <si>
    <t>M_070</t>
  </si>
  <si>
    <t>M_070.xlsx</t>
  </si>
  <si>
    <t>11/21</t>
  </si>
  <si>
    <t>3/22</t>
  </si>
  <si>
    <t>M_069</t>
  </si>
  <si>
    <t>M_069.xlsx</t>
  </si>
  <si>
    <t>8/19</t>
  </si>
  <si>
    <t>M_068</t>
  </si>
  <si>
    <t>M_068.xlsx</t>
  </si>
  <si>
    <t>9/20</t>
  </si>
  <si>
    <t>10/21</t>
  </si>
  <si>
    <t>M_067</t>
  </si>
  <si>
    <t>M_067.xlsx</t>
  </si>
  <si>
    <t>10/22</t>
  </si>
  <si>
    <t>5/23</t>
  </si>
  <si>
    <t>M_066</t>
  </si>
  <si>
    <t>M_066.xlsx</t>
  </si>
  <si>
    <t>10/23</t>
  </si>
  <si>
    <t>M_065</t>
  </si>
  <si>
    <t>M_065.xlsx</t>
  </si>
  <si>
    <t>9/23</t>
  </si>
  <si>
    <t>M_064</t>
  </si>
  <si>
    <t>M_064.xlsx</t>
  </si>
  <si>
    <t>4/24</t>
  </si>
  <si>
    <t>8/24</t>
  </si>
  <si>
    <t>M_063</t>
  </si>
  <si>
    <t>M_063.xlsx</t>
  </si>
  <si>
    <t>10/13</t>
  </si>
  <si>
    <t>5/14</t>
  </si>
  <si>
    <t>M_007.xlsx</t>
  </si>
  <si>
    <t>D only</t>
  </si>
  <si>
    <t>9/20/2022</t>
  </si>
  <si>
    <t>6/20</t>
  </si>
  <si>
    <t>M_009.xlsx</t>
  </si>
  <si>
    <t>2/20</t>
  </si>
  <si>
    <t>M_013.xlsx</t>
  </si>
  <si>
    <t>M_022.xlsx</t>
  </si>
  <si>
    <t>9/21</t>
  </si>
  <si>
    <t>2/22</t>
  </si>
  <si>
    <t>M_024.xlsx</t>
  </si>
  <si>
    <t>M_031.xlsx</t>
  </si>
  <si>
    <t>M_033.xlsx</t>
  </si>
  <si>
    <t>1/13</t>
  </si>
  <si>
    <t>7/13</t>
  </si>
  <si>
    <t>M_035.xlsx</t>
  </si>
  <si>
    <t>1/19</t>
  </si>
  <si>
    <t>M_036.xlsx</t>
  </si>
  <si>
    <t>5/22</t>
  </si>
  <si>
    <t>M_039.xlsx</t>
  </si>
  <si>
    <t>12/17</t>
  </si>
  <si>
    <t>M_040.xlsx</t>
  </si>
  <si>
    <t>M_041.xlsx</t>
  </si>
  <si>
    <t>02/22</t>
  </si>
  <si>
    <t>M_048.xlsx</t>
  </si>
  <si>
    <t>M_049.xlsx</t>
  </si>
  <si>
    <t>6/18</t>
  </si>
  <si>
    <t>M_099.xlsx</t>
  </si>
  <si>
    <t>7/22</t>
  </si>
  <si>
    <t>M_095.xlsx</t>
  </si>
  <si>
    <t>6/11</t>
  </si>
  <si>
    <t>1/12</t>
  </si>
  <si>
    <t>M_094.xlsx</t>
  </si>
  <si>
    <t>M_093.xlsx</t>
  </si>
  <si>
    <t>11/16</t>
  </si>
  <si>
    <t>4/17</t>
  </si>
  <si>
    <t>M_092.xlsx</t>
  </si>
  <si>
    <t>M_089.xlsx</t>
  </si>
  <si>
    <t>2/16</t>
  </si>
  <si>
    <t>7/16</t>
  </si>
  <si>
    <t>M_087.xlsx</t>
  </si>
  <si>
    <t>4/21</t>
  </si>
  <si>
    <t>M_084.xlsx</t>
  </si>
  <si>
    <t>9/14</t>
  </si>
  <si>
    <t>1/15</t>
  </si>
  <si>
    <t>M_086.xlsx</t>
  </si>
  <si>
    <t>7/14</t>
  </si>
  <si>
    <t>M_012.xlsx</t>
  </si>
  <si>
    <t>12/21</t>
  </si>
  <si>
    <t>M_014.xlsx</t>
  </si>
  <si>
    <t>11/20</t>
  </si>
  <si>
    <t>M_021.xlsx</t>
  </si>
  <si>
    <t>3/20</t>
  </si>
  <si>
    <t>7/20</t>
  </si>
  <si>
    <t>M_028.xlsx</t>
  </si>
  <si>
    <t>5/20</t>
  </si>
  <si>
    <t>M_029.xlsx</t>
  </si>
  <si>
    <t>M_030.xlsx</t>
  </si>
  <si>
    <t>6/22</t>
  </si>
  <si>
    <t>M_032.xlsx</t>
  </si>
  <si>
    <t>2/21</t>
  </si>
  <si>
    <t>M_034.xlsx</t>
  </si>
  <si>
    <t>4/19</t>
  </si>
  <si>
    <t>M_038.xlsx</t>
  </si>
  <si>
    <t>2/14</t>
  </si>
  <si>
    <t>3/18</t>
  </si>
  <si>
    <t>M_045.xlsx</t>
  </si>
  <si>
    <t>M_046.xlsx</t>
  </si>
  <si>
    <t>8/16</t>
  </si>
  <si>
    <t>12/20</t>
  </si>
  <si>
    <t>M_047.xlsx</t>
  </si>
  <si>
    <t>1/21</t>
  </si>
  <si>
    <t>5/21</t>
  </si>
  <si>
    <t>M_098.xlsx</t>
  </si>
  <si>
    <t>M_096.xlsx</t>
  </si>
  <si>
    <t>M_091.xlsx</t>
  </si>
  <si>
    <t>5/12</t>
  </si>
  <si>
    <t>9/12</t>
  </si>
  <si>
    <t>M_090.xlsx</t>
  </si>
  <si>
    <t>4/18</t>
  </si>
  <si>
    <t>7/18</t>
  </si>
  <si>
    <t>M_083.xlsx</t>
  </si>
  <si>
    <t>8/21</t>
  </si>
  <si>
    <t>Years since basic</t>
  </si>
  <si>
    <t>4/28</t>
  </si>
  <si>
    <t>1 person 3</t>
  </si>
  <si>
    <t>5 person 2</t>
  </si>
  <si>
    <t>15 person 1</t>
  </si>
  <si>
    <t>Adj_IPS</t>
  </si>
  <si>
    <t>IPS_Adj_AAE</t>
  </si>
  <si>
    <t>IPS_Adj_FAE</t>
  </si>
  <si>
    <t>IPS_Adj_UEF</t>
  </si>
  <si>
    <t>IPS_Adj_LEF</t>
  </si>
  <si>
    <t>Adj_TRI</t>
  </si>
  <si>
    <t>ZM_013</t>
  </si>
  <si>
    <t>ZD only</t>
  </si>
  <si>
    <t>ZM_086</t>
  </si>
  <si>
    <t>ZM_089</t>
  </si>
  <si>
    <t>ZM_030</t>
  </si>
  <si>
    <t>ZD+M</t>
  </si>
  <si>
    <t>ZM_069</t>
  </si>
  <si>
    <t>ZmSTAT only</t>
  </si>
  <si>
    <t>Condition</t>
  </si>
  <si>
    <t>Correlations</t>
  </si>
  <si>
    <t>No difference, use adjusted</t>
  </si>
  <si>
    <t>t-test</t>
  </si>
  <si>
    <t>% change</t>
  </si>
  <si>
    <t>Pathophysioloy</t>
  </si>
  <si>
    <t>ALL</t>
  </si>
  <si>
    <t xml:space="preserve">M only </t>
  </si>
  <si>
    <t xml:space="preserve">both d vs m only </t>
  </si>
  <si>
    <t xml:space="preserve">%change </t>
  </si>
  <si>
    <t xml:space="preserve">both vs m only </t>
  </si>
  <si>
    <t>% change averagwe</t>
  </si>
  <si>
    <t>Vasc</t>
  </si>
  <si>
    <t>Fasc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</si>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</sst>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0" fillId="3" borderId="0" xfId="0" applyFill="1"/>
    <xf numFmtId="1" fontId="0" fillId="3" borderId="0" xfId="0" applyNumberFormat="1" applyFill="1"/>
    <xf numFmtId="0" fontId="0" fillId="4" borderId="0" xfId="0" applyFill="1"/>
    <xf numFmtId="14" fontId="0" fillId="0" borderId="0" xfId="0" applyNumberFormat="1"/>
    <xf numFmtId="49" fontId="0" fillId="0" borderId="0" xfId="0" applyNumberFormat="1"/>
    <xf numFmtId="0" fontId="5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right" vertical="top"/>
    </xf>
    <xf numFmtId="0" fontId="0" fillId="0" borderId="0" xfId="0" applyAlignment="1">
      <alignment horizontal="left"/>
    </xf>
    <xf numFmtId="1" fontId="0" fillId="4" borderId="0" xfId="0" applyNumberFormat="1" applyFill="1"/>
    <xf numFmtId="0" fontId="0" fillId="5" borderId="0" xfId="0" applyFill="1"/>
    <xf numFmtId="0" fontId="0" fillId="6" borderId="0" xfId="0" applyFill="1"/>
    <xf numFmtId="14" fontId="0" fillId="6" borderId="0" xfId="0" applyNumberFormat="1" applyFill="1"/>
    <xf numFmtId="49" fontId="0" fillId="6" borderId="0" xfId="0" applyNumberFormat="1" applyFill="1"/>
    <xf numFmtId="16" fontId="0" fillId="0" borderId="0" xfId="0" applyNumberFormat="1"/>
    <xf numFmtId="0" fontId="0" fillId="7" borderId="0" xfId="0" applyFill="1"/>
    <xf numFmtId="16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3.xml"/><Relationship Id="rId21" Type="http://schemas.openxmlformats.org/officeDocument/2006/relationships/externalLink" Target="externalLinks/externalLink8.xml"/><Relationship Id="rId42" Type="http://schemas.openxmlformats.org/officeDocument/2006/relationships/externalLink" Target="externalLinks/externalLink29.xml"/><Relationship Id="rId47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0.xml"/><Relationship Id="rId68" Type="http://schemas.openxmlformats.org/officeDocument/2006/relationships/externalLink" Target="externalLinks/externalLink55.xml"/><Relationship Id="rId16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externalLink" Target="externalLinks/externalLink19.xml"/><Relationship Id="rId37" Type="http://schemas.openxmlformats.org/officeDocument/2006/relationships/externalLink" Target="externalLinks/externalLink24.xml"/><Relationship Id="rId40" Type="http://schemas.openxmlformats.org/officeDocument/2006/relationships/externalLink" Target="externalLinks/externalLink27.xml"/><Relationship Id="rId45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0.xml"/><Relationship Id="rId58" Type="http://schemas.openxmlformats.org/officeDocument/2006/relationships/externalLink" Target="externalLinks/externalLink45.xml"/><Relationship Id="rId66" Type="http://schemas.openxmlformats.org/officeDocument/2006/relationships/externalLink" Target="externalLinks/externalLink53.xml"/><Relationship Id="rId74" Type="http://schemas.openxmlformats.org/officeDocument/2006/relationships/theme" Target="theme/theme1.xml"/><Relationship Id="rId79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8.xml"/><Relationship Id="rId1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externalLink" Target="externalLinks/externalLink17.xml"/><Relationship Id="rId35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0.xml"/><Relationship Id="rId48" Type="http://schemas.openxmlformats.org/officeDocument/2006/relationships/externalLink" Target="externalLinks/externalLink35.xml"/><Relationship Id="rId56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1.xml"/><Relationship Id="rId69" Type="http://schemas.openxmlformats.org/officeDocument/2006/relationships/externalLink" Target="externalLinks/externalLink56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8.xml"/><Relationship Id="rId72" Type="http://schemas.openxmlformats.org/officeDocument/2006/relationships/externalLink" Target="externalLinks/externalLink59.xml"/><Relationship Id="rId80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0.xml"/><Relationship Id="rId38" Type="http://schemas.openxmlformats.org/officeDocument/2006/relationships/externalLink" Target="externalLinks/externalLink25.xml"/><Relationship Id="rId46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46.xml"/><Relationship Id="rId67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7.xml"/><Relationship Id="rId41" Type="http://schemas.openxmlformats.org/officeDocument/2006/relationships/externalLink" Target="externalLinks/externalLink28.xml"/><Relationship Id="rId54" Type="http://schemas.openxmlformats.org/officeDocument/2006/relationships/externalLink" Target="externalLinks/externalLink41.xml"/><Relationship Id="rId62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57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36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36.xml"/><Relationship Id="rId57" Type="http://schemas.openxmlformats.org/officeDocument/2006/relationships/externalLink" Target="externalLinks/externalLink4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8.xml"/><Relationship Id="rId44" Type="http://schemas.openxmlformats.org/officeDocument/2006/relationships/externalLink" Target="externalLinks/externalLink31.xml"/><Relationship Id="rId52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47.xml"/><Relationship Id="rId65" Type="http://schemas.openxmlformats.org/officeDocument/2006/relationships/externalLink" Target="externalLinks/externalLink52.xml"/><Relationship Id="rId73" Type="http://schemas.openxmlformats.org/officeDocument/2006/relationships/externalLink" Target="externalLinks/externalLink60.xml"/><Relationship Id="rId78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9" Type="http://schemas.openxmlformats.org/officeDocument/2006/relationships/externalLink" Target="externalLinks/externalLink26.xml"/><Relationship Id="rId34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37.xml"/><Relationship Id="rId55" Type="http://schemas.openxmlformats.org/officeDocument/2006/relationships/externalLink" Target="externalLinks/externalLink42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'IPS summary'!$B$15</c:f>
              <c:strCache>
                <c:ptCount val="1"/>
                <c:pt idx="0">
                  <c:v>D only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'IPS summary'!$C$14:$G$14</c:f>
              <c:strCache>
                <c:ptCount val="5"/>
                <c:pt idx="0">
                  <c:v>Anatomy</c:v>
                </c:pt>
                <c:pt idx="2">
                  <c:v>Management</c:v>
                </c:pt>
                <c:pt idx="3">
                  <c:v>Procedural</c:v>
                </c:pt>
                <c:pt idx="4">
                  <c:v>Technique</c:v>
                </c:pt>
              </c:strCache>
            </c:strRef>
          </c:cat>
          <c:val>
            <c:numRef>
              <c:f>'IPS summary'!$C$15:$G$15</c:f>
              <c:numCache>
                <c:formatCode>General</c:formatCode>
                <c:ptCount val="5"/>
                <c:pt idx="0">
                  <c:v>0.15942028985507245</c:v>
                </c:pt>
                <c:pt idx="2">
                  <c:v>0.39311594202898548</c:v>
                </c:pt>
                <c:pt idx="3">
                  <c:v>0.47263071895424852</c:v>
                </c:pt>
                <c:pt idx="4">
                  <c:v>0.463336783988958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9-4FA6-A09A-96C6D0A3349A}"/>
            </c:ext>
          </c:extLst>
        </c:ser>
        <c:ser>
          <c:idx val="1"/>
          <c:order val="1"/>
          <c:tx>
            <c:strRef>
              <c:f>'IPS summary'!$B$16</c:f>
              <c:strCache>
                <c:ptCount val="1"/>
                <c:pt idx="0">
                  <c:v>D+M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'IPS summary'!$C$14:$G$14</c:f>
              <c:strCache>
                <c:ptCount val="5"/>
                <c:pt idx="0">
                  <c:v>Anatomy</c:v>
                </c:pt>
                <c:pt idx="2">
                  <c:v>Management</c:v>
                </c:pt>
                <c:pt idx="3">
                  <c:v>Procedural</c:v>
                </c:pt>
                <c:pt idx="4">
                  <c:v>Technique</c:v>
                </c:pt>
              </c:strCache>
            </c:strRef>
          </c:cat>
          <c:val>
            <c:numRef>
              <c:f>'IPS summary'!$C$16:$G$16</c:f>
              <c:numCache>
                <c:formatCode>General</c:formatCode>
                <c:ptCount val="5"/>
                <c:pt idx="0">
                  <c:v>0.44152046783625742</c:v>
                </c:pt>
                <c:pt idx="2">
                  <c:v>0.44736842105263158</c:v>
                </c:pt>
                <c:pt idx="3">
                  <c:v>0.63377192982456154</c:v>
                </c:pt>
                <c:pt idx="4">
                  <c:v>0.76378446115288212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09-4FA6-A09A-96C6D0A3349A}"/>
            </c:ext>
          </c:extLst>
        </c:ser>
        <c:ser>
          <c:idx val="2"/>
          <c:order val="2"/>
          <c:tx>
            <c:v>M only 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'IPS summary'!$C$17:$G$17</c:f>
              <c:numCache>
                <c:formatCode>General</c:formatCode>
                <c:ptCount val="5"/>
                <c:pt idx="0">
                  <c:v>0.42982456140350894</c:v>
                </c:pt>
                <c:pt idx="2">
                  <c:v>0.35307017543859648</c:v>
                </c:pt>
                <c:pt idx="3">
                  <c:v>0.58980478156174743</c:v>
                </c:pt>
                <c:pt idx="4">
                  <c:v>0.56798245614035081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F-40ED-B711-4F531F54E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503568"/>
        <c:axId val="643513648"/>
      </c:barChart>
      <c:catAx>
        <c:axId val="64350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513648"/>
        <c:crosses val="autoZero"/>
        <c:auto val="1"/>
        <c:lblAlgn val="ctr"/>
        <c:lblOffset val="100"/>
        <c:noMultiLvlLbl val="0"/>
      </c:catAx>
      <c:valAx>
        <c:axId val="6435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50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'IPS summary'!$B$21</c:f>
              <c:strCache>
                <c:ptCount val="1"/>
                <c:pt idx="0">
                  <c:v>D only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'IPS summary'!$C$20:$G$20</c:f>
              <c:strCache>
                <c:ptCount val="5"/>
                <c:pt idx="0">
                  <c:v>Anatomy</c:v>
                </c:pt>
                <c:pt idx="2">
                  <c:v>Management</c:v>
                </c:pt>
                <c:pt idx="3">
                  <c:v>Procedural</c:v>
                </c:pt>
                <c:pt idx="4">
                  <c:v>Technique</c:v>
                </c:pt>
              </c:strCache>
            </c:strRef>
          </c:cat>
          <c:val>
            <c:numRef>
              <c:f>'IPS summary'!$C$21:$G$21</c:f>
              <c:numCache>
                <c:formatCode>General</c:formatCode>
                <c:ptCount val="5"/>
                <c:pt idx="0">
                  <c:v>0.42015810276679838</c:v>
                </c:pt>
                <c:pt idx="2">
                  <c:v>0.32220496894409933</c:v>
                </c:pt>
                <c:pt idx="3">
                  <c:v>0.45063405797101447</c:v>
                </c:pt>
                <c:pt idx="4">
                  <c:v>0.49473775017253291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1-4ABF-8EB1-B9F706AFD9E3}"/>
            </c:ext>
          </c:extLst>
        </c:ser>
        <c:ser>
          <c:idx val="1"/>
          <c:order val="1"/>
          <c:tx>
            <c:strRef>
              <c:f>'IPS summary'!$B$22</c:f>
              <c:strCache>
                <c:ptCount val="1"/>
                <c:pt idx="0">
                  <c:v>D+M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'IPS summary'!$C$20:$G$20</c:f>
              <c:strCache>
                <c:ptCount val="5"/>
                <c:pt idx="0">
                  <c:v>Anatomy</c:v>
                </c:pt>
                <c:pt idx="2">
                  <c:v>Management</c:v>
                </c:pt>
                <c:pt idx="3">
                  <c:v>Procedural</c:v>
                </c:pt>
                <c:pt idx="4">
                  <c:v>Technique</c:v>
                </c:pt>
              </c:strCache>
            </c:strRef>
          </c:cat>
          <c:val>
            <c:numRef>
              <c:f>'IPS summary'!$C$22:$G$22</c:f>
              <c:numCache>
                <c:formatCode>General</c:formatCode>
                <c:ptCount val="5"/>
                <c:pt idx="0">
                  <c:v>0.62942583732057411</c:v>
                </c:pt>
                <c:pt idx="2">
                  <c:v>0.406015037593985</c:v>
                </c:pt>
                <c:pt idx="3">
                  <c:v>0.54174498746867161</c:v>
                </c:pt>
                <c:pt idx="4">
                  <c:v>0.75856307435254811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1-4ABF-8EB1-B9F706AFD9E3}"/>
            </c:ext>
          </c:extLst>
        </c:ser>
        <c:ser>
          <c:idx val="2"/>
          <c:order val="2"/>
          <c:tx>
            <c:v>M only 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'IPS summary'!$C$23:$G$23</c:f>
              <c:numCache>
                <c:formatCode>General</c:formatCode>
                <c:ptCount val="5"/>
                <c:pt idx="0">
                  <c:v>0.43971291866028711</c:v>
                </c:pt>
                <c:pt idx="2">
                  <c:v>0.28759398496240601</c:v>
                </c:pt>
                <c:pt idx="3">
                  <c:v>0.44783834586466176</c:v>
                </c:pt>
                <c:pt idx="4">
                  <c:v>0.45655806182121966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F-4CFB-A2BA-9632D2A07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365504"/>
        <c:axId val="535363704"/>
      </c:barChart>
      <c:catAx>
        <c:axId val="53536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363704"/>
        <c:crosses val="autoZero"/>
        <c:auto val="1"/>
        <c:lblAlgn val="ctr"/>
        <c:lblOffset val="100"/>
        <c:noMultiLvlLbl val="0"/>
      </c:catAx>
      <c:valAx>
        <c:axId val="53536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36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'IPS summary'!$B$27</c:f>
              <c:strCache>
                <c:ptCount val="1"/>
                <c:pt idx="0">
                  <c:v>D only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'IPS summary'!$C$26:$G$26</c:f>
              <c:strCache>
                <c:ptCount val="5"/>
                <c:pt idx="0">
                  <c:v>Anatomy</c:v>
                </c:pt>
                <c:pt idx="1">
                  <c:v>Pathophysiology</c:v>
                </c:pt>
                <c:pt idx="2">
                  <c:v>Management</c:v>
                </c:pt>
                <c:pt idx="3">
                  <c:v>Procedural</c:v>
                </c:pt>
                <c:pt idx="4">
                  <c:v>Technique</c:v>
                </c:pt>
              </c:strCache>
            </c:strRef>
          </c:cat>
          <c:val>
            <c:numRef>
              <c:f>'IPS summary'!$C$27:$G$27</c:f>
              <c:numCache>
                <c:formatCode>General</c:formatCode>
                <c:ptCount val="5"/>
                <c:pt idx="0">
                  <c:v>0.45244565217391314</c:v>
                </c:pt>
                <c:pt idx="1">
                  <c:v>0.41046698872785831</c:v>
                </c:pt>
                <c:pt idx="2">
                  <c:v>0.35869565217391303</c:v>
                </c:pt>
                <c:pt idx="3">
                  <c:v>0.31959345002823258</c:v>
                </c:pt>
                <c:pt idx="4">
                  <c:v>0.55479641131815061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E-4DA2-8319-29F3BFA1FDDB}"/>
            </c:ext>
          </c:extLst>
        </c:ser>
        <c:ser>
          <c:idx val="1"/>
          <c:order val="1"/>
          <c:tx>
            <c:strRef>
              <c:f>'IPS summary'!$B$28</c:f>
              <c:strCache>
                <c:ptCount val="1"/>
                <c:pt idx="0">
                  <c:v>D+M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'IPS summary'!$C$26:$G$26</c:f>
              <c:strCache>
                <c:ptCount val="5"/>
                <c:pt idx="0">
                  <c:v>Anatomy</c:v>
                </c:pt>
                <c:pt idx="1">
                  <c:v>Pathophysiology</c:v>
                </c:pt>
                <c:pt idx="2">
                  <c:v>Management</c:v>
                </c:pt>
                <c:pt idx="3">
                  <c:v>Procedural</c:v>
                </c:pt>
                <c:pt idx="4">
                  <c:v>Technique</c:v>
                </c:pt>
              </c:strCache>
            </c:strRef>
          </c:cat>
          <c:val>
            <c:numRef>
              <c:f>'IPS summary'!$C$28:$G$28</c:f>
              <c:numCache>
                <c:formatCode>General</c:formatCode>
                <c:ptCount val="5"/>
                <c:pt idx="0">
                  <c:v>0.69133771929824561</c:v>
                </c:pt>
                <c:pt idx="1">
                  <c:v>0.4502923976608188</c:v>
                </c:pt>
                <c:pt idx="2">
                  <c:v>0.40789473684210525</c:v>
                </c:pt>
                <c:pt idx="3">
                  <c:v>0.54877836301984906</c:v>
                </c:pt>
                <c:pt idx="4">
                  <c:v>0.80843776106933996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DE-4DA2-8319-29F3BFA1FDDB}"/>
            </c:ext>
          </c:extLst>
        </c:ser>
        <c:ser>
          <c:idx val="2"/>
          <c:order val="2"/>
          <c:tx>
            <c:v>M only 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'IPS summary'!$C$29:$G$29</c:f>
              <c:numCache>
                <c:formatCode>General</c:formatCode>
                <c:ptCount val="5"/>
                <c:pt idx="0">
                  <c:v>0.65942982456140342</c:v>
                </c:pt>
                <c:pt idx="1">
                  <c:v>0.42592592592592587</c:v>
                </c:pt>
                <c:pt idx="2">
                  <c:v>0.26315789473684209</c:v>
                </c:pt>
                <c:pt idx="3">
                  <c:v>0.56607762722313804</c:v>
                </c:pt>
                <c:pt idx="4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8-45EE-8675-5005BFE89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362984"/>
        <c:axId val="535370184"/>
      </c:barChart>
      <c:catAx>
        <c:axId val="535362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370184"/>
        <c:crosses val="autoZero"/>
        <c:auto val="1"/>
        <c:lblAlgn val="ctr"/>
        <c:lblOffset val="100"/>
        <c:noMultiLvlLbl val="0"/>
      </c:catAx>
      <c:valAx>
        <c:axId val="53537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362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UEF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'IPS summary'!$B$33</c:f>
              <c:strCache>
                <c:ptCount val="1"/>
                <c:pt idx="0">
                  <c:v>D only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'IPS summary'!$C$32:$G$32</c:f>
              <c:strCache>
                <c:ptCount val="5"/>
                <c:pt idx="0">
                  <c:v>Anatomy</c:v>
                </c:pt>
                <c:pt idx="1">
                  <c:v>Pathophysiology</c:v>
                </c:pt>
                <c:pt idx="2">
                  <c:v>Management</c:v>
                </c:pt>
                <c:pt idx="3">
                  <c:v>Procedural</c:v>
                </c:pt>
                <c:pt idx="4">
                  <c:v>Technique</c:v>
                </c:pt>
              </c:strCache>
            </c:strRef>
          </c:cat>
          <c:val>
            <c:numRef>
              <c:f>'IPS summary'!$C$33:$G$33</c:f>
              <c:numCache>
                <c:formatCode>General</c:formatCode>
                <c:ptCount val="5"/>
                <c:pt idx="0">
                  <c:v>0.30369220151828846</c:v>
                </c:pt>
                <c:pt idx="1">
                  <c:v>0.41046698872785831</c:v>
                </c:pt>
                <c:pt idx="2">
                  <c:v>0.32608695652173914</c:v>
                </c:pt>
                <c:pt idx="3">
                  <c:v>0.28778467908902688</c:v>
                </c:pt>
                <c:pt idx="4">
                  <c:v>0.53397170462387866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C-4C61-95F3-12C6B3182D56}"/>
            </c:ext>
          </c:extLst>
        </c:ser>
        <c:ser>
          <c:idx val="1"/>
          <c:order val="1"/>
          <c:tx>
            <c:strRef>
              <c:f>'IPS summary'!$B$34</c:f>
              <c:strCache>
                <c:ptCount val="1"/>
                <c:pt idx="0">
                  <c:v>D+M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'IPS summary'!$C$32:$G$32</c:f>
              <c:strCache>
                <c:ptCount val="5"/>
                <c:pt idx="0">
                  <c:v>Anatomy</c:v>
                </c:pt>
                <c:pt idx="1">
                  <c:v>Pathophysiology</c:v>
                </c:pt>
                <c:pt idx="2">
                  <c:v>Management</c:v>
                </c:pt>
                <c:pt idx="3">
                  <c:v>Procedural</c:v>
                </c:pt>
                <c:pt idx="4">
                  <c:v>Technique</c:v>
                </c:pt>
              </c:strCache>
            </c:strRef>
          </c:cat>
          <c:val>
            <c:numRef>
              <c:f>'IPS summary'!$C$34:$G$34</c:f>
              <c:numCache>
                <c:formatCode>General</c:formatCode>
                <c:ptCount val="5"/>
                <c:pt idx="0">
                  <c:v>0.6667919799498746</c:v>
                </c:pt>
                <c:pt idx="1">
                  <c:v>0.4502923976608188</c:v>
                </c:pt>
                <c:pt idx="2">
                  <c:v>0.36842105263157893</c:v>
                </c:pt>
                <c:pt idx="3">
                  <c:v>0.3672984544695071</c:v>
                </c:pt>
                <c:pt idx="4">
                  <c:v>0.79525898078529655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C-4C61-95F3-12C6B3182D56}"/>
            </c:ext>
          </c:extLst>
        </c:ser>
        <c:ser>
          <c:idx val="2"/>
          <c:order val="2"/>
          <c:tx>
            <c:v>M only 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'IPS summary'!$C$35:$G$35</c:f>
              <c:numCache>
                <c:formatCode>General</c:formatCode>
                <c:ptCount val="5"/>
                <c:pt idx="0">
                  <c:v>0.65730994152046784</c:v>
                </c:pt>
                <c:pt idx="1">
                  <c:v>0.42592592592592587</c:v>
                </c:pt>
                <c:pt idx="2">
                  <c:v>0.36842105263157893</c:v>
                </c:pt>
                <c:pt idx="3">
                  <c:v>0.35166040100250623</c:v>
                </c:pt>
                <c:pt idx="4">
                  <c:v>0.61714703425229744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A-4223-92C9-D878318C7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365144"/>
        <c:axId val="535365864"/>
      </c:barChart>
      <c:catAx>
        <c:axId val="535365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365864"/>
        <c:crosses val="autoZero"/>
        <c:auto val="1"/>
        <c:lblAlgn val="ctr"/>
        <c:lblOffset val="100"/>
        <c:noMultiLvlLbl val="0"/>
      </c:catAx>
      <c:valAx>
        <c:axId val="53536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365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procedures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'IPS summary'!$B$40</c:f>
              <c:strCache>
                <c:ptCount val="1"/>
                <c:pt idx="0">
                  <c:v>D only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'IPS summary'!$C$39:$G$39</c:f>
              <c:strCache>
                <c:ptCount val="5"/>
                <c:pt idx="0">
                  <c:v>Anatomy</c:v>
                </c:pt>
                <c:pt idx="1">
                  <c:v>Pathophysioloy</c:v>
                </c:pt>
                <c:pt idx="2">
                  <c:v>Management</c:v>
                </c:pt>
                <c:pt idx="3">
                  <c:v>Procedural</c:v>
                </c:pt>
                <c:pt idx="4">
                  <c:v>Technique</c:v>
                </c:pt>
              </c:strCache>
            </c:strRef>
          </c:cat>
          <c:val>
            <c:numRef>
              <c:f>'IPS summary'!$C$40:$G$40</c:f>
              <c:numCache>
                <c:formatCode>General</c:formatCode>
                <c:ptCount val="5"/>
                <c:pt idx="0">
                  <c:v>0.33392906157851809</c:v>
                </c:pt>
                <c:pt idx="1">
                  <c:v>0.41046698872785831</c:v>
                </c:pt>
                <c:pt idx="2">
                  <c:v>0.35002587991718426</c:v>
                </c:pt>
                <c:pt idx="3">
                  <c:v>0.3826607265106306</c:v>
                </c:pt>
                <c:pt idx="4">
                  <c:v>0.51171066252588004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3-49B2-9972-1E0783AA1C80}"/>
            </c:ext>
          </c:extLst>
        </c:ser>
        <c:ser>
          <c:idx val="1"/>
          <c:order val="1"/>
          <c:tx>
            <c:strRef>
              <c:f>'IPS summary'!$B$41</c:f>
              <c:strCache>
                <c:ptCount val="1"/>
                <c:pt idx="0">
                  <c:v>D+M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'IPS summary'!$C$39:$G$39</c:f>
              <c:strCache>
                <c:ptCount val="5"/>
                <c:pt idx="0">
                  <c:v>Anatomy</c:v>
                </c:pt>
                <c:pt idx="1">
                  <c:v>Pathophysioloy</c:v>
                </c:pt>
                <c:pt idx="2">
                  <c:v>Management</c:v>
                </c:pt>
                <c:pt idx="3">
                  <c:v>Procedural</c:v>
                </c:pt>
                <c:pt idx="4">
                  <c:v>Technique</c:v>
                </c:pt>
              </c:strCache>
            </c:strRef>
          </c:cat>
          <c:val>
            <c:numRef>
              <c:f>'IPS summary'!$C$41:$G$41</c:f>
              <c:numCache>
                <c:formatCode>General</c:formatCode>
                <c:ptCount val="5"/>
                <c:pt idx="0">
                  <c:v>0.60726900110123794</c:v>
                </c:pt>
                <c:pt idx="1">
                  <c:v>0.4502923976608188</c:v>
                </c:pt>
                <c:pt idx="2">
                  <c:v>0.40742481203007519</c:v>
                </c:pt>
                <c:pt idx="3">
                  <c:v>0.52289843369564737</c:v>
                </c:pt>
                <c:pt idx="4">
                  <c:v>0.78151106934001668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83-49B2-9972-1E0783AA1C80}"/>
            </c:ext>
          </c:extLst>
        </c:ser>
        <c:ser>
          <c:idx val="2"/>
          <c:order val="2"/>
          <c:tx>
            <c:strRef>
              <c:f>'IPS summary'!$B$42</c:f>
              <c:strCache>
                <c:ptCount val="1"/>
                <c:pt idx="0">
                  <c:v>M only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'IPS summary'!$C$42:$G$42</c:f>
              <c:numCache>
                <c:formatCode>General</c:formatCode>
                <c:ptCount val="5"/>
                <c:pt idx="0">
                  <c:v>0.54656931153641686</c:v>
                </c:pt>
                <c:pt idx="1">
                  <c:v>0.43810916179337234</c:v>
                </c:pt>
                <c:pt idx="2">
                  <c:v>0.31806077694235591</c:v>
                </c:pt>
                <c:pt idx="3">
                  <c:v>0.48884528891301332</c:v>
                </c:pt>
                <c:pt idx="4">
                  <c:v>0.572921888053467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FE9-9546-F3C7A5214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5609440"/>
        <c:axId val="675609800"/>
      </c:barChart>
      <c:catAx>
        <c:axId val="67560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609800"/>
        <c:crosses val="autoZero"/>
        <c:auto val="1"/>
        <c:lblAlgn val="ctr"/>
        <c:lblOffset val="100"/>
        <c:noMultiLvlLbl val="0"/>
      </c:catAx>
      <c:valAx>
        <c:axId val="675609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60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'IPS summary'!$B$47</c:f>
              <c:strCache>
                <c:ptCount val="1"/>
                <c:pt idx="0">
                  <c:v>% 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'IPS summary'!$C$46:$G$46</c:f>
              <c:strCache>
                <c:ptCount val="5"/>
                <c:pt idx="0">
                  <c:v>Anatomy</c:v>
                </c:pt>
                <c:pt idx="1">
                  <c:v>Pathophysioloy</c:v>
                </c:pt>
                <c:pt idx="2">
                  <c:v>Management</c:v>
                </c:pt>
                <c:pt idx="3">
                  <c:v>Procedural</c:v>
                </c:pt>
                <c:pt idx="4">
                  <c:v>Technique</c:v>
                </c:pt>
              </c:strCache>
            </c:strRef>
          </c:cat>
          <c:val>
            <c:numRef>
              <c:f>'IPS summary'!$C$47:$G$47</c:f>
              <c:numCache>
                <c:formatCode>0</c:formatCode>
                <c:ptCount val="5"/>
                <c:pt idx="0">
                  <c:v>81.855690616028738</c:v>
                </c:pt>
                <c:pt idx="1">
                  <c:v>9.7024632983006889</c:v>
                </c:pt>
                <c:pt idx="2">
                  <c:v>16.398482342640342</c:v>
                </c:pt>
                <c:pt idx="3">
                  <c:v>36.648053345793464</c:v>
                </c:pt>
                <c:pt idx="4">
                  <c:v>52.725187605503798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9-439D-828C-6C5A298FC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5374144"/>
        <c:axId val="535371264"/>
      </c:barChart>
      <c:catAx>
        <c:axId val="53537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371264"/>
        <c:crosses val="autoZero"/>
        <c:auto val="1"/>
        <c:lblAlgn val="ctr"/>
        <c:lblOffset val="100"/>
        <c:noMultiLvlLbl val="0"/>
      </c:catAx>
      <c:valAx>
        <c:axId val="53537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37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11</xdr:row>
      <xdr:rowOff>0</xdr:rowOff>
    </xdr:from>
    <xdr:to>
      <xdr:col>12</xdr:col>
      <xdr:colOff>771525</xdr:colOff>
      <xdr:row>25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8F7DDD-927C-AE09-CD40-716F28092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57149</xdr:colOff>
      <xdr:row>10</xdr:row>
      <xdr:rowOff>142875</xdr:rowOff>
    </xdr:from>
    <xdr:to>
      <xdr:col>18</xdr:col>
      <xdr:colOff>133349</xdr:colOff>
      <xdr:row>25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FDBA4E-3EA3-2DB6-4396-0FEF3C318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371475</xdr:colOff>
      <xdr:row>27</xdr:row>
      <xdr:rowOff>119062</xdr:rowOff>
    </xdr:from>
    <xdr:to>
      <xdr:col>14</xdr:col>
      <xdr:colOff>561975</xdr:colOff>
      <xdr:row>44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2F4DBB-8DBE-AD2B-A597-25FBBD0E2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123825</xdr:colOff>
      <xdr:row>27</xdr:row>
      <xdr:rowOff>80962</xdr:rowOff>
    </xdr:from>
    <xdr:to>
      <xdr:col>21</xdr:col>
      <xdr:colOff>314325</xdr:colOff>
      <xdr:row>43</xdr:row>
      <xdr:rowOff>157162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910B7C-E8ED-6F05-04CF-977580B27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123825</xdr:colOff>
      <xdr:row>44</xdr:row>
      <xdr:rowOff>128587</xdr:rowOff>
    </xdr:from>
    <xdr:to>
      <xdr:col>14</xdr:col>
      <xdr:colOff>314325</xdr:colOff>
      <xdr:row>62</xdr:row>
      <xdr:rowOff>14287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DEFDF8-E7D6-6165-2389-5F6F83EC3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657225</xdr:colOff>
      <xdr:row>45</xdr:row>
      <xdr:rowOff>42862</xdr:rowOff>
    </xdr:from>
    <xdr:to>
      <xdr:col>21</xdr:col>
      <xdr:colOff>47625</xdr:colOff>
      <xdr:row>62</xdr:row>
      <xdr:rowOff>119062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1478977-76BC-E341-3FE1-C7082F077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1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2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29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3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3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3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3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34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3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36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38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39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4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4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45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46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47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48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49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83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8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8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89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9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91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92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93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94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95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96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98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99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12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laireShah/Downloads/M_007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09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86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87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79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82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81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78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77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76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75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74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73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72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71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70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69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68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67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66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65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64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mSTAT%201/Data/Calculation%20sheets/M_06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M_013</v>
          </cell>
          <cell r="C2" t="str">
            <v>D only</v>
          </cell>
          <cell r="D2">
            <v>1</v>
          </cell>
          <cell r="E2" t="str">
            <v>A</v>
          </cell>
          <cell r="F2">
            <v>45027</v>
          </cell>
        </row>
        <row r="3">
          <cell r="D3" t="str">
            <v>9/20/2022</v>
          </cell>
        </row>
        <row r="5">
          <cell r="D5">
            <v>0.19270833333333331</v>
          </cell>
          <cell r="E5">
            <v>0.22947303921568629</v>
          </cell>
        </row>
        <row r="6">
          <cell r="D6">
            <v>0.4864402958152958</v>
          </cell>
          <cell r="E6">
            <v>0.47825577200577196</v>
          </cell>
        </row>
        <row r="7">
          <cell r="D7">
            <v>0.47465608465608466</v>
          </cell>
          <cell r="E7">
            <v>0.48160052910052914</v>
          </cell>
        </row>
        <row r="8">
          <cell r="D8">
            <v>0.51195767195767194</v>
          </cell>
          <cell r="E8">
            <v>0.49579605579605579</v>
          </cell>
        </row>
        <row r="9">
          <cell r="D9">
            <v>0.41644059644059639</v>
          </cell>
          <cell r="E9">
            <v>0.42128134902951075</v>
          </cell>
        </row>
        <row r="12">
          <cell r="B12">
            <v>20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10/21</v>
          </cell>
          <cell r="I14">
            <v>4</v>
          </cell>
          <cell r="L14">
            <v>4</v>
          </cell>
          <cell r="O14">
            <v>1</v>
          </cell>
        </row>
        <row r="15">
          <cell r="B15" t="str">
            <v>3/22</v>
          </cell>
          <cell r="I15">
            <v>4</v>
          </cell>
          <cell r="L15">
            <v>4</v>
          </cell>
          <cell r="O15">
            <v>1</v>
          </cell>
        </row>
        <row r="16">
          <cell r="B16">
            <v>12</v>
          </cell>
          <cell r="I16">
            <v>3</v>
          </cell>
          <cell r="L16">
            <v>3</v>
          </cell>
          <cell r="O16">
            <v>2</v>
          </cell>
        </row>
        <row r="17">
          <cell r="B17">
            <v>0</v>
          </cell>
          <cell r="I17">
            <v>4</v>
          </cell>
          <cell r="L17">
            <v>3</v>
          </cell>
          <cell r="O17">
            <v>4</v>
          </cell>
        </row>
        <row r="18">
          <cell r="B18"/>
          <cell r="I18">
            <v>3</v>
          </cell>
          <cell r="L18">
            <v>2</v>
          </cell>
          <cell r="O18">
            <v>2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3</v>
          </cell>
        </row>
        <row r="20">
          <cell r="B20"/>
          <cell r="I20">
            <v>3</v>
          </cell>
          <cell r="L20">
            <v>2</v>
          </cell>
          <cell r="O20">
            <v>4</v>
          </cell>
        </row>
        <row r="21">
          <cell r="B21"/>
          <cell r="I21">
            <v>3</v>
          </cell>
          <cell r="L21">
            <v>3</v>
          </cell>
          <cell r="O21">
            <v>1</v>
          </cell>
        </row>
        <row r="22">
          <cell r="B22"/>
          <cell r="I22">
            <v>3</v>
          </cell>
          <cell r="L22">
            <v>3</v>
          </cell>
          <cell r="O22">
            <v>2</v>
          </cell>
        </row>
        <row r="23">
          <cell r="I23">
            <v>1</v>
          </cell>
          <cell r="L23">
            <v>5</v>
          </cell>
          <cell r="O23">
            <v>1</v>
          </cell>
        </row>
        <row r="24">
          <cell r="I24">
            <v>0</v>
          </cell>
        </row>
        <row r="29">
          <cell r="B29">
            <v>0</v>
          </cell>
          <cell r="C29">
            <v>0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0.33333333333333331</v>
          </cell>
          <cell r="C31">
            <v>0.33333333333333331</v>
          </cell>
        </row>
        <row r="32">
          <cell r="B32">
            <v>0.4375</v>
          </cell>
          <cell r="C32">
            <v>0.5845588235294118</v>
          </cell>
        </row>
        <row r="33">
          <cell r="B33">
            <v>0</v>
          </cell>
          <cell r="C33">
            <v>0</v>
          </cell>
        </row>
        <row r="52">
          <cell r="B52">
            <v>0.47222222222222221</v>
          </cell>
          <cell r="C52">
            <v>0.55555555555555558</v>
          </cell>
        </row>
        <row r="53">
          <cell r="B53">
            <v>0.48518518518518522</v>
          </cell>
          <cell r="C53">
            <v>0.48518518518518522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0.3611111111111111</v>
          </cell>
          <cell r="C55">
            <v>0.3125</v>
          </cell>
        </row>
        <row r="56">
          <cell r="B56">
            <v>0.55476190476190479</v>
          </cell>
          <cell r="C56">
            <v>0.55476190476190479</v>
          </cell>
        </row>
        <row r="58">
          <cell r="C58">
            <v>1200</v>
          </cell>
        </row>
        <row r="59">
          <cell r="C59">
            <v>27.5</v>
          </cell>
        </row>
        <row r="60">
          <cell r="C60">
            <v>3</v>
          </cell>
        </row>
        <row r="61">
          <cell r="C61">
            <v>2</v>
          </cell>
        </row>
        <row r="62">
          <cell r="C62">
            <v>2</v>
          </cell>
        </row>
        <row r="63">
          <cell r="C63">
            <v>1.5</v>
          </cell>
        </row>
        <row r="74">
          <cell r="B74">
            <v>0.51818181818181819</v>
          </cell>
          <cell r="C74">
            <v>0.51818181818181819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0.42857142857142855</v>
          </cell>
          <cell r="C76">
            <v>0.42857142857142855</v>
          </cell>
        </row>
        <row r="77">
          <cell r="B77">
            <v>0.52083333333333326</v>
          </cell>
          <cell r="C77">
            <v>0.48809523809523803</v>
          </cell>
        </row>
        <row r="78">
          <cell r="B78">
            <v>0.47817460317460325</v>
          </cell>
          <cell r="C78">
            <v>0.47817460317460325</v>
          </cell>
        </row>
        <row r="80">
          <cell r="C80">
            <v>872</v>
          </cell>
        </row>
        <row r="81">
          <cell r="C81">
            <v>19</v>
          </cell>
        </row>
        <row r="82">
          <cell r="C82">
            <v>2.5</v>
          </cell>
        </row>
        <row r="83">
          <cell r="C83">
            <v>1.5</v>
          </cell>
        </row>
        <row r="84">
          <cell r="C84">
            <v>1.5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0.58333333333333326</v>
          </cell>
          <cell r="C96">
            <v>0.58333333333333326</v>
          </cell>
        </row>
        <row r="97">
          <cell r="B97">
            <v>0.48518518518518522</v>
          </cell>
          <cell r="C97">
            <v>0.48518518518518522</v>
          </cell>
          <cell r="AR97">
            <v>0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0.33333333333333331</v>
          </cell>
          <cell r="C99">
            <v>0.25252525252525254</v>
          </cell>
        </row>
        <row r="100">
          <cell r="B100">
            <v>0.65793650793650793</v>
          </cell>
          <cell r="C100">
            <v>0.65793650793650793</v>
          </cell>
        </row>
        <row r="102">
          <cell r="C102">
            <v>987</v>
          </cell>
        </row>
        <row r="103">
          <cell r="C103">
            <v>28</v>
          </cell>
        </row>
        <row r="104">
          <cell r="C104">
            <v>3</v>
          </cell>
        </row>
        <row r="105">
          <cell r="C105">
            <v>1.5</v>
          </cell>
        </row>
        <row r="106">
          <cell r="C106">
            <v>2</v>
          </cell>
        </row>
        <row r="107">
          <cell r="C107">
            <v>1.5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M_014</v>
          </cell>
          <cell r="C2" t="str">
            <v>D+M</v>
          </cell>
          <cell r="D2">
            <v>1</v>
          </cell>
          <cell r="E2" t="str">
            <v>B</v>
          </cell>
          <cell r="F2">
            <v>44992</v>
          </cell>
        </row>
        <row r="3">
          <cell r="D3" t="str">
            <v>9/20/2022</v>
          </cell>
        </row>
        <row r="5">
          <cell r="D5">
            <v>0.59697420634920628</v>
          </cell>
          <cell r="E5">
            <v>0.56112861811391224</v>
          </cell>
        </row>
        <row r="6">
          <cell r="D6">
            <v>0.56294191919191916</v>
          </cell>
          <cell r="E6">
            <v>0.54954906204906206</v>
          </cell>
        </row>
        <row r="7">
          <cell r="D7">
            <v>0.58984126984126983</v>
          </cell>
          <cell r="E7">
            <v>0.58798941798941795</v>
          </cell>
        </row>
        <row r="8">
          <cell r="D8">
            <v>0.62925925925925918</v>
          </cell>
          <cell r="E8">
            <v>0.54527657527657525</v>
          </cell>
        </row>
        <row r="9">
          <cell r="D9">
            <v>0.59475416366041367</v>
          </cell>
          <cell r="E9">
            <v>0.56098591835724188</v>
          </cell>
        </row>
        <row r="12">
          <cell r="B12">
            <v>23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3</v>
          </cell>
        </row>
        <row r="14">
          <cell r="B14" t="str">
            <v>11/20</v>
          </cell>
          <cell r="I14">
            <v>4</v>
          </cell>
          <cell r="L14">
            <v>4</v>
          </cell>
          <cell r="O14">
            <v>3</v>
          </cell>
        </row>
        <row r="15">
          <cell r="B15" t="str">
            <v>3/21</v>
          </cell>
          <cell r="I15">
            <v>4</v>
          </cell>
          <cell r="L15">
            <v>4</v>
          </cell>
          <cell r="O15">
            <v>2</v>
          </cell>
        </row>
        <row r="16">
          <cell r="B16">
            <v>18</v>
          </cell>
          <cell r="I16">
            <v>4</v>
          </cell>
          <cell r="L16">
            <v>4</v>
          </cell>
          <cell r="O16">
            <v>4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5</v>
          </cell>
        </row>
        <row r="18">
          <cell r="B18"/>
          <cell r="I18">
            <v>3</v>
          </cell>
          <cell r="L18">
            <v>3</v>
          </cell>
          <cell r="O18">
            <v>3</v>
          </cell>
        </row>
        <row r="19">
          <cell r="B19">
            <v>1</v>
          </cell>
          <cell r="I19">
            <v>5</v>
          </cell>
          <cell r="L19">
            <v>5</v>
          </cell>
          <cell r="O19">
            <v>1</v>
          </cell>
        </row>
        <row r="20">
          <cell r="B20">
            <v>1</v>
          </cell>
          <cell r="I20">
            <v>3</v>
          </cell>
          <cell r="L20">
            <v>4</v>
          </cell>
          <cell r="O20">
            <v>1</v>
          </cell>
        </row>
        <row r="21">
          <cell r="B21">
            <v>1</v>
          </cell>
          <cell r="I21">
            <v>3</v>
          </cell>
          <cell r="L21">
            <v>3</v>
          </cell>
          <cell r="O21">
            <v>2</v>
          </cell>
        </row>
        <row r="22">
          <cell r="B22"/>
          <cell r="I22">
            <v>3</v>
          </cell>
          <cell r="L22">
            <v>4</v>
          </cell>
          <cell r="O22">
            <v>3</v>
          </cell>
        </row>
        <row r="23">
          <cell r="I23">
            <v>4</v>
          </cell>
          <cell r="L23">
            <v>4</v>
          </cell>
          <cell r="O23">
            <v>3</v>
          </cell>
        </row>
        <row r="24">
          <cell r="I24">
            <v>2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0.41666666666666663</v>
          </cell>
          <cell r="C31">
            <v>0.41666666666666663</v>
          </cell>
        </row>
        <row r="32">
          <cell r="B32">
            <v>0.8125</v>
          </cell>
          <cell r="C32">
            <v>0.66911764705882359</v>
          </cell>
        </row>
        <row r="33">
          <cell r="B33">
            <v>0.76984126984126977</v>
          </cell>
          <cell r="C33">
            <v>0.76984126984126977</v>
          </cell>
        </row>
        <row r="52">
          <cell r="B52">
            <v>0.7857142857142857</v>
          </cell>
          <cell r="C52">
            <v>0.7857142857142857</v>
          </cell>
        </row>
        <row r="53">
          <cell r="B53">
            <v>0.40740740740740738</v>
          </cell>
          <cell r="C53">
            <v>0.40740740740740738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0.50925925925925919</v>
          </cell>
          <cell r="C55">
            <v>0.5</v>
          </cell>
        </row>
        <row r="56">
          <cell r="B56">
            <v>0.74682539682539684</v>
          </cell>
          <cell r="C56">
            <v>0.74682539682539684</v>
          </cell>
        </row>
        <row r="58">
          <cell r="C58">
            <v>1200</v>
          </cell>
        </row>
        <row r="59">
          <cell r="C59">
            <v>60</v>
          </cell>
        </row>
        <row r="60">
          <cell r="C60">
            <v>3</v>
          </cell>
        </row>
        <row r="61">
          <cell r="C61">
            <v>4</v>
          </cell>
        </row>
        <row r="62">
          <cell r="C62">
            <v>3</v>
          </cell>
        </row>
        <row r="63">
          <cell r="C63">
            <v>3</v>
          </cell>
        </row>
        <row r="74">
          <cell r="B74">
            <v>0.65454545454545454</v>
          </cell>
          <cell r="C74">
            <v>0.65454545454545454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0.39285714285714285</v>
          </cell>
          <cell r="C76">
            <v>0.39285714285714285</v>
          </cell>
        </row>
        <row r="77">
          <cell r="B77">
            <v>0.45833333333333331</v>
          </cell>
          <cell r="C77">
            <v>0.40476190476190477</v>
          </cell>
        </row>
        <row r="78">
          <cell r="B78">
            <v>0.74603174603174605</v>
          </cell>
          <cell r="C78">
            <v>0.74603174603174605</v>
          </cell>
        </row>
        <row r="80">
          <cell r="C80">
            <v>1200</v>
          </cell>
        </row>
        <row r="81">
          <cell r="C81">
            <v>36</v>
          </cell>
        </row>
        <row r="82">
          <cell r="C82">
            <v>3</v>
          </cell>
        </row>
        <row r="83">
          <cell r="C83">
            <v>2</v>
          </cell>
        </row>
        <row r="84">
          <cell r="C84">
            <v>3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0.66666666666666663</v>
          </cell>
          <cell r="C96">
            <v>0.66666666666666663</v>
          </cell>
        </row>
        <row r="97">
          <cell r="B97">
            <v>0.40740740740740738</v>
          </cell>
          <cell r="C97">
            <v>0.40740740740740738</v>
          </cell>
          <cell r="AR97">
            <v>0</v>
          </cell>
          <cell r="AS97">
            <v>0</v>
          </cell>
          <cell r="AZ97">
            <v>0</v>
          </cell>
          <cell r="BB97">
            <v>1</v>
          </cell>
        </row>
        <row r="98">
          <cell r="B98">
            <v>0.5</v>
          </cell>
          <cell r="C98">
            <v>0.5</v>
          </cell>
        </row>
        <row r="99">
          <cell r="B99">
            <v>0.88888888888888884</v>
          </cell>
          <cell r="C99">
            <v>0.46897546897546899</v>
          </cell>
        </row>
        <row r="100">
          <cell r="B100">
            <v>0.68333333333333324</v>
          </cell>
          <cell r="C100">
            <v>0.68333333333333324</v>
          </cell>
        </row>
        <row r="102">
          <cell r="C102">
            <v>1200</v>
          </cell>
        </row>
        <row r="103">
          <cell r="C103">
            <v>55</v>
          </cell>
        </row>
        <row r="104">
          <cell r="C104">
            <v>3</v>
          </cell>
        </row>
        <row r="105">
          <cell r="C105">
            <v>2</v>
          </cell>
        </row>
        <row r="106">
          <cell r="C106">
            <v>3</v>
          </cell>
        </row>
        <row r="107">
          <cell r="C107">
            <v>2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M_021</v>
          </cell>
          <cell r="C2" t="str">
            <v>D+M</v>
          </cell>
          <cell r="D2">
            <v>1</v>
          </cell>
          <cell r="E2" t="str">
            <v>B</v>
          </cell>
          <cell r="F2">
            <v>44960</v>
          </cell>
        </row>
        <row r="3">
          <cell r="D3" t="str">
            <v>9/20/2022</v>
          </cell>
        </row>
        <row r="5">
          <cell r="D5">
            <v>0.4888392857142857</v>
          </cell>
          <cell r="E5">
            <v>0.46769957983193278</v>
          </cell>
        </row>
        <row r="6">
          <cell r="D6">
            <v>0.65515873015873016</v>
          </cell>
          <cell r="E6">
            <v>0.61163194444444446</v>
          </cell>
        </row>
        <row r="7">
          <cell r="D7">
            <v>0.58198412698412705</v>
          </cell>
          <cell r="E7">
            <v>0.54686507936507944</v>
          </cell>
        </row>
        <row r="8">
          <cell r="D8">
            <v>0.60031746031746036</v>
          </cell>
          <cell r="E8">
            <v>0.57650793650793652</v>
          </cell>
        </row>
        <row r="9">
          <cell r="D9">
            <v>0.58157490079365082</v>
          </cell>
          <cell r="E9">
            <v>0.55067613503734825</v>
          </cell>
        </row>
        <row r="12">
          <cell r="B12">
            <v>25</v>
          </cell>
        </row>
        <row r="13">
          <cell r="B13">
            <v>2</v>
          </cell>
          <cell r="I13">
            <v>4</v>
          </cell>
          <cell r="L13">
            <v>3</v>
          </cell>
          <cell r="O13">
            <v>2</v>
          </cell>
        </row>
        <row r="14">
          <cell r="B14" t="str">
            <v>3/20</v>
          </cell>
          <cell r="I14">
            <v>3</v>
          </cell>
          <cell r="L14">
            <v>3</v>
          </cell>
          <cell r="O14">
            <v>2</v>
          </cell>
        </row>
        <row r="15">
          <cell r="B15" t="str">
            <v>7/20</v>
          </cell>
          <cell r="I15">
            <v>4</v>
          </cell>
          <cell r="L15">
            <v>3</v>
          </cell>
          <cell r="O15">
            <v>2</v>
          </cell>
        </row>
        <row r="16">
          <cell r="B16">
            <v>24</v>
          </cell>
          <cell r="I16">
            <v>3</v>
          </cell>
          <cell r="L16">
            <v>2</v>
          </cell>
          <cell r="O16">
            <v>2</v>
          </cell>
        </row>
        <row r="17">
          <cell r="B17">
            <v>0</v>
          </cell>
          <cell r="I17">
            <v>3</v>
          </cell>
          <cell r="L17">
            <v>3</v>
          </cell>
          <cell r="O17">
            <v>4</v>
          </cell>
        </row>
        <row r="18">
          <cell r="B18"/>
          <cell r="I18">
            <v>3</v>
          </cell>
          <cell r="L18">
            <v>2</v>
          </cell>
          <cell r="O18">
            <v>2</v>
          </cell>
        </row>
        <row r="19">
          <cell r="B19">
            <v>1</v>
          </cell>
          <cell r="I19">
            <v>4</v>
          </cell>
          <cell r="L19">
            <v>4</v>
          </cell>
          <cell r="O19">
            <v>2</v>
          </cell>
        </row>
        <row r="20">
          <cell r="B20">
            <v>1</v>
          </cell>
          <cell r="I20">
            <v>3</v>
          </cell>
          <cell r="L20">
            <v>4</v>
          </cell>
          <cell r="O20">
            <v>2</v>
          </cell>
        </row>
        <row r="21">
          <cell r="B21">
            <v>0</v>
          </cell>
          <cell r="I21">
            <v>3</v>
          </cell>
          <cell r="L21">
            <v>2</v>
          </cell>
          <cell r="O21">
            <v>2</v>
          </cell>
        </row>
        <row r="22">
          <cell r="B22"/>
          <cell r="I22">
            <v>4</v>
          </cell>
          <cell r="L22">
            <v>3</v>
          </cell>
          <cell r="O22">
            <v>2</v>
          </cell>
        </row>
        <row r="23">
          <cell r="I23">
            <v>5</v>
          </cell>
          <cell r="L23">
            <v>4</v>
          </cell>
          <cell r="O23">
            <v>2</v>
          </cell>
        </row>
        <row r="24">
          <cell r="I24">
            <v>0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0.33333333333333331</v>
          </cell>
          <cell r="C31">
            <v>0.33333333333333331</v>
          </cell>
        </row>
        <row r="32">
          <cell r="B32">
            <v>0.5625</v>
          </cell>
          <cell r="C32">
            <v>0.47794117647058826</v>
          </cell>
        </row>
        <row r="33">
          <cell r="B33">
            <v>0.67063492063492058</v>
          </cell>
          <cell r="C33">
            <v>0.67063492063492058</v>
          </cell>
        </row>
        <row r="52">
          <cell r="B52">
            <v>0.69444444444444442</v>
          </cell>
          <cell r="C52">
            <v>0.69444444444444442</v>
          </cell>
        </row>
        <row r="53">
          <cell r="B53">
            <v>0.72222222222222232</v>
          </cell>
          <cell r="C53">
            <v>0.72222222222222232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0.41666666666666669</v>
          </cell>
          <cell r="C55">
            <v>0.24107142857142858</v>
          </cell>
        </row>
        <row r="56">
          <cell r="B56">
            <v>0.57658730158730165</v>
          </cell>
          <cell r="C56">
            <v>0.57658730158730165</v>
          </cell>
        </row>
        <row r="58">
          <cell r="C58">
            <v>1200</v>
          </cell>
        </row>
        <row r="59">
          <cell r="C59">
            <v>35</v>
          </cell>
        </row>
        <row r="60">
          <cell r="C60">
            <v>3.5</v>
          </cell>
        </row>
        <row r="61">
          <cell r="C61">
            <v>2.5</v>
          </cell>
        </row>
        <row r="62">
          <cell r="C62">
            <v>3.5</v>
          </cell>
        </row>
        <row r="63">
          <cell r="C63">
            <v>2.5</v>
          </cell>
        </row>
        <row r="74">
          <cell r="B74">
            <v>0.7</v>
          </cell>
          <cell r="C74">
            <v>0.7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0.42857142857142855</v>
          </cell>
          <cell r="C76">
            <v>0.42857142857142855</v>
          </cell>
        </row>
        <row r="77">
          <cell r="B77">
            <v>0.70833333333333326</v>
          </cell>
          <cell r="C77">
            <v>0.53422619047619047</v>
          </cell>
        </row>
        <row r="78">
          <cell r="B78">
            <v>0.78373015873015872</v>
          </cell>
          <cell r="C78">
            <v>0.78373015873015872</v>
          </cell>
        </row>
        <row r="80">
          <cell r="C80">
            <v>1200</v>
          </cell>
        </row>
        <row r="81">
          <cell r="C81">
            <v>30</v>
          </cell>
        </row>
        <row r="82">
          <cell r="C82">
            <v>3.5</v>
          </cell>
        </row>
        <row r="83">
          <cell r="C83">
            <v>3.5</v>
          </cell>
        </row>
        <row r="84">
          <cell r="C84">
            <v>4.5</v>
          </cell>
        </row>
        <row r="85">
          <cell r="C85">
            <v>2.5</v>
          </cell>
        </row>
        <row r="89">
          <cell r="C89">
            <v>0</v>
          </cell>
        </row>
        <row r="96">
          <cell r="B96">
            <v>0.8</v>
          </cell>
          <cell r="C96">
            <v>0.8</v>
          </cell>
        </row>
        <row r="97">
          <cell r="B97">
            <v>0.72222222222222232</v>
          </cell>
          <cell r="C97">
            <v>0.72222222222222232</v>
          </cell>
          <cell r="AR97">
            <v>0.5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0.33333333333333331</v>
          </cell>
          <cell r="C99">
            <v>0.21428571428571422</v>
          </cell>
        </row>
        <row r="100">
          <cell r="B100">
            <v>0.64603174603174607</v>
          </cell>
          <cell r="C100">
            <v>0.64603174603174607</v>
          </cell>
        </row>
        <row r="102">
          <cell r="C102">
            <v>1200</v>
          </cell>
        </row>
        <row r="103">
          <cell r="C103">
            <v>25</v>
          </cell>
        </row>
        <row r="104">
          <cell r="C104">
            <v>3.5</v>
          </cell>
        </row>
        <row r="105">
          <cell r="C105">
            <v>3</v>
          </cell>
        </row>
        <row r="106">
          <cell r="C106">
            <v>3.5</v>
          </cell>
        </row>
        <row r="107">
          <cell r="C107">
            <v>2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M_022</v>
          </cell>
          <cell r="C2" t="str">
            <v>D only</v>
          </cell>
          <cell r="D2">
            <v>1</v>
          </cell>
          <cell r="E2" t="str">
            <v>B</v>
          </cell>
          <cell r="F2">
            <v>45027</v>
          </cell>
        </row>
        <row r="3">
          <cell r="D3" t="str">
            <v>9/20/2022</v>
          </cell>
        </row>
        <row r="5">
          <cell r="D5">
            <v>0.51364087301587302</v>
          </cell>
          <cell r="E5">
            <v>0.50904528478057887</v>
          </cell>
        </row>
        <row r="6">
          <cell r="D6">
            <v>0.25504148629148632</v>
          </cell>
          <cell r="E6">
            <v>0.28480339105339109</v>
          </cell>
        </row>
        <row r="7">
          <cell r="D7">
            <v>0.42738095238095236</v>
          </cell>
          <cell r="E7">
            <v>0.42900132275132269</v>
          </cell>
        </row>
        <row r="8">
          <cell r="D8">
            <v>0.47199735449735447</v>
          </cell>
          <cell r="E8">
            <v>0.41290644540644539</v>
          </cell>
        </row>
        <row r="9">
          <cell r="D9">
            <v>0.41701516654641657</v>
          </cell>
          <cell r="E9">
            <v>0.40893911099793456</v>
          </cell>
        </row>
        <row r="12">
          <cell r="B12">
            <v>20</v>
          </cell>
        </row>
        <row r="13">
          <cell r="B13">
            <v>1</v>
          </cell>
          <cell r="I13">
            <v>2</v>
          </cell>
          <cell r="L13">
            <v>2</v>
          </cell>
          <cell r="O13">
            <v>5</v>
          </cell>
        </row>
        <row r="14">
          <cell r="B14" t="str">
            <v>9/21</v>
          </cell>
          <cell r="I14">
            <v>2</v>
          </cell>
          <cell r="L14">
            <v>2</v>
          </cell>
          <cell r="O14"/>
        </row>
        <row r="15">
          <cell r="B15" t="str">
            <v>2/22</v>
          </cell>
          <cell r="I15">
            <v>4</v>
          </cell>
          <cell r="L15">
            <v>4</v>
          </cell>
          <cell r="O15">
            <v>1</v>
          </cell>
        </row>
        <row r="16">
          <cell r="B16">
            <v>12</v>
          </cell>
          <cell r="I16">
            <v>4</v>
          </cell>
          <cell r="L16">
            <v>2</v>
          </cell>
          <cell r="O16">
            <v>3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4</v>
          </cell>
        </row>
        <row r="18">
          <cell r="B18"/>
          <cell r="I18">
            <v>3</v>
          </cell>
          <cell r="L18">
            <v>4</v>
          </cell>
          <cell r="O18">
            <v>3</v>
          </cell>
        </row>
        <row r="19">
          <cell r="B19">
            <v>0</v>
          </cell>
          <cell r="I19">
            <v>4</v>
          </cell>
          <cell r="L19">
            <v>4</v>
          </cell>
          <cell r="O19">
            <v>1</v>
          </cell>
        </row>
        <row r="20">
          <cell r="B20"/>
          <cell r="I20">
            <v>4</v>
          </cell>
          <cell r="L20">
            <v>4</v>
          </cell>
          <cell r="O20">
            <v>4</v>
          </cell>
        </row>
        <row r="21">
          <cell r="B21"/>
          <cell r="I21">
            <v>4</v>
          </cell>
          <cell r="L21">
            <v>2</v>
          </cell>
          <cell r="O21">
            <v>4</v>
          </cell>
        </row>
        <row r="22">
          <cell r="B22"/>
          <cell r="I22">
            <v>4</v>
          </cell>
          <cell r="L22">
            <v>4</v>
          </cell>
          <cell r="O22">
            <v>4</v>
          </cell>
        </row>
        <row r="23">
          <cell r="I23">
            <v>4</v>
          </cell>
          <cell r="L23">
            <v>4</v>
          </cell>
          <cell r="O23">
            <v>2</v>
          </cell>
        </row>
        <row r="24">
          <cell r="I24">
            <v>1</v>
          </cell>
        </row>
        <row r="29">
          <cell r="B29">
            <v>0.66666666666666663</v>
          </cell>
          <cell r="C29">
            <v>0.66666666666666663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0.16666666666666666</v>
          </cell>
          <cell r="C31">
            <v>0.16666666666666666</v>
          </cell>
        </row>
        <row r="32">
          <cell r="B32">
            <v>0.5625</v>
          </cell>
          <cell r="C32">
            <v>0.54411764705882359</v>
          </cell>
        </row>
        <row r="33">
          <cell r="B33">
            <v>0.65873015873015872</v>
          </cell>
          <cell r="C33">
            <v>0.65873015873015872</v>
          </cell>
        </row>
        <row r="52">
          <cell r="B52">
            <v>0.63055555555555554</v>
          </cell>
          <cell r="C52">
            <v>0.77341269841269844</v>
          </cell>
        </row>
        <row r="53">
          <cell r="B53">
            <v>0.34074074074074073</v>
          </cell>
          <cell r="C53">
            <v>0.34074074074074073</v>
          </cell>
          <cell r="AU53">
            <v>0.5</v>
          </cell>
          <cell r="AV53">
            <v>0.5</v>
          </cell>
          <cell r="AX53">
            <v>0.5</v>
          </cell>
          <cell r="AY53">
            <v>0</v>
          </cell>
          <cell r="AZ53">
            <v>1</v>
          </cell>
          <cell r="BF53">
            <v>0.5</v>
          </cell>
        </row>
        <row r="54">
          <cell r="B54">
            <v>0</v>
          </cell>
          <cell r="C54">
            <v>0</v>
          </cell>
        </row>
        <row r="55">
          <cell r="B55">
            <v>0.56481481481481477</v>
          </cell>
          <cell r="C55">
            <v>0.43005952380952378</v>
          </cell>
        </row>
        <row r="56">
          <cell r="B56">
            <v>0.60079365079365077</v>
          </cell>
          <cell r="C56">
            <v>0.60079365079365077</v>
          </cell>
        </row>
        <row r="58">
          <cell r="C58">
            <v>1195</v>
          </cell>
        </row>
        <row r="59">
          <cell r="C59">
            <v>68</v>
          </cell>
        </row>
        <row r="60">
          <cell r="C60">
            <v>2.5</v>
          </cell>
        </row>
        <row r="61">
          <cell r="C61">
            <v>2</v>
          </cell>
        </row>
        <row r="62">
          <cell r="C62">
            <v>2.5</v>
          </cell>
        </row>
        <row r="63">
          <cell r="C63">
            <v>3</v>
          </cell>
        </row>
        <row r="74">
          <cell r="B74">
            <v>0.51818181818181819</v>
          </cell>
          <cell r="C74">
            <v>0.51818181818181819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0.21428571428571427</v>
          </cell>
          <cell r="C76">
            <v>0.21428571428571427</v>
          </cell>
        </row>
        <row r="77">
          <cell r="B77">
            <v>0</v>
          </cell>
          <cell r="C77">
            <v>0.11904761904761904</v>
          </cell>
        </row>
        <row r="78">
          <cell r="B78">
            <v>0.28769841269841273</v>
          </cell>
          <cell r="C78">
            <v>0.28769841269841273</v>
          </cell>
        </row>
        <row r="80">
          <cell r="C80">
            <v>1200</v>
          </cell>
        </row>
        <row r="81">
          <cell r="C81">
            <v>18.5</v>
          </cell>
        </row>
        <row r="82">
          <cell r="C82">
            <v>2.5</v>
          </cell>
        </row>
        <row r="83">
          <cell r="C83">
            <v>1.5</v>
          </cell>
        </row>
        <row r="84">
          <cell r="C84">
            <v>1.5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0.64583333333333326</v>
          </cell>
          <cell r="C96">
            <v>0.64583333333333326</v>
          </cell>
        </row>
        <row r="97">
          <cell r="B97">
            <v>0.34074074074074073</v>
          </cell>
          <cell r="C97">
            <v>0.34074074074074073</v>
          </cell>
          <cell r="AR97">
            <v>1</v>
          </cell>
          <cell r="AS97">
            <v>1</v>
          </cell>
          <cell r="AZ97">
            <v>0.5</v>
          </cell>
          <cell r="BB97">
            <v>0</v>
          </cell>
        </row>
        <row r="98">
          <cell r="B98">
            <v>0</v>
          </cell>
          <cell r="C98">
            <v>0</v>
          </cell>
        </row>
        <row r="99">
          <cell r="B99">
            <v>0.58333333333333337</v>
          </cell>
          <cell r="C99">
            <v>0.28787878787878785</v>
          </cell>
        </row>
        <row r="100">
          <cell r="B100">
            <v>0.79007936507936505</v>
          </cell>
          <cell r="C100">
            <v>0.79007936507936505</v>
          </cell>
        </row>
        <row r="102">
          <cell r="C102">
            <v>1065</v>
          </cell>
        </row>
        <row r="103">
          <cell r="C103">
            <v>61.5</v>
          </cell>
        </row>
        <row r="104">
          <cell r="C104">
            <v>2.5</v>
          </cell>
        </row>
        <row r="105">
          <cell r="C105">
            <v>3</v>
          </cell>
        </row>
        <row r="106">
          <cell r="C106">
            <v>3</v>
          </cell>
        </row>
        <row r="107">
          <cell r="C107">
            <v>3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M_024</v>
          </cell>
          <cell r="C2" t="str">
            <v>D only</v>
          </cell>
          <cell r="D2">
            <v>1</v>
          </cell>
          <cell r="E2" t="str">
            <v>A</v>
          </cell>
          <cell r="F2">
            <v>45006</v>
          </cell>
        </row>
        <row r="3">
          <cell r="D3" t="str">
            <v>9/20/2022</v>
          </cell>
        </row>
        <row r="5">
          <cell r="D5">
            <v>0.1674107142857143</v>
          </cell>
          <cell r="E5">
            <v>0.17935924369747902</v>
          </cell>
        </row>
        <row r="6">
          <cell r="D6">
            <v>0.40693993506493503</v>
          </cell>
          <cell r="E6">
            <v>0.42405303030303027</v>
          </cell>
        </row>
        <row r="7">
          <cell r="D7">
            <v>0.2605291005291005</v>
          </cell>
          <cell r="E7">
            <v>0.24148148148148149</v>
          </cell>
        </row>
        <row r="8">
          <cell r="D8">
            <v>0.44566798941798941</v>
          </cell>
          <cell r="E8">
            <v>0.38358285233285228</v>
          </cell>
        </row>
        <row r="9">
          <cell r="D9">
            <v>0.32013693482443484</v>
          </cell>
          <cell r="E9">
            <v>0.30711915195371076</v>
          </cell>
        </row>
        <row r="12">
          <cell r="B12">
            <v>23</v>
          </cell>
        </row>
        <row r="13">
          <cell r="B13">
            <v>1</v>
          </cell>
          <cell r="I13">
            <v>5</v>
          </cell>
          <cell r="L13">
            <v>5</v>
          </cell>
          <cell r="O13">
            <v>5</v>
          </cell>
        </row>
        <row r="14">
          <cell r="B14" t="str">
            <v>7/21</v>
          </cell>
          <cell r="I14">
            <v>4</v>
          </cell>
          <cell r="L14">
            <v>4</v>
          </cell>
          <cell r="O14">
            <v>2</v>
          </cell>
        </row>
        <row r="15">
          <cell r="B15" t="str">
            <v>10/21</v>
          </cell>
          <cell r="I15">
            <v>4</v>
          </cell>
          <cell r="L15">
            <v>3</v>
          </cell>
          <cell r="O15">
            <v>2</v>
          </cell>
        </row>
        <row r="16">
          <cell r="B16">
            <v>12</v>
          </cell>
          <cell r="I16">
            <v>4</v>
          </cell>
          <cell r="L16">
            <v>4</v>
          </cell>
          <cell r="O16">
            <v>2</v>
          </cell>
        </row>
        <row r="17">
          <cell r="B17">
            <v>1</v>
          </cell>
          <cell r="I17">
            <v>4</v>
          </cell>
          <cell r="L17">
            <v>4</v>
          </cell>
          <cell r="O17">
            <v>2</v>
          </cell>
        </row>
        <row r="18">
          <cell r="B18">
            <v>3</v>
          </cell>
          <cell r="I18">
            <v>4</v>
          </cell>
          <cell r="L18">
            <v>4</v>
          </cell>
          <cell r="O18">
            <v>2</v>
          </cell>
        </row>
        <row r="19">
          <cell r="B19">
            <v>1</v>
          </cell>
          <cell r="I19">
            <v>5</v>
          </cell>
          <cell r="L19">
            <v>5</v>
          </cell>
          <cell r="O19">
            <v>1</v>
          </cell>
        </row>
        <row r="20">
          <cell r="B20">
            <v>1</v>
          </cell>
          <cell r="I20">
            <v>4</v>
          </cell>
          <cell r="L20">
            <v>4</v>
          </cell>
          <cell r="O20">
            <v>3</v>
          </cell>
        </row>
        <row r="21">
          <cell r="B21">
            <v>0</v>
          </cell>
          <cell r="I21">
            <v>4</v>
          </cell>
          <cell r="L21"/>
          <cell r="O21">
            <v>3</v>
          </cell>
        </row>
        <row r="22">
          <cell r="B22"/>
          <cell r="I22">
            <v>4</v>
          </cell>
          <cell r="L22">
            <v>4</v>
          </cell>
          <cell r="O22">
            <v>2</v>
          </cell>
        </row>
        <row r="23">
          <cell r="I23">
            <v>5</v>
          </cell>
          <cell r="L23">
            <v>5</v>
          </cell>
          <cell r="O23">
            <v>2</v>
          </cell>
        </row>
        <row r="24">
          <cell r="I24">
            <v>0</v>
          </cell>
        </row>
        <row r="29">
          <cell r="B29">
            <v>0</v>
          </cell>
          <cell r="C29">
            <v>0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</v>
          </cell>
          <cell r="C31">
            <v>0</v>
          </cell>
        </row>
        <row r="32">
          <cell r="B32">
            <v>0.1875</v>
          </cell>
          <cell r="C32">
            <v>0.23529411764705882</v>
          </cell>
        </row>
        <row r="33">
          <cell r="B33">
            <v>0.48214285714285721</v>
          </cell>
          <cell r="C33">
            <v>0.48214285714285721</v>
          </cell>
        </row>
        <row r="52">
          <cell r="B52">
            <v>0</v>
          </cell>
          <cell r="C52">
            <v>0</v>
          </cell>
        </row>
        <row r="53">
          <cell r="B53">
            <v>0.30740740740740741</v>
          </cell>
          <cell r="C53">
            <v>0.30740740740740741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</v>
          </cell>
          <cell r="C54">
            <v>0</v>
          </cell>
        </row>
        <row r="55">
          <cell r="B55">
            <v>0.41666666666666669</v>
          </cell>
          <cell r="C55">
            <v>0.32142857142857145</v>
          </cell>
        </row>
        <row r="56">
          <cell r="B56">
            <v>0.57857142857142863</v>
          </cell>
          <cell r="C56">
            <v>0.57857142857142863</v>
          </cell>
        </row>
        <row r="58">
          <cell r="C58">
            <v>207</v>
          </cell>
        </row>
        <row r="59">
          <cell r="C59">
            <v>12.5</v>
          </cell>
        </row>
        <row r="60">
          <cell r="C60">
            <v>2</v>
          </cell>
        </row>
        <row r="61">
          <cell r="C61">
            <v>1</v>
          </cell>
        </row>
        <row r="62">
          <cell r="C62">
            <v>2</v>
          </cell>
        </row>
        <row r="63">
          <cell r="C63">
            <v>1</v>
          </cell>
        </row>
        <row r="74">
          <cell r="B74">
            <v>0.65454545454545454</v>
          </cell>
          <cell r="C74">
            <v>0.65454545454545454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7.1428571428571425E-2</v>
          </cell>
          <cell r="C76">
            <v>7.1428571428571425E-2</v>
          </cell>
        </row>
        <row r="77">
          <cell r="B77">
            <v>0.39583333333333331</v>
          </cell>
          <cell r="C77">
            <v>0.46428571428571425</v>
          </cell>
        </row>
        <row r="78">
          <cell r="B78">
            <v>0.50595238095238093</v>
          </cell>
          <cell r="C78">
            <v>0.50595238095238093</v>
          </cell>
        </row>
        <row r="80">
          <cell r="C80">
            <v>735</v>
          </cell>
        </row>
        <row r="81">
          <cell r="C81">
            <v>20</v>
          </cell>
        </row>
        <row r="82">
          <cell r="C82">
            <v>2</v>
          </cell>
        </row>
        <row r="83">
          <cell r="C83">
            <v>1.5</v>
          </cell>
        </row>
        <row r="84">
          <cell r="C84">
            <v>2</v>
          </cell>
        </row>
        <row r="85">
          <cell r="C85">
            <v>1.5</v>
          </cell>
        </row>
        <row r="89">
          <cell r="C89">
            <v>0</v>
          </cell>
        </row>
        <row r="96">
          <cell r="B96">
            <v>0.65625</v>
          </cell>
          <cell r="C96">
            <v>0.65625</v>
          </cell>
        </row>
        <row r="97">
          <cell r="B97">
            <v>0.30740740740740741</v>
          </cell>
          <cell r="C97">
            <v>0.30740740740740741</v>
          </cell>
          <cell r="AR97">
            <v>0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</v>
          </cell>
          <cell r="C98">
            <v>0</v>
          </cell>
        </row>
        <row r="99">
          <cell r="B99">
            <v>0.65277777777777768</v>
          </cell>
          <cell r="C99">
            <v>0.34235209235209235</v>
          </cell>
        </row>
        <row r="100">
          <cell r="B100">
            <v>0.61190476190476184</v>
          </cell>
          <cell r="C100">
            <v>0.61190476190476184</v>
          </cell>
        </row>
        <row r="102">
          <cell r="C102">
            <v>302</v>
          </cell>
        </row>
        <row r="103">
          <cell r="C103">
            <v>20</v>
          </cell>
        </row>
        <row r="104">
          <cell r="C104">
            <v>2</v>
          </cell>
        </row>
        <row r="105">
          <cell r="C105">
            <v>2</v>
          </cell>
        </row>
        <row r="106">
          <cell r="C106">
            <v>2</v>
          </cell>
        </row>
        <row r="107">
          <cell r="C107">
            <v>2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M_028</v>
          </cell>
          <cell r="C2" t="str">
            <v>D+M</v>
          </cell>
          <cell r="D2">
            <v>1</v>
          </cell>
          <cell r="E2" t="str">
            <v>A</v>
          </cell>
          <cell r="F2">
            <v>44992</v>
          </cell>
        </row>
        <row r="3">
          <cell r="D3" t="str">
            <v>9/20/2022</v>
          </cell>
        </row>
        <row r="5">
          <cell r="D5">
            <v>0.64112103174603174</v>
          </cell>
          <cell r="E5">
            <v>0.62345354808590103</v>
          </cell>
        </row>
        <row r="6">
          <cell r="D6">
            <v>0.76730699855699847</v>
          </cell>
          <cell r="E6">
            <v>0.74349747474747474</v>
          </cell>
        </row>
        <row r="7">
          <cell r="D7">
            <v>0.44394179894179897</v>
          </cell>
          <cell r="E7">
            <v>0.43583994708994711</v>
          </cell>
        </row>
        <row r="8">
          <cell r="D8">
            <v>0.7714550264550265</v>
          </cell>
          <cell r="E8">
            <v>0.69223424723424731</v>
          </cell>
        </row>
        <row r="9">
          <cell r="D9">
            <v>0.65595621392496395</v>
          </cell>
          <cell r="E9">
            <v>0.62375630428939255</v>
          </cell>
        </row>
        <row r="12">
          <cell r="B12">
            <v>21</v>
          </cell>
        </row>
        <row r="13">
          <cell r="B13">
            <v>2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5/20</v>
          </cell>
          <cell r="I14">
            <v>4</v>
          </cell>
          <cell r="L14">
            <v>4</v>
          </cell>
          <cell r="O14">
            <v>3</v>
          </cell>
        </row>
        <row r="15">
          <cell r="B15" t="str">
            <v>9/20</v>
          </cell>
          <cell r="I15">
            <v>4</v>
          </cell>
          <cell r="L15">
            <v>4</v>
          </cell>
          <cell r="O15">
            <v>2</v>
          </cell>
        </row>
        <row r="16">
          <cell r="B16">
            <v>24</v>
          </cell>
          <cell r="I16">
            <v>3</v>
          </cell>
          <cell r="L16">
            <v>3</v>
          </cell>
          <cell r="O16">
            <v>2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5</v>
          </cell>
        </row>
        <row r="18">
          <cell r="B18"/>
          <cell r="I18">
            <v>4</v>
          </cell>
          <cell r="L18">
            <v>4</v>
          </cell>
          <cell r="O18">
            <v>2</v>
          </cell>
        </row>
        <row r="19">
          <cell r="B19">
            <v>1</v>
          </cell>
          <cell r="I19">
            <v>5</v>
          </cell>
          <cell r="L19">
            <v>4</v>
          </cell>
          <cell r="O19">
            <v>3</v>
          </cell>
        </row>
        <row r="20">
          <cell r="B20">
            <v>1</v>
          </cell>
          <cell r="I20">
            <v>3</v>
          </cell>
          <cell r="L20">
            <v>3</v>
          </cell>
          <cell r="O20">
            <v>3</v>
          </cell>
        </row>
        <row r="21">
          <cell r="B21">
            <v>0</v>
          </cell>
          <cell r="I21">
            <v>3</v>
          </cell>
          <cell r="L21">
            <v>3</v>
          </cell>
          <cell r="O21">
            <v>2</v>
          </cell>
        </row>
        <row r="22">
          <cell r="B22"/>
          <cell r="I22">
            <v>4</v>
          </cell>
          <cell r="L22">
            <v>4</v>
          </cell>
          <cell r="O22">
            <v>3</v>
          </cell>
        </row>
        <row r="23">
          <cell r="I23">
            <v>4</v>
          </cell>
          <cell r="L23">
            <v>4</v>
          </cell>
          <cell r="O23">
            <v>4</v>
          </cell>
        </row>
        <row r="24">
          <cell r="I24">
            <v>0</v>
          </cell>
        </row>
        <row r="29">
          <cell r="B29">
            <v>0.41666666666666669</v>
          </cell>
          <cell r="C29">
            <v>0.41666666666666669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0.83333333333333326</v>
          </cell>
          <cell r="C31">
            <v>0.83333333333333326</v>
          </cell>
        </row>
        <row r="32">
          <cell r="B32">
            <v>0.5625</v>
          </cell>
          <cell r="C32">
            <v>0.49183006535947715</v>
          </cell>
        </row>
        <row r="33">
          <cell r="B33">
            <v>0.75198412698412687</v>
          </cell>
          <cell r="C33">
            <v>0.75198412698412687</v>
          </cell>
        </row>
        <row r="52">
          <cell r="B52">
            <v>0.75</v>
          </cell>
          <cell r="C52">
            <v>0.75</v>
          </cell>
        </row>
        <row r="53">
          <cell r="B53">
            <v>0.53703703703703709</v>
          </cell>
          <cell r="C53">
            <v>0.53703703703703709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</v>
          </cell>
          <cell r="C54">
            <v>0</v>
          </cell>
        </row>
        <row r="55">
          <cell r="B55">
            <v>0.17592592592592593</v>
          </cell>
          <cell r="C55">
            <v>0.13541666666666666</v>
          </cell>
        </row>
        <row r="56">
          <cell r="B56">
            <v>0.75674603174603172</v>
          </cell>
          <cell r="C56">
            <v>0.75674603174603172</v>
          </cell>
        </row>
        <row r="58">
          <cell r="C58">
            <v>1200</v>
          </cell>
        </row>
        <row r="59">
          <cell r="C59">
            <v>30</v>
          </cell>
        </row>
        <row r="60">
          <cell r="C60">
            <v>4</v>
          </cell>
        </row>
        <row r="61">
          <cell r="C61">
            <v>3</v>
          </cell>
        </row>
        <row r="62">
          <cell r="C62">
            <v>3</v>
          </cell>
        </row>
        <row r="63">
          <cell r="C63">
            <v>1</v>
          </cell>
        </row>
        <row r="74">
          <cell r="B74">
            <v>0.65454545454545454</v>
          </cell>
          <cell r="C74">
            <v>0.65454545454545454</v>
          </cell>
        </row>
        <row r="75">
          <cell r="B75" t="str">
            <v>n/a</v>
          </cell>
          <cell r="C75" t="str">
            <v>n/a</v>
          </cell>
          <cell r="AB75">
            <v>1</v>
          </cell>
          <cell r="AD75">
            <v>1</v>
          </cell>
          <cell r="AF75">
            <v>0</v>
          </cell>
        </row>
        <row r="76">
          <cell r="B76">
            <v>0.7142857142857143</v>
          </cell>
          <cell r="C76">
            <v>0.7142857142857143</v>
          </cell>
        </row>
        <row r="77">
          <cell r="B77">
            <v>0.83333333333333326</v>
          </cell>
          <cell r="C77">
            <v>0.73809523809523814</v>
          </cell>
        </row>
        <row r="78">
          <cell r="B78">
            <v>0.86706349206349209</v>
          </cell>
          <cell r="C78">
            <v>0.86706349206349209</v>
          </cell>
        </row>
        <row r="80">
          <cell r="C80">
            <v>1200</v>
          </cell>
        </row>
        <row r="81">
          <cell r="C81">
            <v>57</v>
          </cell>
        </row>
        <row r="82">
          <cell r="C82">
            <v>3</v>
          </cell>
        </row>
        <row r="83">
          <cell r="C83">
            <v>4</v>
          </cell>
        </row>
        <row r="84">
          <cell r="C84">
            <v>3</v>
          </cell>
        </row>
        <row r="85">
          <cell r="C85">
            <v>3</v>
          </cell>
        </row>
        <row r="89">
          <cell r="C89">
            <v>1</v>
          </cell>
        </row>
        <row r="96">
          <cell r="B96">
            <v>0.75</v>
          </cell>
          <cell r="C96">
            <v>0.75</v>
          </cell>
        </row>
        <row r="97">
          <cell r="B97">
            <v>0.53703703703703709</v>
          </cell>
          <cell r="C97">
            <v>0.53703703703703709</v>
          </cell>
          <cell r="AR97">
            <v>0</v>
          </cell>
          <cell r="AS97">
            <v>0</v>
          </cell>
          <cell r="AZ97">
            <v>0.5</v>
          </cell>
          <cell r="BB97">
            <v>0.5</v>
          </cell>
        </row>
        <row r="98">
          <cell r="B98">
            <v>1</v>
          </cell>
          <cell r="C98">
            <v>1</v>
          </cell>
        </row>
        <row r="99">
          <cell r="B99">
            <v>0.88888888888888884</v>
          </cell>
          <cell r="C99">
            <v>0.49278499278499277</v>
          </cell>
        </row>
        <row r="100">
          <cell r="B100">
            <v>0.68134920634920648</v>
          </cell>
          <cell r="C100">
            <v>0.68134920634920648</v>
          </cell>
        </row>
        <row r="102">
          <cell r="C102">
            <v>1200</v>
          </cell>
        </row>
        <row r="103">
          <cell r="C103">
            <v>35</v>
          </cell>
        </row>
        <row r="104">
          <cell r="C104">
            <v>4</v>
          </cell>
        </row>
        <row r="105">
          <cell r="C105">
            <v>2</v>
          </cell>
        </row>
        <row r="106">
          <cell r="C106">
            <v>2</v>
          </cell>
        </row>
        <row r="107">
          <cell r="C107">
            <v>2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M_029</v>
          </cell>
          <cell r="C2" t="str">
            <v>D+M</v>
          </cell>
          <cell r="D2">
            <v>1</v>
          </cell>
          <cell r="E2" t="str">
            <v>B</v>
          </cell>
          <cell r="F2">
            <v>44964</v>
          </cell>
        </row>
        <row r="3">
          <cell r="D3" t="str">
            <v>9/20/2022</v>
          </cell>
        </row>
        <row r="5">
          <cell r="D5">
            <v>0.60094246031746035</v>
          </cell>
          <cell r="E5">
            <v>0.61289098972922507</v>
          </cell>
        </row>
        <row r="6">
          <cell r="D6">
            <v>0.35799062049062047</v>
          </cell>
          <cell r="E6">
            <v>0.36245490620490622</v>
          </cell>
        </row>
        <row r="7">
          <cell r="D7">
            <v>0.50481481481481483</v>
          </cell>
          <cell r="E7">
            <v>0.49509259259259258</v>
          </cell>
        </row>
        <row r="8">
          <cell r="D8">
            <v>0.55501322751322746</v>
          </cell>
          <cell r="E8">
            <v>0.48697570947570945</v>
          </cell>
        </row>
        <row r="9">
          <cell r="D9">
            <v>0.50469028078403078</v>
          </cell>
          <cell r="E9">
            <v>0.48935354950060833</v>
          </cell>
        </row>
        <row r="12">
          <cell r="B12">
            <v>20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3</v>
          </cell>
        </row>
        <row r="14">
          <cell r="B14" t="str">
            <v>7/21</v>
          </cell>
          <cell r="I14">
            <v>4</v>
          </cell>
          <cell r="L14">
            <v>4</v>
          </cell>
          <cell r="O14">
            <v>2</v>
          </cell>
        </row>
        <row r="15">
          <cell r="B15" t="str">
            <v>11/21</v>
          </cell>
          <cell r="I15">
            <v>4</v>
          </cell>
          <cell r="L15">
            <v>4</v>
          </cell>
          <cell r="O15">
            <v>2</v>
          </cell>
        </row>
        <row r="16">
          <cell r="B16">
            <v>10</v>
          </cell>
          <cell r="I16">
            <v>3</v>
          </cell>
          <cell r="L16">
            <v>2</v>
          </cell>
          <cell r="O16">
            <v>2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4</v>
          </cell>
        </row>
        <row r="18">
          <cell r="B18"/>
          <cell r="I18">
            <v>3</v>
          </cell>
          <cell r="L18">
            <v>2</v>
          </cell>
          <cell r="O18">
            <v>2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2</v>
          </cell>
        </row>
        <row r="20">
          <cell r="B20"/>
          <cell r="I20">
            <v>2</v>
          </cell>
          <cell r="L20">
            <v>2</v>
          </cell>
          <cell r="O20">
            <v>3</v>
          </cell>
        </row>
        <row r="21">
          <cell r="B21"/>
          <cell r="I21">
            <v>4</v>
          </cell>
          <cell r="L21">
            <v>4</v>
          </cell>
          <cell r="O21">
            <v>3</v>
          </cell>
        </row>
        <row r="22">
          <cell r="B22" t="str">
            <v>n/a</v>
          </cell>
          <cell r="I22">
            <v>3</v>
          </cell>
          <cell r="L22">
            <v>4</v>
          </cell>
          <cell r="O22">
            <v>2</v>
          </cell>
        </row>
        <row r="23">
          <cell r="I23">
            <v>4</v>
          </cell>
          <cell r="L23">
            <v>4</v>
          </cell>
          <cell r="O23">
            <v>2</v>
          </cell>
        </row>
        <row r="24">
          <cell r="I24">
            <v>0</v>
          </cell>
        </row>
        <row r="29">
          <cell r="B29">
            <v>0.83333333333333337</v>
          </cell>
          <cell r="C29">
            <v>0.83333333333333337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0.41666666666666663</v>
          </cell>
          <cell r="C31">
            <v>0.41666666666666663</v>
          </cell>
        </row>
        <row r="32">
          <cell r="B32">
            <v>0.5625</v>
          </cell>
          <cell r="C32">
            <v>0.61029411764705888</v>
          </cell>
        </row>
        <row r="33">
          <cell r="B33">
            <v>0.59126984126984128</v>
          </cell>
          <cell r="C33">
            <v>0.59126984126984128</v>
          </cell>
        </row>
        <row r="52">
          <cell r="B52">
            <v>0.68055555555555558</v>
          </cell>
          <cell r="C52">
            <v>0.68055555555555558</v>
          </cell>
        </row>
        <row r="53">
          <cell r="B53">
            <v>0.37407407407407406</v>
          </cell>
          <cell r="C53">
            <v>0.37407407407407406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0.31944444444444442</v>
          </cell>
          <cell r="C55">
            <v>0.27083333333333331</v>
          </cell>
        </row>
        <row r="56">
          <cell r="B56">
            <v>0.65</v>
          </cell>
          <cell r="C56">
            <v>0.65</v>
          </cell>
        </row>
        <row r="58">
          <cell r="C58">
            <v>1200</v>
          </cell>
        </row>
        <row r="59">
          <cell r="C59">
            <v>25</v>
          </cell>
        </row>
        <row r="60">
          <cell r="C60">
            <v>2</v>
          </cell>
        </row>
        <row r="61">
          <cell r="C61">
            <v>2</v>
          </cell>
        </row>
        <row r="62">
          <cell r="C62">
            <v>4</v>
          </cell>
        </row>
        <row r="63">
          <cell r="C63">
            <v>1.5</v>
          </cell>
        </row>
        <row r="74">
          <cell r="B74">
            <v>0.49545454545454548</v>
          </cell>
          <cell r="C74">
            <v>0.49545454545454548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3.5714285714285712E-2</v>
          </cell>
          <cell r="C76">
            <v>3.5714285714285712E-2</v>
          </cell>
        </row>
        <row r="77">
          <cell r="B77">
            <v>0.45833333333333331</v>
          </cell>
          <cell r="C77">
            <v>0.47619047619047616</v>
          </cell>
        </row>
        <row r="78">
          <cell r="B78">
            <v>0.4424603174603175</v>
          </cell>
          <cell r="C78">
            <v>0.4424603174603175</v>
          </cell>
        </row>
        <row r="80">
          <cell r="C80">
            <v>1200</v>
          </cell>
        </row>
        <row r="81">
          <cell r="C81">
            <v>15</v>
          </cell>
        </row>
        <row r="82">
          <cell r="C82">
            <v>2</v>
          </cell>
        </row>
        <row r="83">
          <cell r="C83">
            <v>1.5</v>
          </cell>
        </row>
        <row r="84">
          <cell r="C84">
            <v>3</v>
          </cell>
        </row>
        <row r="85">
          <cell r="C85">
            <v>1.5</v>
          </cell>
        </row>
        <row r="89">
          <cell r="C89">
            <v>0</v>
          </cell>
        </row>
        <row r="96">
          <cell r="B96">
            <v>0.6875</v>
          </cell>
          <cell r="C96">
            <v>0.6875</v>
          </cell>
        </row>
        <row r="97">
          <cell r="B97">
            <v>0.37407407407407406</v>
          </cell>
          <cell r="C97">
            <v>0.37407407407407406</v>
          </cell>
          <cell r="AR97">
            <v>0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0.69444444444444431</v>
          </cell>
          <cell r="C99">
            <v>0.35425685425685427</v>
          </cell>
        </row>
        <row r="100">
          <cell r="B100">
            <v>0.51904761904761909</v>
          </cell>
          <cell r="C100">
            <v>0.51904761904761909</v>
          </cell>
        </row>
        <row r="102">
          <cell r="C102">
            <v>1200</v>
          </cell>
        </row>
        <row r="103">
          <cell r="C103">
            <v>20</v>
          </cell>
        </row>
        <row r="104">
          <cell r="C104">
            <v>2</v>
          </cell>
        </row>
        <row r="105">
          <cell r="C105">
            <v>2</v>
          </cell>
        </row>
        <row r="106">
          <cell r="C106">
            <v>3</v>
          </cell>
        </row>
        <row r="107">
          <cell r="C107">
            <v>2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M_030</v>
          </cell>
          <cell r="C2" t="str">
            <v>D+M</v>
          </cell>
          <cell r="D2">
            <v>1</v>
          </cell>
          <cell r="E2" t="str">
            <v>B</v>
          </cell>
          <cell r="F2">
            <v>44939</v>
          </cell>
        </row>
        <row r="3">
          <cell r="D3" t="str">
            <v>9/20/2022</v>
          </cell>
        </row>
        <row r="5">
          <cell r="D5">
            <v>0.51388888888888884</v>
          </cell>
          <cell r="E5">
            <v>0.51756535947712412</v>
          </cell>
        </row>
        <row r="6">
          <cell r="D6">
            <v>0.58947961760461753</v>
          </cell>
          <cell r="E6">
            <v>0.5812950937950937</v>
          </cell>
        </row>
        <row r="7">
          <cell r="D7">
            <v>0.47092592592592586</v>
          </cell>
          <cell r="E7">
            <v>0.47138888888888886</v>
          </cell>
        </row>
        <row r="8">
          <cell r="D8">
            <v>0.54658730158730162</v>
          </cell>
          <cell r="E8">
            <v>0.50933452168746285</v>
          </cell>
        </row>
        <row r="9">
          <cell r="D9">
            <v>0.53022043350168346</v>
          </cell>
          <cell r="E9">
            <v>0.51989596596214238</v>
          </cell>
        </row>
        <row r="12">
          <cell r="B12">
            <v>19</v>
          </cell>
        </row>
        <row r="13">
          <cell r="B13">
            <v>1</v>
          </cell>
          <cell r="I13">
            <v>5</v>
          </cell>
          <cell r="L13">
            <v>5</v>
          </cell>
          <cell r="O13">
            <v>3</v>
          </cell>
        </row>
        <row r="14">
          <cell r="B14" t="str">
            <v>2/22</v>
          </cell>
          <cell r="I14">
            <v>5</v>
          </cell>
          <cell r="L14">
            <v>3</v>
          </cell>
          <cell r="O14">
            <v>2</v>
          </cell>
        </row>
        <row r="15">
          <cell r="B15" t="str">
            <v>6/22</v>
          </cell>
          <cell r="I15">
            <v>4</v>
          </cell>
          <cell r="L15">
            <v>3</v>
          </cell>
          <cell r="O15">
            <v>2</v>
          </cell>
        </row>
        <row r="16">
          <cell r="B16">
            <v>2</v>
          </cell>
          <cell r="I16">
            <v>4</v>
          </cell>
          <cell r="L16">
            <v>3</v>
          </cell>
          <cell r="O16">
            <v>2</v>
          </cell>
        </row>
        <row r="17">
          <cell r="B17">
            <v>0</v>
          </cell>
          <cell r="I17">
            <v>4</v>
          </cell>
          <cell r="L17">
            <v>3</v>
          </cell>
          <cell r="O17">
            <v>2</v>
          </cell>
        </row>
        <row r="18">
          <cell r="B18"/>
          <cell r="I18">
            <v>4</v>
          </cell>
          <cell r="L18">
            <v>2</v>
          </cell>
          <cell r="O18">
            <v>2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2</v>
          </cell>
        </row>
        <row r="20">
          <cell r="B20"/>
          <cell r="I20">
            <v>3</v>
          </cell>
          <cell r="L20">
            <v>2</v>
          </cell>
          <cell r="O20">
            <v>2</v>
          </cell>
        </row>
        <row r="21">
          <cell r="B21"/>
          <cell r="I21">
            <v>4</v>
          </cell>
          <cell r="L21">
            <v>3</v>
          </cell>
          <cell r="O21">
            <v>2</v>
          </cell>
        </row>
        <row r="22">
          <cell r="B22"/>
          <cell r="I22">
            <v>3</v>
          </cell>
          <cell r="L22">
            <v>1</v>
          </cell>
          <cell r="O22">
            <v>2</v>
          </cell>
        </row>
        <row r="23">
          <cell r="I23">
            <v>5</v>
          </cell>
          <cell r="L23">
            <v>5</v>
          </cell>
          <cell r="O23">
            <v>2</v>
          </cell>
        </row>
        <row r="24">
          <cell r="I24">
            <v>2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0.58333333333333326</v>
          </cell>
          <cell r="C31">
            <v>0.58333333333333326</v>
          </cell>
        </row>
        <row r="32">
          <cell r="B32">
            <v>0.5</v>
          </cell>
          <cell r="C32">
            <v>0.51470588235294112</v>
          </cell>
        </row>
        <row r="33">
          <cell r="B33">
            <v>0.58333333333333337</v>
          </cell>
          <cell r="C33">
            <v>0.58333333333333337</v>
          </cell>
        </row>
        <row r="52">
          <cell r="B52">
            <v>0.625</v>
          </cell>
          <cell r="C52">
            <v>0.70833333333333326</v>
          </cell>
        </row>
        <row r="53">
          <cell r="B53">
            <v>0.44444444444444442</v>
          </cell>
          <cell r="C53">
            <v>0.44444444444444442</v>
          </cell>
          <cell r="AU53">
            <v>1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0.5</v>
          </cell>
        </row>
        <row r="54">
          <cell r="B54">
            <v>0</v>
          </cell>
          <cell r="C54">
            <v>0</v>
          </cell>
        </row>
        <row r="55">
          <cell r="B55">
            <v>0.60185185185185186</v>
          </cell>
          <cell r="C55">
            <v>0.52083333333333337</v>
          </cell>
        </row>
        <row r="56">
          <cell r="B56">
            <v>0.68333333333333324</v>
          </cell>
          <cell r="C56">
            <v>0.68333333333333324</v>
          </cell>
        </row>
        <row r="58">
          <cell r="C58" t="str">
            <v>n/a</v>
          </cell>
        </row>
        <row r="59">
          <cell r="C59">
            <v>32.5</v>
          </cell>
        </row>
        <row r="60">
          <cell r="C60">
            <v>2.5</v>
          </cell>
        </row>
        <row r="61">
          <cell r="C61">
            <v>2.5</v>
          </cell>
        </row>
        <row r="62">
          <cell r="C62">
            <v>3</v>
          </cell>
        </row>
        <row r="63">
          <cell r="C63">
            <v>1.5</v>
          </cell>
        </row>
        <row r="74">
          <cell r="B74">
            <v>0.65454545454545454</v>
          </cell>
          <cell r="C74">
            <v>0.65454545454545454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0.5</v>
          </cell>
          <cell r="C76">
            <v>0.5</v>
          </cell>
        </row>
        <row r="77">
          <cell r="B77">
            <v>0.52083333333333326</v>
          </cell>
          <cell r="C77">
            <v>0.48809523809523803</v>
          </cell>
        </row>
        <row r="78">
          <cell r="B78">
            <v>0.68253968253968245</v>
          </cell>
          <cell r="C78">
            <v>0.68253968253968245</v>
          </cell>
        </row>
        <row r="80">
          <cell r="C80">
            <v>1200</v>
          </cell>
        </row>
        <row r="81">
          <cell r="C81">
            <v>30</v>
          </cell>
        </row>
        <row r="82">
          <cell r="C82">
            <v>3</v>
          </cell>
        </row>
        <row r="83">
          <cell r="C83">
            <v>2.5</v>
          </cell>
        </row>
        <row r="84">
          <cell r="C84">
            <v>2.5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0.70833333333333326</v>
          </cell>
          <cell r="C96">
            <v>0.70833333333333326</v>
          </cell>
        </row>
        <row r="97">
          <cell r="B97">
            <v>0.44444444444444442</v>
          </cell>
          <cell r="C97">
            <v>0.44444444444444442</v>
          </cell>
          <cell r="AR97">
            <v>0</v>
          </cell>
          <cell r="AS97">
            <v>1</v>
          </cell>
          <cell r="AZ97">
            <v>0</v>
          </cell>
          <cell r="BB97">
            <v>0</v>
          </cell>
        </row>
        <row r="98">
          <cell r="B98">
            <v>0.25</v>
          </cell>
          <cell r="C98">
            <v>0.25</v>
          </cell>
        </row>
        <row r="99">
          <cell r="B99">
            <v>0.62499999999999989</v>
          </cell>
          <cell r="C99">
            <v>0.43873610050080636</v>
          </cell>
        </row>
        <row r="100">
          <cell r="B100">
            <v>0.70515873015873021</v>
          </cell>
          <cell r="C100">
            <v>0.70515873015873021</v>
          </cell>
        </row>
        <row r="102">
          <cell r="C102">
            <v>1200</v>
          </cell>
        </row>
        <row r="103">
          <cell r="C103">
            <v>32.5</v>
          </cell>
        </row>
        <row r="104">
          <cell r="C104">
            <v>2.5</v>
          </cell>
        </row>
        <row r="105">
          <cell r="C105">
            <v>2.5</v>
          </cell>
        </row>
        <row r="106">
          <cell r="C106">
            <v>2.5</v>
          </cell>
        </row>
        <row r="107">
          <cell r="C107">
            <v>2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M_031</v>
          </cell>
          <cell r="C2" t="str">
            <v>D only</v>
          </cell>
          <cell r="D2">
            <v>1</v>
          </cell>
          <cell r="E2" t="str">
            <v>A</v>
          </cell>
          <cell r="F2">
            <v>44939</v>
          </cell>
        </row>
        <row r="3">
          <cell r="D3" t="str">
            <v>9/20/2022</v>
          </cell>
        </row>
        <row r="5">
          <cell r="D5">
            <v>0.42224702380952378</v>
          </cell>
          <cell r="E5">
            <v>0.4466036414565826</v>
          </cell>
        </row>
        <row r="6">
          <cell r="D6">
            <v>0.46143578643578642</v>
          </cell>
          <cell r="E6">
            <v>0.45250721500721502</v>
          </cell>
        </row>
        <row r="7">
          <cell r="D7">
            <v>0.34380952380952379</v>
          </cell>
          <cell r="E7">
            <v>0.33246693121693116</v>
          </cell>
        </row>
        <row r="8">
          <cell r="D8">
            <v>0.56407407407407406</v>
          </cell>
          <cell r="E8">
            <v>0.48939874939874939</v>
          </cell>
        </row>
        <row r="9">
          <cell r="D9">
            <v>0.447891602032227</v>
          </cell>
          <cell r="E9">
            <v>0.43024413426986952</v>
          </cell>
        </row>
        <row r="12">
          <cell r="B12">
            <v>19</v>
          </cell>
        </row>
        <row r="13">
          <cell r="B13">
            <v>1</v>
          </cell>
          <cell r="I13">
            <v>4</v>
          </cell>
          <cell r="L13">
            <v>3</v>
          </cell>
          <cell r="O13">
            <v>4</v>
          </cell>
        </row>
        <row r="14">
          <cell r="B14" t="str">
            <v>9/21</v>
          </cell>
          <cell r="I14">
            <v>4</v>
          </cell>
          <cell r="L14">
            <v>4</v>
          </cell>
          <cell r="O14">
            <v>2</v>
          </cell>
        </row>
        <row r="15">
          <cell r="B15" t="str">
            <v>2/22</v>
          </cell>
          <cell r="I15">
            <v>4</v>
          </cell>
          <cell r="L15">
            <v>4</v>
          </cell>
          <cell r="O15">
            <v>3</v>
          </cell>
        </row>
        <row r="16">
          <cell r="B16">
            <v>24</v>
          </cell>
          <cell r="I16">
            <v>4</v>
          </cell>
          <cell r="L16">
            <v>4</v>
          </cell>
          <cell r="O16">
            <v>2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3</v>
          </cell>
        </row>
        <row r="18">
          <cell r="B18"/>
          <cell r="I18">
            <v>4</v>
          </cell>
          <cell r="L18">
            <v>3</v>
          </cell>
          <cell r="O18">
            <v>5</v>
          </cell>
        </row>
        <row r="19">
          <cell r="B19">
            <v>0</v>
          </cell>
          <cell r="I19">
            <v>5</v>
          </cell>
          <cell r="L19">
            <v>4</v>
          </cell>
          <cell r="O19">
            <v>1</v>
          </cell>
        </row>
        <row r="20">
          <cell r="B20"/>
          <cell r="I20">
            <v>4</v>
          </cell>
          <cell r="L20">
            <v>2</v>
          </cell>
          <cell r="O20">
            <v>3</v>
          </cell>
        </row>
        <row r="21">
          <cell r="B21"/>
          <cell r="I21">
            <v>3</v>
          </cell>
          <cell r="L21">
            <v>3</v>
          </cell>
          <cell r="O21">
            <v>2</v>
          </cell>
        </row>
        <row r="22">
          <cell r="B22"/>
          <cell r="I22">
            <v>4</v>
          </cell>
          <cell r="L22">
            <v>3</v>
          </cell>
          <cell r="O22">
            <v>3</v>
          </cell>
        </row>
        <row r="23">
          <cell r="I23">
            <v>4</v>
          </cell>
          <cell r="L23">
            <v>4</v>
          </cell>
          <cell r="O23">
            <v>3</v>
          </cell>
        </row>
        <row r="24">
          <cell r="I24">
            <v>1</v>
          </cell>
        </row>
        <row r="29">
          <cell r="B29">
            <v>0.66666666666666663</v>
          </cell>
          <cell r="C29">
            <v>0.66666666666666663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0.58333333333333326</v>
          </cell>
          <cell r="C31">
            <v>0.58333333333333326</v>
          </cell>
        </row>
        <row r="32">
          <cell r="B32">
            <v>9.375E-2</v>
          </cell>
          <cell r="C32">
            <v>0.19117647058823528</v>
          </cell>
        </row>
        <row r="33">
          <cell r="B33">
            <v>0.34523809523809518</v>
          </cell>
          <cell r="C33">
            <v>0.34523809523809518</v>
          </cell>
        </row>
        <row r="52">
          <cell r="B52">
            <v>0.21349206349206351</v>
          </cell>
          <cell r="C52">
            <v>0.21349206349206351</v>
          </cell>
        </row>
        <row r="53">
          <cell r="B53">
            <v>0.38148148148148148</v>
          </cell>
          <cell r="C53">
            <v>0.38148148148148148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0.29629629629629628</v>
          </cell>
          <cell r="C55">
            <v>0.23958333333333334</v>
          </cell>
        </row>
        <row r="56">
          <cell r="B56">
            <v>0.32777777777777778</v>
          </cell>
          <cell r="C56">
            <v>0.32777777777777778</v>
          </cell>
        </row>
        <row r="58">
          <cell r="C58">
            <v>1200</v>
          </cell>
        </row>
        <row r="59">
          <cell r="C59">
            <v>15</v>
          </cell>
        </row>
        <row r="60">
          <cell r="C60">
            <v>2.5</v>
          </cell>
        </row>
        <row r="61">
          <cell r="C61">
            <v>2</v>
          </cell>
        </row>
        <row r="62">
          <cell r="C62">
            <v>2</v>
          </cell>
        </row>
        <row r="63">
          <cell r="C63">
            <v>1.5</v>
          </cell>
        </row>
        <row r="74">
          <cell r="B74">
            <v>0.47272727272727272</v>
          </cell>
          <cell r="C74">
            <v>0.47272727272727272</v>
          </cell>
        </row>
        <row r="75">
          <cell r="B75" t="str">
            <v>n/a</v>
          </cell>
          <cell r="C75" t="str">
            <v>n/a</v>
          </cell>
          <cell r="AB75">
            <v>1</v>
          </cell>
          <cell r="AD75">
            <v>0</v>
          </cell>
          <cell r="AF75">
            <v>0</v>
          </cell>
        </row>
        <row r="76">
          <cell r="B76">
            <v>0.42857142857142855</v>
          </cell>
          <cell r="C76">
            <v>0.42857142857142855</v>
          </cell>
        </row>
        <row r="77">
          <cell r="B77">
            <v>0.58333333333333326</v>
          </cell>
          <cell r="C77">
            <v>0.54761904761904756</v>
          </cell>
        </row>
        <row r="78">
          <cell r="B78">
            <v>0.3611111111111111</v>
          </cell>
          <cell r="C78">
            <v>0.3611111111111111</v>
          </cell>
        </row>
        <row r="80">
          <cell r="C80">
            <v>1200</v>
          </cell>
        </row>
        <row r="81">
          <cell r="C81">
            <v>37.5</v>
          </cell>
        </row>
        <row r="82">
          <cell r="C82">
            <v>2.5</v>
          </cell>
        </row>
        <row r="83">
          <cell r="C83">
            <v>3.5</v>
          </cell>
        </row>
        <row r="84">
          <cell r="C84">
            <v>2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0.8</v>
          </cell>
          <cell r="C96">
            <v>0.8</v>
          </cell>
        </row>
        <row r="97">
          <cell r="B97">
            <v>0.38148148148148148</v>
          </cell>
          <cell r="C97">
            <v>0.38148148148148148</v>
          </cell>
          <cell r="AR97">
            <v>0</v>
          </cell>
          <cell r="AS97">
            <v>1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0.58333333333333337</v>
          </cell>
          <cell r="C99">
            <v>0.20995670995670992</v>
          </cell>
        </row>
        <row r="100">
          <cell r="B100">
            <v>0.55555555555555547</v>
          </cell>
          <cell r="C100">
            <v>0.55555555555555547</v>
          </cell>
        </row>
        <row r="102">
          <cell r="C102">
            <v>1094</v>
          </cell>
        </row>
        <row r="103">
          <cell r="C103">
            <v>42.5</v>
          </cell>
        </row>
        <row r="104">
          <cell r="C104">
            <v>2.5</v>
          </cell>
        </row>
        <row r="105">
          <cell r="C105">
            <v>2</v>
          </cell>
        </row>
        <row r="106">
          <cell r="C106">
            <v>2.5</v>
          </cell>
        </row>
        <row r="107">
          <cell r="C107">
            <v>3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M_032</v>
          </cell>
          <cell r="C2" t="str">
            <v>D+M</v>
          </cell>
          <cell r="D2">
            <v>2</v>
          </cell>
          <cell r="E2" t="str">
            <v>A</v>
          </cell>
          <cell r="F2">
            <v>45086</v>
          </cell>
        </row>
        <row r="3">
          <cell r="D3">
            <v>45013</v>
          </cell>
        </row>
        <row r="5">
          <cell r="D5">
            <v>0.625</v>
          </cell>
          <cell r="E5">
            <v>0.625</v>
          </cell>
        </row>
        <row r="6">
          <cell r="D6">
            <v>0.7270833333333333</v>
          </cell>
          <cell r="E6">
            <v>0.67946428571428574</v>
          </cell>
        </row>
        <row r="7">
          <cell r="D7">
            <v>0.60431216931216925</v>
          </cell>
          <cell r="E7">
            <v>0.59829365079365071</v>
          </cell>
        </row>
        <row r="8">
          <cell r="D8">
            <v>0.73476190476190473</v>
          </cell>
          <cell r="E8">
            <v>0.71423733129615485</v>
          </cell>
        </row>
        <row r="9">
          <cell r="D9">
            <v>0.67278935185185185</v>
          </cell>
          <cell r="E9">
            <v>0.65424881695102288</v>
          </cell>
        </row>
        <row r="12">
          <cell r="B12">
            <v>22</v>
          </cell>
        </row>
        <row r="13">
          <cell r="B13">
            <v>2</v>
          </cell>
          <cell r="I13">
            <v>5</v>
          </cell>
          <cell r="L13">
            <v>5</v>
          </cell>
          <cell r="O13"/>
        </row>
        <row r="14">
          <cell r="B14" t="str">
            <v>2/21</v>
          </cell>
          <cell r="I14">
            <v>4</v>
          </cell>
          <cell r="L14">
            <v>4</v>
          </cell>
          <cell r="O14"/>
        </row>
        <row r="15">
          <cell r="B15" t="str">
            <v>6/21</v>
          </cell>
          <cell r="I15">
            <v>4</v>
          </cell>
          <cell r="L15">
            <v>4</v>
          </cell>
          <cell r="O15"/>
        </row>
        <row r="16">
          <cell r="B16">
            <v>24</v>
          </cell>
          <cell r="I16">
            <v>3</v>
          </cell>
          <cell r="L16">
            <v>3</v>
          </cell>
          <cell r="O16"/>
        </row>
        <row r="17">
          <cell r="B17">
            <v>0</v>
          </cell>
          <cell r="I17">
            <v>4</v>
          </cell>
          <cell r="L17">
            <v>4</v>
          </cell>
          <cell r="O17"/>
        </row>
        <row r="18">
          <cell r="B18"/>
          <cell r="I18">
            <v>3</v>
          </cell>
          <cell r="L18">
            <v>3</v>
          </cell>
          <cell r="O18"/>
        </row>
        <row r="19">
          <cell r="B19">
            <v>0</v>
          </cell>
          <cell r="I19">
            <v>5</v>
          </cell>
          <cell r="L19">
            <v>5</v>
          </cell>
          <cell r="O19"/>
        </row>
        <row r="20">
          <cell r="B20"/>
          <cell r="I20">
            <v>3</v>
          </cell>
          <cell r="L20">
            <v>5</v>
          </cell>
          <cell r="O20"/>
        </row>
        <row r="21">
          <cell r="B21"/>
          <cell r="I21">
            <v>3</v>
          </cell>
          <cell r="L21">
            <v>3</v>
          </cell>
          <cell r="O21"/>
        </row>
        <row r="22">
          <cell r="B22">
            <v>1</v>
          </cell>
          <cell r="I22">
            <v>3</v>
          </cell>
          <cell r="L22">
            <v>4</v>
          </cell>
          <cell r="O22"/>
        </row>
        <row r="23">
          <cell r="I23">
            <v>4</v>
          </cell>
          <cell r="L23">
            <v>5</v>
          </cell>
          <cell r="O23"/>
        </row>
        <row r="24">
          <cell r="I24">
            <v>2</v>
          </cell>
        </row>
        <row r="29">
          <cell r="B29">
            <v>0.41666666666666669</v>
          </cell>
          <cell r="C29">
            <v>0.41666666666666669</v>
          </cell>
        </row>
        <row r="30">
          <cell r="B30" t="str">
            <v>n/a</v>
          </cell>
          <cell r="C30" t="str">
            <v>n/a</v>
          </cell>
          <cell r="Z30">
            <v>1</v>
          </cell>
        </row>
        <row r="31">
          <cell r="B31">
            <v>0.25</v>
          </cell>
          <cell r="C31">
            <v>0.25</v>
          </cell>
        </row>
        <row r="32">
          <cell r="B32">
            <v>0.875</v>
          </cell>
          <cell r="C32">
            <v>0.875</v>
          </cell>
        </row>
        <row r="33">
          <cell r="B33">
            <v>0.95833333333333337</v>
          </cell>
          <cell r="C33">
            <v>0.95833333333333337</v>
          </cell>
        </row>
        <row r="52">
          <cell r="B52">
            <v>0.69444444444444442</v>
          </cell>
          <cell r="C52">
            <v>0.69444444444444442</v>
          </cell>
        </row>
        <row r="53">
          <cell r="B53">
            <v>0.57777777777777783</v>
          </cell>
          <cell r="C53">
            <v>0.57777777777777783</v>
          </cell>
          <cell r="AU53">
            <v>1</v>
          </cell>
          <cell r="AV53">
            <v>1</v>
          </cell>
          <cell r="AX53">
            <v>1</v>
          </cell>
          <cell r="AY53">
            <v>0.5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0.34259259259259256</v>
          </cell>
          <cell r="C55">
            <v>0.3125</v>
          </cell>
        </row>
        <row r="56">
          <cell r="B56">
            <v>0.90674603174603163</v>
          </cell>
          <cell r="C56">
            <v>0.90674603174603163</v>
          </cell>
        </row>
        <row r="58">
          <cell r="C58">
            <v>1200</v>
          </cell>
        </row>
        <row r="59">
          <cell r="C59">
            <v>61.5</v>
          </cell>
        </row>
        <row r="60">
          <cell r="C60">
            <v>3.5</v>
          </cell>
        </row>
        <row r="61">
          <cell r="C61">
            <v>4.5</v>
          </cell>
        </row>
        <row r="62">
          <cell r="C62">
            <v>4</v>
          </cell>
        </row>
        <row r="63">
          <cell r="C63">
            <v>3.5</v>
          </cell>
        </row>
        <row r="74">
          <cell r="B74">
            <v>0.7</v>
          </cell>
          <cell r="C74">
            <v>0.7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1</v>
          </cell>
          <cell r="AF75">
            <v>0</v>
          </cell>
        </row>
        <row r="76">
          <cell r="B76">
            <v>0.5357142857142857</v>
          </cell>
          <cell r="C76">
            <v>0.5357142857142857</v>
          </cell>
        </row>
        <row r="77">
          <cell r="B77">
            <v>0.83333333333333326</v>
          </cell>
          <cell r="C77">
            <v>0.64285714285714279</v>
          </cell>
        </row>
        <row r="78">
          <cell r="B78">
            <v>0.8392857142857143</v>
          </cell>
          <cell r="C78">
            <v>0.8392857142857143</v>
          </cell>
        </row>
        <row r="80">
          <cell r="C80">
            <v>1200</v>
          </cell>
        </row>
        <row r="81">
          <cell r="C81">
            <v>54</v>
          </cell>
        </row>
        <row r="82">
          <cell r="C82">
            <v>3.5</v>
          </cell>
        </row>
        <row r="83">
          <cell r="C83">
            <v>4.5</v>
          </cell>
        </row>
        <row r="84">
          <cell r="C84">
            <v>4</v>
          </cell>
        </row>
        <row r="85">
          <cell r="C85">
            <v>3.5</v>
          </cell>
        </row>
        <row r="89">
          <cell r="C89">
            <v>1</v>
          </cell>
        </row>
        <row r="96">
          <cell r="B96">
            <v>0.8</v>
          </cell>
          <cell r="C96">
            <v>0.8</v>
          </cell>
        </row>
        <row r="97">
          <cell r="B97">
            <v>0.57777777777777783</v>
          </cell>
          <cell r="C97">
            <v>0.57777777777777783</v>
          </cell>
          <cell r="AR97">
            <v>1</v>
          </cell>
          <cell r="AS97">
            <v>1</v>
          </cell>
          <cell r="AZ97">
            <v>1</v>
          </cell>
          <cell r="BB97">
            <v>1</v>
          </cell>
        </row>
        <row r="98">
          <cell r="B98">
            <v>0.5</v>
          </cell>
          <cell r="C98">
            <v>0.5</v>
          </cell>
        </row>
        <row r="99">
          <cell r="B99">
            <v>0.88888888888888884</v>
          </cell>
          <cell r="C99">
            <v>0.78626602156013925</v>
          </cell>
        </row>
        <row r="100">
          <cell r="B100">
            <v>0.90714285714285703</v>
          </cell>
          <cell r="C100">
            <v>0.90714285714285703</v>
          </cell>
        </row>
        <row r="102">
          <cell r="C102">
            <v>852</v>
          </cell>
        </row>
        <row r="103">
          <cell r="C103">
            <v>61</v>
          </cell>
        </row>
        <row r="104">
          <cell r="C104">
            <v>3.5</v>
          </cell>
        </row>
        <row r="105">
          <cell r="C105">
            <v>4.5</v>
          </cell>
        </row>
        <row r="106">
          <cell r="C106">
            <v>4.5</v>
          </cell>
        </row>
        <row r="107">
          <cell r="C107">
            <v>4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M_033</v>
          </cell>
          <cell r="C2" t="str">
            <v>D only</v>
          </cell>
          <cell r="D2">
            <v>2</v>
          </cell>
          <cell r="E2" t="str">
            <v>A</v>
          </cell>
          <cell r="F2">
            <v>45139</v>
          </cell>
        </row>
        <row r="3">
          <cell r="D3">
            <v>45013</v>
          </cell>
        </row>
        <row r="5">
          <cell r="D5">
            <v>0.38603670634920634</v>
          </cell>
          <cell r="E5">
            <v>0.41039332399626516</v>
          </cell>
        </row>
        <row r="6">
          <cell r="D6">
            <v>0.41622925685425682</v>
          </cell>
          <cell r="E6">
            <v>0.43334235209235206</v>
          </cell>
        </row>
        <row r="7">
          <cell r="D7">
            <v>0.36126984126984124</v>
          </cell>
          <cell r="E7">
            <v>0.36126984126984124</v>
          </cell>
        </row>
        <row r="8">
          <cell r="D8">
            <v>0.45744047619047618</v>
          </cell>
          <cell r="E8">
            <v>0.41746933621933618</v>
          </cell>
        </row>
        <row r="9">
          <cell r="D9">
            <v>0.40524407016594516</v>
          </cell>
          <cell r="E9">
            <v>0.40561871339444866</v>
          </cell>
        </row>
        <row r="12">
          <cell r="B12">
            <v>30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1/13</v>
          </cell>
          <cell r="I14">
            <v>4</v>
          </cell>
          <cell r="L14">
            <v>4</v>
          </cell>
          <cell r="O14">
            <v>3</v>
          </cell>
        </row>
        <row r="15">
          <cell r="B15" t="str">
            <v>7/13</v>
          </cell>
          <cell r="I15">
            <v>4</v>
          </cell>
          <cell r="L15">
            <v>4</v>
          </cell>
          <cell r="O15">
            <v>3</v>
          </cell>
        </row>
        <row r="16">
          <cell r="B16">
            <v>120</v>
          </cell>
          <cell r="I16">
            <v>4</v>
          </cell>
          <cell r="L16">
            <v>3</v>
          </cell>
          <cell r="O16">
            <v>3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5</v>
          </cell>
        </row>
        <row r="18">
          <cell r="B18"/>
          <cell r="I18">
            <v>4</v>
          </cell>
          <cell r="L18">
            <v>3</v>
          </cell>
          <cell r="O18">
            <v>3</v>
          </cell>
        </row>
        <row r="19">
          <cell r="B19">
            <v>1</v>
          </cell>
          <cell r="I19">
            <v>5</v>
          </cell>
          <cell r="L19">
            <v>5</v>
          </cell>
          <cell r="O19">
            <v>1</v>
          </cell>
        </row>
        <row r="20">
          <cell r="B20">
            <v>2</v>
          </cell>
          <cell r="I20">
            <v>4</v>
          </cell>
          <cell r="L20">
            <v>3</v>
          </cell>
          <cell r="O20">
            <v>4</v>
          </cell>
        </row>
        <row r="21">
          <cell r="B21">
            <v>1</v>
          </cell>
          <cell r="I21">
            <v>4</v>
          </cell>
          <cell r="L21">
            <v>3</v>
          </cell>
          <cell r="O21">
            <v>3</v>
          </cell>
        </row>
        <row r="22">
          <cell r="B22">
            <v>0</v>
          </cell>
          <cell r="I22">
            <v>4</v>
          </cell>
          <cell r="L22">
            <v>4</v>
          </cell>
          <cell r="O22">
            <v>3</v>
          </cell>
        </row>
        <row r="23">
          <cell r="I23">
            <v>5</v>
          </cell>
          <cell r="L23">
            <v>5</v>
          </cell>
          <cell r="O23">
            <v>3</v>
          </cell>
        </row>
        <row r="24">
          <cell r="I24">
            <v>2</v>
          </cell>
        </row>
        <row r="29">
          <cell r="B29">
            <v>0</v>
          </cell>
          <cell r="C29">
            <v>0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0.41666666666666663</v>
          </cell>
          <cell r="C31">
            <v>0.41666666666666663</v>
          </cell>
        </row>
        <row r="32">
          <cell r="B32">
            <v>0.46875</v>
          </cell>
          <cell r="C32">
            <v>0.56617647058823528</v>
          </cell>
        </row>
        <row r="33">
          <cell r="B33">
            <v>0.65873015873015872</v>
          </cell>
          <cell r="C33">
            <v>0.65873015873015872</v>
          </cell>
        </row>
        <row r="52">
          <cell r="B52">
            <v>0.14166666666666666</v>
          </cell>
          <cell r="C52">
            <v>0.14166666666666666</v>
          </cell>
        </row>
        <row r="53">
          <cell r="B53">
            <v>0.24444444444444446</v>
          </cell>
          <cell r="C53">
            <v>0.24444444444444446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0.25</v>
          </cell>
          <cell r="C55">
            <v>0.25</v>
          </cell>
        </row>
        <row r="56">
          <cell r="B56">
            <v>0.67023809523809519</v>
          </cell>
          <cell r="C56">
            <v>0.67023809523809519</v>
          </cell>
        </row>
        <row r="58">
          <cell r="C58">
            <v>190</v>
          </cell>
        </row>
        <row r="59">
          <cell r="C59">
            <v>11</v>
          </cell>
        </row>
        <row r="60">
          <cell r="C60">
            <v>1.5</v>
          </cell>
        </row>
        <row r="61">
          <cell r="C61">
            <v>1.5</v>
          </cell>
        </row>
        <row r="62">
          <cell r="C62">
            <v>2</v>
          </cell>
        </row>
        <row r="63">
          <cell r="C63">
            <v>1.5</v>
          </cell>
        </row>
        <row r="74">
          <cell r="B74">
            <v>0.29090909090909089</v>
          </cell>
          <cell r="C74">
            <v>0.29090909090909089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0.3571428571428571</v>
          </cell>
          <cell r="C76">
            <v>0.3571428571428571</v>
          </cell>
        </row>
        <row r="77">
          <cell r="B77">
            <v>0.39583333333333331</v>
          </cell>
          <cell r="C77">
            <v>0.46428571428571425</v>
          </cell>
        </row>
        <row r="78">
          <cell r="B78">
            <v>0.62103174603174605</v>
          </cell>
          <cell r="C78">
            <v>0.62103174603174605</v>
          </cell>
        </row>
        <row r="80">
          <cell r="C80">
            <v>801</v>
          </cell>
        </row>
        <row r="81">
          <cell r="C81">
            <v>13</v>
          </cell>
        </row>
        <row r="82">
          <cell r="C82">
            <v>2</v>
          </cell>
        </row>
        <row r="83">
          <cell r="C83">
            <v>1</v>
          </cell>
        </row>
        <row r="84">
          <cell r="C84">
            <v>2.5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0.40625</v>
          </cell>
          <cell r="C96">
            <v>0.40625</v>
          </cell>
        </row>
        <row r="97">
          <cell r="B97">
            <v>0.24444444444444446</v>
          </cell>
          <cell r="C97">
            <v>0.24444444444444446</v>
          </cell>
          <cell r="AR97">
            <v>0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0.49999999999999994</v>
          </cell>
          <cell r="C99">
            <v>0.30014430014430016</v>
          </cell>
        </row>
        <row r="100">
          <cell r="B100">
            <v>0.63650793650793647</v>
          </cell>
          <cell r="C100">
            <v>0.63650793650793647</v>
          </cell>
        </row>
        <row r="102">
          <cell r="C102">
            <v>126</v>
          </cell>
        </row>
        <row r="103">
          <cell r="C103">
            <v>9</v>
          </cell>
        </row>
        <row r="104">
          <cell r="C104">
            <v>1.5</v>
          </cell>
        </row>
        <row r="105">
          <cell r="C105">
            <v>1</v>
          </cell>
        </row>
        <row r="106">
          <cell r="C106">
            <v>1.5</v>
          </cell>
        </row>
        <row r="107">
          <cell r="C107">
            <v>1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M_034</v>
          </cell>
          <cell r="C2" t="str">
            <v>D+M</v>
          </cell>
          <cell r="D2">
            <v>2</v>
          </cell>
          <cell r="E2" t="str">
            <v>B</v>
          </cell>
          <cell r="F2">
            <v>45139</v>
          </cell>
        </row>
        <row r="3">
          <cell r="D3">
            <v>45013</v>
          </cell>
        </row>
        <row r="5">
          <cell r="D5">
            <v>0.63318452380952372</v>
          </cell>
          <cell r="E5">
            <v>0.61204481792717091</v>
          </cell>
        </row>
        <row r="6">
          <cell r="D6">
            <v>0.51931367243867244</v>
          </cell>
          <cell r="E6">
            <v>0.5111291486291486</v>
          </cell>
        </row>
        <row r="7">
          <cell r="D7">
            <v>0.5880158730158731</v>
          </cell>
          <cell r="E7">
            <v>0.57713624338624336</v>
          </cell>
        </row>
        <row r="8">
          <cell r="D8">
            <v>0.65650132275132278</v>
          </cell>
          <cell r="E8">
            <v>0.57587361712361707</v>
          </cell>
        </row>
        <row r="9">
          <cell r="D9">
            <v>0.59925384800384807</v>
          </cell>
          <cell r="E9">
            <v>0.56904595676654501</v>
          </cell>
        </row>
        <row r="12">
          <cell r="B12">
            <v>23</v>
          </cell>
        </row>
        <row r="13">
          <cell r="B13">
            <v>2</v>
          </cell>
          <cell r="I13">
            <v>5</v>
          </cell>
          <cell r="L13">
            <v>4</v>
          </cell>
          <cell r="O13">
            <v>4</v>
          </cell>
        </row>
        <row r="14">
          <cell r="B14" t="str">
            <v>11/18</v>
          </cell>
          <cell r="I14">
            <v>4</v>
          </cell>
          <cell r="L14">
            <v>3</v>
          </cell>
          <cell r="O14">
            <v>3</v>
          </cell>
        </row>
        <row r="15">
          <cell r="B15" t="str">
            <v>4/19</v>
          </cell>
          <cell r="I15">
            <v>4</v>
          </cell>
          <cell r="L15">
            <v>4</v>
          </cell>
          <cell r="O15">
            <v>3</v>
          </cell>
        </row>
        <row r="16">
          <cell r="B16">
            <v>48</v>
          </cell>
          <cell r="I16">
            <v>5</v>
          </cell>
          <cell r="L16">
            <v>4</v>
          </cell>
          <cell r="O16">
            <v>2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4</v>
          </cell>
        </row>
        <row r="18">
          <cell r="B18"/>
          <cell r="I18">
            <v>5</v>
          </cell>
          <cell r="L18">
            <v>3</v>
          </cell>
          <cell r="O18">
            <v>4</v>
          </cell>
        </row>
        <row r="19">
          <cell r="B19">
            <v>1</v>
          </cell>
          <cell r="I19">
            <v>5</v>
          </cell>
          <cell r="L19">
            <v>5</v>
          </cell>
          <cell r="O19">
            <v>2</v>
          </cell>
        </row>
        <row r="20">
          <cell r="B20">
            <v>1</v>
          </cell>
          <cell r="I20">
            <v>4</v>
          </cell>
          <cell r="L20">
            <v>4</v>
          </cell>
          <cell r="O20">
            <v>3</v>
          </cell>
        </row>
        <row r="21">
          <cell r="B21">
            <v>0</v>
          </cell>
          <cell r="I21">
            <v>5</v>
          </cell>
          <cell r="L21">
            <v>4</v>
          </cell>
          <cell r="O21">
            <v>2</v>
          </cell>
        </row>
        <row r="22">
          <cell r="B22">
            <v>0</v>
          </cell>
          <cell r="I22">
            <v>5</v>
          </cell>
          <cell r="L22">
            <v>4</v>
          </cell>
          <cell r="O22">
            <v>3</v>
          </cell>
        </row>
        <row r="23">
          <cell r="I23">
            <v>5</v>
          </cell>
          <cell r="L23">
            <v>4</v>
          </cell>
          <cell r="O23">
            <v>3</v>
          </cell>
        </row>
        <row r="24">
          <cell r="I24">
            <v>0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0.66666666666666663</v>
          </cell>
          <cell r="C31">
            <v>0.66666666666666663</v>
          </cell>
        </row>
        <row r="32">
          <cell r="B32">
            <v>0.6875</v>
          </cell>
          <cell r="C32">
            <v>0.60294117647058831</v>
          </cell>
        </row>
        <row r="33">
          <cell r="B33">
            <v>0.78968253968253954</v>
          </cell>
          <cell r="C33">
            <v>0.78968253968253954</v>
          </cell>
        </row>
        <row r="52">
          <cell r="B52">
            <v>0.72222222222222232</v>
          </cell>
          <cell r="C52">
            <v>0.72222222222222232</v>
          </cell>
        </row>
        <row r="53">
          <cell r="B53">
            <v>0.47407407407407415</v>
          </cell>
          <cell r="C53">
            <v>0.47407407407407415</v>
          </cell>
          <cell r="AU53">
            <v>0.5</v>
          </cell>
          <cell r="AV53">
            <v>0.5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0.39814814814814814</v>
          </cell>
          <cell r="C55">
            <v>0.34375</v>
          </cell>
        </row>
        <row r="56">
          <cell r="B56">
            <v>0.84563492063492063</v>
          </cell>
          <cell r="C56">
            <v>0.84563492063492063</v>
          </cell>
        </row>
        <row r="58">
          <cell r="C58">
            <v>1200</v>
          </cell>
        </row>
        <row r="59">
          <cell r="C59">
            <v>36</v>
          </cell>
        </row>
        <row r="60">
          <cell r="C60">
            <v>3</v>
          </cell>
        </row>
        <row r="61">
          <cell r="C61">
            <v>2</v>
          </cell>
        </row>
        <row r="62">
          <cell r="C62">
            <v>3.5</v>
          </cell>
        </row>
        <row r="63">
          <cell r="C63">
            <v>2</v>
          </cell>
        </row>
        <row r="74">
          <cell r="B74">
            <v>0.63181818181818183</v>
          </cell>
          <cell r="C74">
            <v>0.63181818181818183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0.21428571428571427</v>
          </cell>
          <cell r="C76">
            <v>0.21428571428571427</v>
          </cell>
        </row>
        <row r="77">
          <cell r="B77">
            <v>0.52083333333333326</v>
          </cell>
          <cell r="C77">
            <v>0.48809523809523803</v>
          </cell>
        </row>
        <row r="78">
          <cell r="B78">
            <v>0.71031746031746035</v>
          </cell>
          <cell r="C78">
            <v>0.71031746031746035</v>
          </cell>
        </row>
        <row r="80">
          <cell r="C80">
            <v>1200</v>
          </cell>
        </row>
        <row r="81">
          <cell r="C81">
            <v>28.5</v>
          </cell>
        </row>
        <row r="82">
          <cell r="C82">
            <v>3.5</v>
          </cell>
        </row>
        <row r="83">
          <cell r="C83">
            <v>2.5</v>
          </cell>
        </row>
        <row r="84">
          <cell r="C84">
            <v>2.5</v>
          </cell>
        </row>
        <row r="85">
          <cell r="C85">
            <v>1.5</v>
          </cell>
        </row>
        <row r="89">
          <cell r="C89">
            <v>0</v>
          </cell>
        </row>
        <row r="96">
          <cell r="B96">
            <v>0.71875</v>
          </cell>
          <cell r="C96">
            <v>0.71875</v>
          </cell>
        </row>
        <row r="97">
          <cell r="B97">
            <v>0.47407407407407415</v>
          </cell>
          <cell r="C97">
            <v>0.47407407407407415</v>
          </cell>
          <cell r="AR97">
            <v>0.5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0.84722222222222221</v>
          </cell>
          <cell r="C99">
            <v>0.44408369408369402</v>
          </cell>
        </row>
        <row r="100">
          <cell r="B100">
            <v>0.74246031746031749</v>
          </cell>
          <cell r="C100">
            <v>0.74246031746031749</v>
          </cell>
        </row>
        <row r="102">
          <cell r="C102">
            <v>1200</v>
          </cell>
        </row>
        <row r="103">
          <cell r="C103">
            <v>29</v>
          </cell>
        </row>
        <row r="104">
          <cell r="C104">
            <v>3</v>
          </cell>
        </row>
        <row r="105">
          <cell r="C105">
            <v>2.5</v>
          </cell>
        </row>
        <row r="106">
          <cell r="C106">
            <v>3</v>
          </cell>
        </row>
        <row r="107">
          <cell r="C107">
            <v>1.5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M_035</v>
          </cell>
          <cell r="C2" t="str">
            <v>D only</v>
          </cell>
          <cell r="D2">
            <v>2</v>
          </cell>
          <cell r="E2" t="str">
            <v>B</v>
          </cell>
          <cell r="F2">
            <v>45093</v>
          </cell>
        </row>
        <row r="3">
          <cell r="D3">
            <v>45013</v>
          </cell>
        </row>
        <row r="5">
          <cell r="D5">
            <v>0.41939484126984128</v>
          </cell>
          <cell r="E5">
            <v>0.400093370681606</v>
          </cell>
        </row>
        <row r="6">
          <cell r="D6">
            <v>0.28579545454545452</v>
          </cell>
          <cell r="E6">
            <v>0.23966450216450216</v>
          </cell>
        </row>
        <row r="7">
          <cell r="D7">
            <v>0.10314814814814814</v>
          </cell>
          <cell r="E7">
            <v>0.10314814814814814</v>
          </cell>
        </row>
        <row r="8">
          <cell r="D8">
            <v>0.29166005291005292</v>
          </cell>
          <cell r="E8">
            <v>0.25933682058682056</v>
          </cell>
        </row>
        <row r="9">
          <cell r="D9">
            <v>0.27499962421837421</v>
          </cell>
          <cell r="E9">
            <v>0.25056071039526923</v>
          </cell>
        </row>
        <row r="12">
          <cell r="B12">
            <v>22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1/19</v>
          </cell>
          <cell r="I14">
            <v>4</v>
          </cell>
          <cell r="L14">
            <v>4</v>
          </cell>
          <cell r="O14">
            <v>2</v>
          </cell>
        </row>
        <row r="15">
          <cell r="B15" t="str">
            <v>6/20</v>
          </cell>
          <cell r="I15">
            <v>4</v>
          </cell>
          <cell r="L15">
            <v>4</v>
          </cell>
          <cell r="O15">
            <v>2</v>
          </cell>
        </row>
        <row r="16">
          <cell r="B16">
            <v>48</v>
          </cell>
          <cell r="I16">
            <v>4</v>
          </cell>
          <cell r="L16">
            <v>2</v>
          </cell>
          <cell r="O16">
            <v>2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5</v>
          </cell>
        </row>
        <row r="18">
          <cell r="B18"/>
          <cell r="I18">
            <v>5</v>
          </cell>
          <cell r="L18">
            <v>3</v>
          </cell>
          <cell r="O18">
            <v>3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2</v>
          </cell>
        </row>
        <row r="20">
          <cell r="B20"/>
          <cell r="I20">
            <v>4</v>
          </cell>
          <cell r="L20">
            <v>3</v>
          </cell>
          <cell r="O20">
            <v>2</v>
          </cell>
        </row>
        <row r="21">
          <cell r="B21"/>
          <cell r="I21">
            <v>3</v>
          </cell>
          <cell r="L21">
            <v>3</v>
          </cell>
          <cell r="O21">
            <v>3</v>
          </cell>
        </row>
        <row r="22">
          <cell r="B22">
            <v>0</v>
          </cell>
          <cell r="I22">
            <v>4</v>
          </cell>
          <cell r="L22">
            <v>4</v>
          </cell>
          <cell r="O22">
            <v>3</v>
          </cell>
        </row>
        <row r="23">
          <cell r="I23">
            <v>4</v>
          </cell>
          <cell r="L23">
            <v>5</v>
          </cell>
          <cell r="O23">
            <v>2</v>
          </cell>
        </row>
        <row r="24">
          <cell r="I24">
            <v>0</v>
          </cell>
        </row>
        <row r="29">
          <cell r="B29">
            <v>0.27777777777777779</v>
          </cell>
          <cell r="C29">
            <v>0.27777777777777779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0.33333333333333331</v>
          </cell>
          <cell r="C31">
            <v>0.33333333333333331</v>
          </cell>
        </row>
        <row r="32">
          <cell r="B32">
            <v>0.5625</v>
          </cell>
          <cell r="C32">
            <v>0.48529411764705882</v>
          </cell>
        </row>
        <row r="33">
          <cell r="B33">
            <v>0.50396825396825395</v>
          </cell>
          <cell r="C33">
            <v>0.50396825396825395</v>
          </cell>
        </row>
        <row r="52">
          <cell r="B52">
            <v>0</v>
          </cell>
          <cell r="C52">
            <v>0</v>
          </cell>
        </row>
        <row r="53">
          <cell r="B53">
            <v>0.27407407407407408</v>
          </cell>
          <cell r="C53">
            <v>0.27407407407407408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</v>
          </cell>
          <cell r="C54">
            <v>0</v>
          </cell>
        </row>
        <row r="55">
          <cell r="B55">
            <v>0</v>
          </cell>
          <cell r="C55">
            <v>0</v>
          </cell>
        </row>
        <row r="56">
          <cell r="B56">
            <v>0.24166666666666667</v>
          </cell>
          <cell r="C56">
            <v>0.24166666666666667</v>
          </cell>
        </row>
        <row r="58">
          <cell r="C58">
            <v>658</v>
          </cell>
        </row>
        <row r="59">
          <cell r="C59">
            <v>9</v>
          </cell>
        </row>
        <row r="60">
          <cell r="C60">
            <v>1</v>
          </cell>
        </row>
        <row r="61">
          <cell r="C61">
            <v>1.5</v>
          </cell>
        </row>
        <row r="62">
          <cell r="C62">
            <v>1</v>
          </cell>
        </row>
        <row r="63">
          <cell r="C63">
            <v>1</v>
          </cell>
        </row>
        <row r="74">
          <cell r="B74">
            <v>0.51818181818181819</v>
          </cell>
          <cell r="C74">
            <v>0.51818181818181819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</v>
          </cell>
          <cell r="C76">
            <v>0</v>
          </cell>
        </row>
        <row r="77">
          <cell r="B77">
            <v>0.375</v>
          </cell>
          <cell r="C77">
            <v>0.19047619047619047</v>
          </cell>
        </row>
        <row r="78">
          <cell r="B78">
            <v>0.24999999999999997</v>
          </cell>
          <cell r="C78">
            <v>0.24999999999999997</v>
          </cell>
        </row>
        <row r="80">
          <cell r="C80">
            <v>861</v>
          </cell>
        </row>
        <row r="81">
          <cell r="C81">
            <v>2</v>
          </cell>
        </row>
        <row r="82">
          <cell r="C82">
            <v>1</v>
          </cell>
        </row>
        <row r="83">
          <cell r="C83">
            <v>1</v>
          </cell>
        </row>
        <row r="84">
          <cell r="C84">
            <v>1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0.26041666666666663</v>
          </cell>
          <cell r="C96">
            <v>0.26041666666666663</v>
          </cell>
        </row>
        <row r="97">
          <cell r="B97">
            <v>0.27407407407407408</v>
          </cell>
          <cell r="C97">
            <v>0.27407407407407408</v>
          </cell>
          <cell r="AR97">
            <v>0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0.22222222222222221</v>
          </cell>
          <cell r="C99">
            <v>6.0606060606060608E-2</v>
          </cell>
        </row>
        <row r="100">
          <cell r="B100">
            <v>0.20158730158730162</v>
          </cell>
          <cell r="C100">
            <v>0.20158730158730162</v>
          </cell>
        </row>
        <row r="102">
          <cell r="C102">
            <v>477</v>
          </cell>
        </row>
        <row r="103">
          <cell r="C103">
            <v>9.5</v>
          </cell>
        </row>
        <row r="104">
          <cell r="C104">
            <v>1</v>
          </cell>
        </row>
        <row r="105">
          <cell r="C105">
            <v>1.5</v>
          </cell>
        </row>
        <row r="106">
          <cell r="C106">
            <v>1.5</v>
          </cell>
        </row>
        <row r="107">
          <cell r="C107">
            <v>1</v>
          </cell>
        </row>
      </sheetData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M_036</v>
          </cell>
          <cell r="C2" t="str">
            <v>D only</v>
          </cell>
          <cell r="D2">
            <v>2</v>
          </cell>
          <cell r="E2" t="str">
            <v>B</v>
          </cell>
          <cell r="F2">
            <v>45153</v>
          </cell>
        </row>
        <row r="3">
          <cell r="D3">
            <v>45013</v>
          </cell>
        </row>
        <row r="5">
          <cell r="D5">
            <v>0.30642361111111116</v>
          </cell>
          <cell r="E5">
            <v>0.30780228758169936</v>
          </cell>
        </row>
        <row r="6">
          <cell r="D6">
            <v>0.44366883116883116</v>
          </cell>
          <cell r="E6">
            <v>0.42283549783549779</v>
          </cell>
        </row>
        <row r="7">
          <cell r="D7">
            <v>0.3734656084656085</v>
          </cell>
          <cell r="E7">
            <v>0.37115079365079368</v>
          </cell>
        </row>
        <row r="8">
          <cell r="D8">
            <v>0.29376984126984129</v>
          </cell>
          <cell r="E8">
            <v>0.29376984126984129</v>
          </cell>
        </row>
        <row r="9">
          <cell r="D9">
            <v>0.35433197300384806</v>
          </cell>
          <cell r="E9">
            <v>0.34888960508445804</v>
          </cell>
        </row>
        <row r="12">
          <cell r="B12">
            <v>19</v>
          </cell>
        </row>
        <row r="13">
          <cell r="B13">
            <v>1</v>
          </cell>
          <cell r="I13">
            <v>5</v>
          </cell>
          <cell r="L13">
            <v>5</v>
          </cell>
          <cell r="O13">
            <v>5</v>
          </cell>
        </row>
        <row r="14">
          <cell r="B14" t="str">
            <v>5/22</v>
          </cell>
          <cell r="I14">
            <v>4</v>
          </cell>
          <cell r="L14">
            <v>4</v>
          </cell>
          <cell r="O14">
            <v>2</v>
          </cell>
        </row>
        <row r="15">
          <cell r="B15" t="str">
            <v>9/22</v>
          </cell>
          <cell r="I15">
            <v>2</v>
          </cell>
          <cell r="L15">
            <v>4</v>
          </cell>
          <cell r="O15">
            <v>1</v>
          </cell>
        </row>
        <row r="16">
          <cell r="B16">
            <v>12</v>
          </cell>
          <cell r="I16">
            <v>4</v>
          </cell>
          <cell r="L16">
            <v>1</v>
          </cell>
          <cell r="O16">
            <v>1</v>
          </cell>
        </row>
        <row r="17">
          <cell r="B17">
            <v>0</v>
          </cell>
          <cell r="I17">
            <v>4</v>
          </cell>
          <cell r="L17">
            <v>2</v>
          </cell>
          <cell r="O17">
            <v>4</v>
          </cell>
        </row>
        <row r="18">
          <cell r="B18"/>
          <cell r="I18">
            <v>2</v>
          </cell>
          <cell r="L18">
            <v>1</v>
          </cell>
          <cell r="O18">
            <v>3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1</v>
          </cell>
        </row>
        <row r="20">
          <cell r="B20"/>
          <cell r="I20">
            <v>1</v>
          </cell>
          <cell r="L20">
            <v>1</v>
          </cell>
          <cell r="O20">
            <v>1</v>
          </cell>
        </row>
        <row r="21">
          <cell r="B21"/>
          <cell r="I21">
            <v>3</v>
          </cell>
          <cell r="L21">
            <v>1</v>
          </cell>
          <cell r="O21">
            <v>2</v>
          </cell>
        </row>
        <row r="22">
          <cell r="B22">
            <v>0</v>
          </cell>
          <cell r="I22">
            <v>2</v>
          </cell>
          <cell r="L22">
            <v>1</v>
          </cell>
          <cell r="O22">
            <v>2</v>
          </cell>
        </row>
        <row r="23">
          <cell r="I23">
            <v>4</v>
          </cell>
          <cell r="L23">
            <v>4</v>
          </cell>
          <cell r="O23">
            <v>2</v>
          </cell>
        </row>
        <row r="24">
          <cell r="I24">
            <v>1</v>
          </cell>
        </row>
        <row r="29">
          <cell r="B29">
            <v>5.5555555555555552E-2</v>
          </cell>
          <cell r="C29">
            <v>5.5555555555555552E-2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0.25</v>
          </cell>
          <cell r="C31">
            <v>0.25</v>
          </cell>
        </row>
        <row r="32">
          <cell r="B32">
            <v>0.40625</v>
          </cell>
          <cell r="C32">
            <v>0.41176470588235292</v>
          </cell>
        </row>
        <row r="33">
          <cell r="B33">
            <v>0.51388888888888895</v>
          </cell>
          <cell r="C33">
            <v>0.51388888888888895</v>
          </cell>
        </row>
        <row r="52">
          <cell r="B52">
            <v>0.27777777777777779</v>
          </cell>
          <cell r="C52">
            <v>0.27777777777777779</v>
          </cell>
        </row>
        <row r="53">
          <cell r="B53">
            <v>0.57777777777777783</v>
          </cell>
          <cell r="C53">
            <v>0.57777777777777783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0.5</v>
          </cell>
          <cell r="BF53">
            <v>0</v>
          </cell>
        </row>
        <row r="54">
          <cell r="B54">
            <v>0.25</v>
          </cell>
          <cell r="C54">
            <v>0.25</v>
          </cell>
        </row>
        <row r="55">
          <cell r="B55">
            <v>0.28240740740740738</v>
          </cell>
          <cell r="C55">
            <v>0.27083333333333331</v>
          </cell>
        </row>
        <row r="56">
          <cell r="B56">
            <v>0.47936507936507944</v>
          </cell>
          <cell r="C56">
            <v>0.47936507936507944</v>
          </cell>
        </row>
        <row r="58">
          <cell r="C58">
            <v>873</v>
          </cell>
        </row>
        <row r="59">
          <cell r="C59">
            <v>12</v>
          </cell>
        </row>
        <row r="60">
          <cell r="C60">
            <v>2</v>
          </cell>
        </row>
        <row r="61">
          <cell r="C61">
            <v>1.5</v>
          </cell>
        </row>
        <row r="62">
          <cell r="C62">
            <v>1.5</v>
          </cell>
        </row>
        <row r="63">
          <cell r="C63">
            <v>2</v>
          </cell>
        </row>
        <row r="74">
          <cell r="B74">
            <v>0.38181818181818183</v>
          </cell>
          <cell r="C74">
            <v>0.38181818181818183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1</v>
          </cell>
          <cell r="AF75">
            <v>0</v>
          </cell>
        </row>
        <row r="76">
          <cell r="B76">
            <v>0.14285714285714285</v>
          </cell>
          <cell r="C76">
            <v>0.14285714285714285</v>
          </cell>
        </row>
        <row r="77">
          <cell r="B77">
            <v>0.58333333333333326</v>
          </cell>
          <cell r="C77">
            <v>0.5</v>
          </cell>
        </row>
        <row r="78">
          <cell r="B78">
            <v>0.66666666666666663</v>
          </cell>
          <cell r="C78">
            <v>0.66666666666666663</v>
          </cell>
        </row>
        <row r="80">
          <cell r="C80">
            <v>1200</v>
          </cell>
        </row>
        <row r="81">
          <cell r="C81">
            <v>30</v>
          </cell>
        </row>
        <row r="82">
          <cell r="C82">
            <v>2</v>
          </cell>
        </row>
        <row r="83">
          <cell r="C83">
            <v>2</v>
          </cell>
        </row>
        <row r="84">
          <cell r="C84">
            <v>1.5</v>
          </cell>
        </row>
        <row r="85">
          <cell r="C85">
            <v>2</v>
          </cell>
        </row>
        <row r="89">
          <cell r="C89">
            <v>1</v>
          </cell>
        </row>
        <row r="96">
          <cell r="B96">
            <v>0.19583333333333333</v>
          </cell>
          <cell r="C96">
            <v>0.19583333333333333</v>
          </cell>
        </row>
        <row r="97">
          <cell r="B97">
            <v>0.57777777777777783</v>
          </cell>
          <cell r="C97">
            <v>0.57777777777777783</v>
          </cell>
          <cell r="AR97">
            <v>0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</v>
          </cell>
          <cell r="C98">
            <v>0</v>
          </cell>
        </row>
        <row r="99">
          <cell r="B99">
            <v>0.22222222222222221</v>
          </cell>
          <cell r="C99">
            <v>0.22222222222222221</v>
          </cell>
        </row>
        <row r="100">
          <cell r="B100">
            <v>0.47301587301587306</v>
          </cell>
          <cell r="C100">
            <v>0.47301587301587306</v>
          </cell>
        </row>
        <row r="102">
          <cell r="C102">
            <v>774</v>
          </cell>
        </row>
        <row r="103">
          <cell r="C103">
            <v>12.5</v>
          </cell>
        </row>
        <row r="104">
          <cell r="C104">
            <v>2</v>
          </cell>
        </row>
        <row r="105">
          <cell r="C105">
            <v>1</v>
          </cell>
        </row>
        <row r="106">
          <cell r="C106">
            <v>1.5</v>
          </cell>
        </row>
        <row r="107">
          <cell r="C107">
            <v>1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M_038</v>
          </cell>
          <cell r="C2" t="str">
            <v>D+M</v>
          </cell>
          <cell r="D2">
            <v>2</v>
          </cell>
          <cell r="E2" t="str">
            <v>A</v>
          </cell>
          <cell r="F2">
            <v>45146</v>
          </cell>
        </row>
        <row r="3">
          <cell r="D3">
            <v>45013</v>
          </cell>
        </row>
        <row r="5">
          <cell r="D5">
            <v>0.57862103174603174</v>
          </cell>
          <cell r="E5">
            <v>0.55748132586367882</v>
          </cell>
        </row>
        <row r="6">
          <cell r="D6">
            <v>0.60970418470418464</v>
          </cell>
          <cell r="E6">
            <v>0.58887085137085138</v>
          </cell>
        </row>
        <row r="7">
          <cell r="D7">
            <v>0.49751322751322757</v>
          </cell>
          <cell r="E7">
            <v>0.45802910052910056</v>
          </cell>
        </row>
        <row r="8">
          <cell r="D8">
            <v>0.49326719576719569</v>
          </cell>
          <cell r="E8">
            <v>0.44956971677559909</v>
          </cell>
        </row>
        <row r="9">
          <cell r="D9">
            <v>0.54477640993265986</v>
          </cell>
          <cell r="E9">
            <v>0.51348774863480751</v>
          </cell>
        </row>
        <row r="12">
          <cell r="B12">
            <v>29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2/14</v>
          </cell>
          <cell r="I14">
            <v>4</v>
          </cell>
          <cell r="L14">
            <v>4</v>
          </cell>
          <cell r="O14">
            <v>3</v>
          </cell>
        </row>
        <row r="15">
          <cell r="B15" t="str">
            <v>3/18</v>
          </cell>
          <cell r="I15">
            <v>4</v>
          </cell>
          <cell r="L15">
            <v>4</v>
          </cell>
          <cell r="O15">
            <v>3</v>
          </cell>
        </row>
        <row r="16">
          <cell r="B16">
            <v>108</v>
          </cell>
          <cell r="I16">
            <v>4</v>
          </cell>
          <cell r="L16">
            <v>4</v>
          </cell>
          <cell r="O16">
            <v>3</v>
          </cell>
        </row>
        <row r="17">
          <cell r="B17">
            <v>1</v>
          </cell>
          <cell r="I17">
            <v>4</v>
          </cell>
          <cell r="L17">
            <v>4</v>
          </cell>
          <cell r="O17">
            <v>4</v>
          </cell>
        </row>
        <row r="18">
          <cell r="B18">
            <v>6</v>
          </cell>
          <cell r="I18">
            <v>4</v>
          </cell>
          <cell r="L18">
            <v>4</v>
          </cell>
          <cell r="O18">
            <v>3</v>
          </cell>
        </row>
        <row r="19">
          <cell r="B19">
            <v>1</v>
          </cell>
          <cell r="I19">
            <v>4</v>
          </cell>
          <cell r="L19">
            <v>4</v>
          </cell>
          <cell r="O19">
            <v>2</v>
          </cell>
        </row>
        <row r="20">
          <cell r="B20">
            <v>1</v>
          </cell>
          <cell r="I20">
            <v>4</v>
          </cell>
          <cell r="L20">
            <v>3</v>
          </cell>
          <cell r="O20">
            <v>4</v>
          </cell>
        </row>
        <row r="21">
          <cell r="B21">
            <v>1</v>
          </cell>
          <cell r="I21">
            <v>4</v>
          </cell>
          <cell r="L21">
            <v>4</v>
          </cell>
          <cell r="O21">
            <v>2</v>
          </cell>
        </row>
        <row r="22">
          <cell r="B22">
            <v>1</v>
          </cell>
          <cell r="I22">
            <v>4</v>
          </cell>
          <cell r="L22">
            <v>4</v>
          </cell>
          <cell r="O22">
            <v>3</v>
          </cell>
        </row>
        <row r="23">
          <cell r="I23">
            <v>4</v>
          </cell>
          <cell r="L23">
            <v>4</v>
          </cell>
          <cell r="O23">
            <v>3</v>
          </cell>
        </row>
        <row r="24">
          <cell r="I24">
            <v>1</v>
          </cell>
        </row>
        <row r="29">
          <cell r="B29">
            <v>0.5</v>
          </cell>
          <cell r="C29">
            <v>0.5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0.33333333333333331</v>
          </cell>
          <cell r="C31">
            <v>0.33333333333333331</v>
          </cell>
        </row>
        <row r="32">
          <cell r="B32">
            <v>0.6875</v>
          </cell>
          <cell r="C32">
            <v>0.60294117647058831</v>
          </cell>
        </row>
        <row r="33">
          <cell r="B33">
            <v>0.79365079365079361</v>
          </cell>
          <cell r="C33">
            <v>0.79365079365079361</v>
          </cell>
        </row>
        <row r="52">
          <cell r="B52">
            <v>0.49365079365079362</v>
          </cell>
          <cell r="C52">
            <v>0.49365079365079362</v>
          </cell>
        </row>
        <row r="53">
          <cell r="B53">
            <v>0.6518518518518519</v>
          </cell>
          <cell r="C53">
            <v>0.6518518518518519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1</v>
          </cell>
          <cell r="BF53">
            <v>0</v>
          </cell>
        </row>
        <row r="54">
          <cell r="B54">
            <v>0</v>
          </cell>
          <cell r="C54">
            <v>0</v>
          </cell>
        </row>
        <row r="55">
          <cell r="B55">
            <v>0.52777777777777779</v>
          </cell>
          <cell r="C55">
            <v>0.33035714285714285</v>
          </cell>
        </row>
        <row r="56">
          <cell r="B56">
            <v>0.81428571428571439</v>
          </cell>
          <cell r="C56">
            <v>0.81428571428571439</v>
          </cell>
        </row>
        <row r="58">
          <cell r="C58">
            <v>1200</v>
          </cell>
        </row>
        <row r="59">
          <cell r="C59">
            <v>35</v>
          </cell>
        </row>
        <row r="60">
          <cell r="C60">
            <v>5</v>
          </cell>
        </row>
        <row r="61">
          <cell r="C61">
            <v>3</v>
          </cell>
        </row>
        <row r="62">
          <cell r="C62">
            <v>3</v>
          </cell>
        </row>
        <row r="63">
          <cell r="C63">
            <v>2</v>
          </cell>
        </row>
        <row r="74">
          <cell r="B74">
            <v>0.51818181818181819</v>
          </cell>
          <cell r="C74">
            <v>0.51818181818181819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0.4642857142857143</v>
          </cell>
          <cell r="C76">
            <v>0.4642857142857143</v>
          </cell>
        </row>
        <row r="77">
          <cell r="B77">
            <v>0.58333333333333326</v>
          </cell>
          <cell r="C77">
            <v>0.5</v>
          </cell>
        </row>
        <row r="78">
          <cell r="B78">
            <v>0.87301587301587302</v>
          </cell>
          <cell r="C78">
            <v>0.87301587301587302</v>
          </cell>
        </row>
        <row r="80">
          <cell r="C80">
            <v>1200</v>
          </cell>
        </row>
        <row r="81">
          <cell r="C81">
            <v>42</v>
          </cell>
        </row>
        <row r="82">
          <cell r="C82">
            <v>4</v>
          </cell>
        </row>
        <row r="83">
          <cell r="C83">
            <v>3</v>
          </cell>
        </row>
        <row r="84">
          <cell r="C84">
            <v>3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0.35416666666666663</v>
          </cell>
          <cell r="C96">
            <v>0.35416666666666663</v>
          </cell>
        </row>
        <row r="97">
          <cell r="B97">
            <v>0.6518518518518519</v>
          </cell>
          <cell r="C97">
            <v>0.6518518518518519</v>
          </cell>
          <cell r="AR97">
            <v>0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</v>
          </cell>
          <cell r="C98">
            <v>0</v>
          </cell>
        </row>
        <row r="99">
          <cell r="B99">
            <v>0.55555555555555547</v>
          </cell>
          <cell r="C99">
            <v>0.33706816059757233</v>
          </cell>
        </row>
        <row r="100">
          <cell r="B100">
            <v>0.90476190476190477</v>
          </cell>
          <cell r="C100">
            <v>0.90476190476190477</v>
          </cell>
        </row>
        <row r="102">
          <cell r="C102">
            <v>1200</v>
          </cell>
        </row>
        <row r="103">
          <cell r="C103">
            <v>33</v>
          </cell>
        </row>
        <row r="104">
          <cell r="C104">
            <v>5</v>
          </cell>
        </row>
        <row r="105">
          <cell r="C105">
            <v>3</v>
          </cell>
        </row>
        <row r="106">
          <cell r="C106">
            <v>4</v>
          </cell>
        </row>
        <row r="107">
          <cell r="C107">
            <v>2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M_039</v>
          </cell>
          <cell r="C2" t="str">
            <v>D only</v>
          </cell>
          <cell r="D2">
            <v>2</v>
          </cell>
          <cell r="E2" t="str">
            <v>A</v>
          </cell>
          <cell r="F2">
            <v>45100</v>
          </cell>
        </row>
        <row r="3">
          <cell r="D3">
            <v>45013</v>
          </cell>
        </row>
        <row r="5">
          <cell r="D5">
            <v>0.20585317460317459</v>
          </cell>
          <cell r="E5">
            <v>0.22607376283846869</v>
          </cell>
        </row>
        <row r="6">
          <cell r="D6">
            <v>0.39021013708513708</v>
          </cell>
          <cell r="E6">
            <v>0.40732323232323231</v>
          </cell>
        </row>
        <row r="7">
          <cell r="D7">
            <v>0.31873015873015875</v>
          </cell>
          <cell r="E7">
            <v>0.32329365079365074</v>
          </cell>
        </row>
        <row r="8">
          <cell r="D8">
            <v>0.56853174603174594</v>
          </cell>
          <cell r="E8">
            <v>0.49515512265512263</v>
          </cell>
        </row>
        <row r="9">
          <cell r="D9">
            <v>0.37083130411255405</v>
          </cell>
          <cell r="E9">
            <v>0.36296144215261861</v>
          </cell>
        </row>
        <row r="12">
          <cell r="B12">
            <v>24</v>
          </cell>
        </row>
        <row r="13">
          <cell r="B13">
            <v>2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12/17</v>
          </cell>
          <cell r="I14">
            <v>4</v>
          </cell>
          <cell r="L14">
            <v>4</v>
          </cell>
          <cell r="O14">
            <v>1</v>
          </cell>
        </row>
        <row r="15">
          <cell r="B15" t="str">
            <v>4/28</v>
          </cell>
          <cell r="I15">
            <v>5</v>
          </cell>
          <cell r="L15">
            <v>3</v>
          </cell>
          <cell r="O15">
            <v>1</v>
          </cell>
        </row>
        <row r="16">
          <cell r="B16">
            <v>72</v>
          </cell>
          <cell r="I16">
            <v>4</v>
          </cell>
          <cell r="L16">
            <v>3</v>
          </cell>
          <cell r="O16">
            <v>2</v>
          </cell>
        </row>
        <row r="17">
          <cell r="B17">
            <v>0</v>
          </cell>
          <cell r="I17">
            <v>5</v>
          </cell>
          <cell r="L17">
            <v>4</v>
          </cell>
          <cell r="O17">
            <v>4</v>
          </cell>
        </row>
        <row r="18">
          <cell r="B18"/>
          <cell r="I18">
            <v>3</v>
          </cell>
          <cell r="L18">
            <v>2</v>
          </cell>
          <cell r="O18">
            <v>2</v>
          </cell>
        </row>
        <row r="19">
          <cell r="B19">
            <v>1</v>
          </cell>
          <cell r="I19">
            <v>4</v>
          </cell>
          <cell r="L19">
            <v>4</v>
          </cell>
          <cell r="O19">
            <v>1</v>
          </cell>
        </row>
        <row r="20">
          <cell r="B20">
            <v>1</v>
          </cell>
          <cell r="I20">
            <v>3</v>
          </cell>
          <cell r="L20">
            <v>2</v>
          </cell>
          <cell r="O20">
            <v>3</v>
          </cell>
        </row>
        <row r="21">
          <cell r="B21">
            <v>0</v>
          </cell>
          <cell r="I21">
            <v>4</v>
          </cell>
          <cell r="L21">
            <v>1</v>
          </cell>
          <cell r="O21">
            <v>1</v>
          </cell>
        </row>
        <row r="22">
          <cell r="B22">
            <v>0</v>
          </cell>
          <cell r="I22">
            <v>3</v>
          </cell>
          <cell r="L22">
            <v>3</v>
          </cell>
          <cell r="O22">
            <v>2</v>
          </cell>
        </row>
        <row r="23">
          <cell r="I23">
            <v>5</v>
          </cell>
          <cell r="L23">
            <v>5</v>
          </cell>
          <cell r="O23">
            <v>2</v>
          </cell>
        </row>
        <row r="24">
          <cell r="I24">
            <v>0.5</v>
          </cell>
        </row>
        <row r="29">
          <cell r="B29">
            <v>0</v>
          </cell>
          <cell r="C29">
            <v>0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0.25</v>
          </cell>
          <cell r="C31">
            <v>0.25</v>
          </cell>
        </row>
        <row r="32">
          <cell r="B32">
            <v>0.125</v>
          </cell>
          <cell r="C32">
            <v>0.20588235294117646</v>
          </cell>
        </row>
        <row r="33">
          <cell r="B33">
            <v>0.44841269841269837</v>
          </cell>
          <cell r="C33">
            <v>0.44841269841269837</v>
          </cell>
        </row>
        <row r="52">
          <cell r="B52">
            <v>0.30555555555555558</v>
          </cell>
          <cell r="C52">
            <v>0.37698412698412698</v>
          </cell>
        </row>
        <row r="53">
          <cell r="B53">
            <v>0.37777777777777777</v>
          </cell>
          <cell r="C53">
            <v>0.37777777777777777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</v>
          </cell>
          <cell r="C54">
            <v>0</v>
          </cell>
        </row>
        <row r="55">
          <cell r="B55">
            <v>0.3611111111111111</v>
          </cell>
          <cell r="C55">
            <v>0.3125</v>
          </cell>
        </row>
        <row r="56">
          <cell r="B56">
            <v>0.54920634920634914</v>
          </cell>
          <cell r="C56">
            <v>0.54920634920634914</v>
          </cell>
        </row>
        <row r="58">
          <cell r="C58">
            <v>1049</v>
          </cell>
        </row>
        <row r="59">
          <cell r="C59">
            <v>19</v>
          </cell>
        </row>
        <row r="60">
          <cell r="C60">
            <v>1.5</v>
          </cell>
        </row>
        <row r="61">
          <cell r="C61">
            <v>1.5</v>
          </cell>
        </row>
        <row r="62">
          <cell r="C62">
            <v>2.5</v>
          </cell>
        </row>
        <row r="63">
          <cell r="C63">
            <v>2</v>
          </cell>
        </row>
        <row r="74">
          <cell r="B74">
            <v>0.51818181818181819</v>
          </cell>
          <cell r="C74">
            <v>0.51818181818181819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0.14285714285714285</v>
          </cell>
          <cell r="C76">
            <v>0.14285714285714285</v>
          </cell>
        </row>
        <row r="77">
          <cell r="B77">
            <v>0.39583333333333331</v>
          </cell>
          <cell r="C77">
            <v>0.46428571428571425</v>
          </cell>
        </row>
        <row r="78">
          <cell r="B78">
            <v>0.50396825396825395</v>
          </cell>
          <cell r="C78">
            <v>0.50396825396825395</v>
          </cell>
        </row>
        <row r="80">
          <cell r="C80">
            <v>739</v>
          </cell>
        </row>
        <row r="81">
          <cell r="C81">
            <v>14</v>
          </cell>
        </row>
        <row r="82">
          <cell r="C82">
            <v>2</v>
          </cell>
        </row>
        <row r="83">
          <cell r="C83">
            <v>1</v>
          </cell>
        </row>
        <row r="84">
          <cell r="C84">
            <v>2.5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0.4458333333333333</v>
          </cell>
          <cell r="C96">
            <v>0.4458333333333333</v>
          </cell>
        </row>
        <row r="97">
          <cell r="B97">
            <v>0.37777777777777777</v>
          </cell>
          <cell r="C97">
            <v>0.37777777777777777</v>
          </cell>
          <cell r="AR97">
            <v>0.5</v>
          </cell>
          <cell r="AS97">
            <v>0</v>
          </cell>
          <cell r="AZ97">
            <v>0.5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0.80555555555555547</v>
          </cell>
          <cell r="C99">
            <v>0.4386724386724386</v>
          </cell>
        </row>
        <row r="100">
          <cell r="B100">
            <v>0.71349206349206329</v>
          </cell>
          <cell r="C100">
            <v>0.71349206349206329</v>
          </cell>
        </row>
        <row r="102">
          <cell r="C102">
            <v>960</v>
          </cell>
        </row>
        <row r="103">
          <cell r="C103">
            <v>41.5</v>
          </cell>
        </row>
        <row r="104">
          <cell r="C104">
            <v>1.5</v>
          </cell>
        </row>
        <row r="105">
          <cell r="C105">
            <v>2</v>
          </cell>
        </row>
        <row r="106">
          <cell r="C106">
            <v>3</v>
          </cell>
        </row>
        <row r="107">
          <cell r="C107">
            <v>2.5</v>
          </cell>
        </row>
      </sheetData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M_040</v>
          </cell>
          <cell r="C2" t="str">
            <v>D only</v>
          </cell>
          <cell r="D2">
            <v>2</v>
          </cell>
          <cell r="E2" t="str">
            <v>A</v>
          </cell>
          <cell r="F2">
            <v>45083</v>
          </cell>
        </row>
        <row r="3">
          <cell r="D3">
            <v>45013</v>
          </cell>
        </row>
        <row r="5">
          <cell r="D5">
            <v>0.60627480158730152</v>
          </cell>
          <cell r="E5">
            <v>0.58835200746965444</v>
          </cell>
        </row>
        <row r="6">
          <cell r="D6">
            <v>0.70426587301587296</v>
          </cell>
          <cell r="E6">
            <v>0.67450396825396819</v>
          </cell>
        </row>
        <row r="7">
          <cell r="D7">
            <v>0.64301587301587304</v>
          </cell>
          <cell r="E7">
            <v>0.59824074074074074</v>
          </cell>
        </row>
        <row r="8">
          <cell r="D8">
            <v>0.62097883597883596</v>
          </cell>
          <cell r="E8">
            <v>0.54154160654160655</v>
          </cell>
        </row>
        <row r="9">
          <cell r="D9">
            <v>0.64363384589947081</v>
          </cell>
          <cell r="E9">
            <v>0.60065958075149251</v>
          </cell>
        </row>
        <row r="12">
          <cell r="B12">
            <v>21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3</v>
          </cell>
        </row>
        <row r="14">
          <cell r="B14" t="str">
            <v>7/21</v>
          </cell>
          <cell r="I14">
            <v>4</v>
          </cell>
          <cell r="L14">
            <v>4</v>
          </cell>
          <cell r="O14">
            <v>2</v>
          </cell>
        </row>
        <row r="15">
          <cell r="B15" t="str">
            <v>11/21</v>
          </cell>
          <cell r="I15">
            <v>4</v>
          </cell>
          <cell r="L15">
            <v>4</v>
          </cell>
          <cell r="O15">
            <v>2</v>
          </cell>
        </row>
        <row r="16">
          <cell r="B16">
            <v>24</v>
          </cell>
          <cell r="I16">
            <v>3</v>
          </cell>
          <cell r="L16">
            <v>3</v>
          </cell>
          <cell r="O16">
            <v>3</v>
          </cell>
        </row>
        <row r="17">
          <cell r="B17">
            <v>0</v>
          </cell>
          <cell r="I17">
            <v>3</v>
          </cell>
          <cell r="L17">
            <v>3</v>
          </cell>
          <cell r="O17">
            <v>5</v>
          </cell>
        </row>
        <row r="18">
          <cell r="B18"/>
          <cell r="I18">
            <v>4</v>
          </cell>
          <cell r="L18">
            <v>3</v>
          </cell>
          <cell r="O18">
            <v>4</v>
          </cell>
        </row>
        <row r="19">
          <cell r="B19">
            <v>1</v>
          </cell>
          <cell r="I19">
            <v>5</v>
          </cell>
          <cell r="L19">
            <v>5</v>
          </cell>
          <cell r="O19">
            <v>3</v>
          </cell>
        </row>
        <row r="20">
          <cell r="B20">
            <v>1</v>
          </cell>
          <cell r="I20">
            <v>4</v>
          </cell>
          <cell r="L20">
            <v>4</v>
          </cell>
          <cell r="O20">
            <v>2</v>
          </cell>
        </row>
        <row r="21">
          <cell r="B21">
            <v>0</v>
          </cell>
          <cell r="I21">
            <v>4</v>
          </cell>
          <cell r="L21">
            <v>4</v>
          </cell>
          <cell r="O21">
            <v>3</v>
          </cell>
        </row>
        <row r="22">
          <cell r="B22">
            <v>0</v>
          </cell>
          <cell r="I22">
            <v>3</v>
          </cell>
          <cell r="L22">
            <v>4</v>
          </cell>
          <cell r="O22">
            <v>4</v>
          </cell>
        </row>
        <row r="23">
          <cell r="I23">
            <v>4</v>
          </cell>
          <cell r="L23">
            <v>5</v>
          </cell>
          <cell r="O23">
            <v>4</v>
          </cell>
        </row>
        <row r="24">
          <cell r="I24">
            <v>0</v>
          </cell>
        </row>
        <row r="29">
          <cell r="B29">
            <v>0.33333333333333331</v>
          </cell>
          <cell r="C29">
            <v>0.33333333333333331</v>
          </cell>
        </row>
        <row r="30">
          <cell r="B30" t="str">
            <v>n/a</v>
          </cell>
          <cell r="C30" t="str">
            <v>n/a</v>
          </cell>
          <cell r="Z30">
            <v>0.5</v>
          </cell>
        </row>
        <row r="31">
          <cell r="B31">
            <v>0.58333333333333326</v>
          </cell>
          <cell r="C31">
            <v>0.58333333333333326</v>
          </cell>
        </row>
        <row r="32">
          <cell r="B32">
            <v>0.84375</v>
          </cell>
          <cell r="C32">
            <v>0.7720588235294118</v>
          </cell>
        </row>
        <row r="33">
          <cell r="B33">
            <v>0.66468253968253965</v>
          </cell>
          <cell r="C33">
            <v>0.66468253968253965</v>
          </cell>
        </row>
        <row r="52">
          <cell r="B52">
            <v>0.69444444444444442</v>
          </cell>
          <cell r="C52">
            <v>0.69444444444444442</v>
          </cell>
        </row>
        <row r="53">
          <cell r="B53">
            <v>0.50370370370370376</v>
          </cell>
          <cell r="C53">
            <v>0.50370370370370376</v>
          </cell>
          <cell r="AU53">
            <v>1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0.5</v>
          </cell>
        </row>
        <row r="54">
          <cell r="B54">
            <v>0.5</v>
          </cell>
          <cell r="C54">
            <v>0.5</v>
          </cell>
        </row>
        <row r="55">
          <cell r="B55">
            <v>0.76851851851851849</v>
          </cell>
          <cell r="C55">
            <v>0.5446428571428571</v>
          </cell>
        </row>
        <row r="56">
          <cell r="B56">
            <v>0.74841269841269842</v>
          </cell>
          <cell r="C56">
            <v>0.74841269841269842</v>
          </cell>
        </row>
        <row r="58">
          <cell r="C58">
            <v>1162</v>
          </cell>
        </row>
        <row r="59">
          <cell r="C59">
            <v>55</v>
          </cell>
        </row>
        <row r="60">
          <cell r="C60">
            <v>3.5</v>
          </cell>
        </row>
        <row r="61">
          <cell r="C61">
            <v>3</v>
          </cell>
        </row>
        <row r="62">
          <cell r="C62">
            <v>3</v>
          </cell>
        </row>
        <row r="63">
          <cell r="C63">
            <v>2.5</v>
          </cell>
        </row>
        <row r="74">
          <cell r="B74">
            <v>0.7</v>
          </cell>
          <cell r="C74">
            <v>0.7</v>
          </cell>
        </row>
        <row r="75">
          <cell r="B75" t="str">
            <v>n/a</v>
          </cell>
          <cell r="C75" t="str">
            <v>n/a</v>
          </cell>
          <cell r="AB75">
            <v>1</v>
          </cell>
          <cell r="AD75">
            <v>1</v>
          </cell>
          <cell r="AF75">
            <v>1</v>
          </cell>
        </row>
        <row r="76">
          <cell r="B76">
            <v>0.42857142857142855</v>
          </cell>
          <cell r="C76">
            <v>0.42857142857142855</v>
          </cell>
        </row>
        <row r="77">
          <cell r="B77">
            <v>0.83333333333333326</v>
          </cell>
          <cell r="C77">
            <v>0.71428571428571419</v>
          </cell>
        </row>
        <row r="78">
          <cell r="B78">
            <v>0.85515873015873012</v>
          </cell>
          <cell r="C78">
            <v>0.85515873015873012</v>
          </cell>
        </row>
        <row r="80">
          <cell r="C80">
            <v>852</v>
          </cell>
        </row>
        <row r="81">
          <cell r="C81">
            <v>67.5</v>
          </cell>
        </row>
        <row r="82">
          <cell r="C82">
            <v>3.5</v>
          </cell>
        </row>
        <row r="83">
          <cell r="C83">
            <v>4</v>
          </cell>
        </row>
        <row r="84">
          <cell r="C84">
            <v>3</v>
          </cell>
        </row>
        <row r="85">
          <cell r="C85">
            <v>4</v>
          </cell>
        </row>
        <row r="89">
          <cell r="C89">
            <v>1</v>
          </cell>
        </row>
        <row r="96">
          <cell r="B96">
            <v>0.54166666666666663</v>
          </cell>
          <cell r="C96">
            <v>0.54166666666666663</v>
          </cell>
        </row>
        <row r="97">
          <cell r="B97">
            <v>0.50370370370370376</v>
          </cell>
          <cell r="C97">
            <v>0.50370370370370376</v>
          </cell>
          <cell r="AR97">
            <v>0.5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0.80555555555555547</v>
          </cell>
          <cell r="C99">
            <v>0.40836940836940833</v>
          </cell>
        </row>
        <row r="100">
          <cell r="B100">
            <v>0.75396825396825395</v>
          </cell>
          <cell r="C100">
            <v>0.75396825396825395</v>
          </cell>
        </row>
        <row r="102">
          <cell r="C102">
            <v>758</v>
          </cell>
        </row>
        <row r="103">
          <cell r="C103">
            <v>40</v>
          </cell>
        </row>
        <row r="104">
          <cell r="C104">
            <v>3.5</v>
          </cell>
        </row>
        <row r="105">
          <cell r="C105">
            <v>2.5</v>
          </cell>
        </row>
        <row r="106">
          <cell r="C106">
            <v>2.5</v>
          </cell>
        </row>
        <row r="107">
          <cell r="C107">
            <v>2.5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M_041</v>
          </cell>
          <cell r="C2" t="str">
            <v>D only</v>
          </cell>
          <cell r="D2">
            <v>2</v>
          </cell>
          <cell r="E2" t="str">
            <v>B</v>
          </cell>
          <cell r="F2">
            <v>45086</v>
          </cell>
        </row>
        <row r="3">
          <cell r="D3">
            <v>45013</v>
          </cell>
        </row>
        <row r="5">
          <cell r="D5">
            <v>0.49032738095238093</v>
          </cell>
          <cell r="E5">
            <v>0.48573179271708683</v>
          </cell>
        </row>
        <row r="6">
          <cell r="D6">
            <v>0.42441829004329001</v>
          </cell>
          <cell r="E6">
            <v>0.44153138528138525</v>
          </cell>
        </row>
        <row r="7">
          <cell r="D7">
            <v>0.43121693121693128</v>
          </cell>
          <cell r="E7">
            <v>0.45330687830687832</v>
          </cell>
        </row>
        <row r="8">
          <cell r="D8">
            <v>0.6061441798941799</v>
          </cell>
          <cell r="E8">
            <v>0.52681517556517554</v>
          </cell>
        </row>
        <row r="9">
          <cell r="D9">
            <v>0.48802669552669553</v>
          </cell>
          <cell r="E9">
            <v>0.4768463079676315</v>
          </cell>
        </row>
        <row r="12">
          <cell r="B12">
            <v>20</v>
          </cell>
        </row>
        <row r="13">
          <cell r="B13">
            <v>1</v>
          </cell>
          <cell r="I13">
            <v>4</v>
          </cell>
          <cell r="L13">
            <v>5</v>
          </cell>
          <cell r="O13">
            <v>5</v>
          </cell>
        </row>
        <row r="14">
          <cell r="B14" t="str">
            <v>10/21</v>
          </cell>
          <cell r="I14">
            <v>5</v>
          </cell>
          <cell r="L14">
            <v>5</v>
          </cell>
          <cell r="O14">
            <v>2</v>
          </cell>
        </row>
        <row r="15">
          <cell r="B15" t="str">
            <v>02/22</v>
          </cell>
          <cell r="I15">
            <v>4</v>
          </cell>
          <cell r="L15">
            <v>5</v>
          </cell>
          <cell r="O15">
            <v>2</v>
          </cell>
        </row>
        <row r="16">
          <cell r="B16">
            <v>18</v>
          </cell>
          <cell r="I16">
            <v>4</v>
          </cell>
          <cell r="L16">
            <v>3</v>
          </cell>
          <cell r="O16">
            <v>3</v>
          </cell>
        </row>
        <row r="17">
          <cell r="B17">
            <v>0</v>
          </cell>
          <cell r="I17">
            <v>3</v>
          </cell>
          <cell r="L17">
            <v>3</v>
          </cell>
          <cell r="O17">
            <v>5</v>
          </cell>
        </row>
        <row r="18">
          <cell r="B18"/>
          <cell r="I18">
            <v>4</v>
          </cell>
          <cell r="L18">
            <v>2</v>
          </cell>
          <cell r="O18">
            <v>4</v>
          </cell>
        </row>
        <row r="19">
          <cell r="B19">
            <v>0</v>
          </cell>
          <cell r="I19">
            <v>4</v>
          </cell>
          <cell r="L19">
            <v>3</v>
          </cell>
          <cell r="O19">
            <v>1</v>
          </cell>
        </row>
        <row r="20">
          <cell r="B20"/>
          <cell r="I20">
            <v>3</v>
          </cell>
          <cell r="L20">
            <v>1</v>
          </cell>
          <cell r="O20">
            <v>4</v>
          </cell>
        </row>
        <row r="21">
          <cell r="B21"/>
          <cell r="I21">
            <v>3</v>
          </cell>
          <cell r="L21">
            <v>3</v>
          </cell>
          <cell r="O21">
            <v>2</v>
          </cell>
        </row>
        <row r="22">
          <cell r="B22">
            <v>1</v>
          </cell>
          <cell r="I22">
            <v>4</v>
          </cell>
          <cell r="L22">
            <v>2</v>
          </cell>
          <cell r="O22">
            <v>4</v>
          </cell>
        </row>
        <row r="23">
          <cell r="I23">
            <v>5</v>
          </cell>
          <cell r="L23">
            <v>5</v>
          </cell>
          <cell r="O23">
            <v>3</v>
          </cell>
        </row>
        <row r="24">
          <cell r="I24">
            <v>0</v>
          </cell>
        </row>
        <row r="29">
          <cell r="B29">
            <v>0.1111111111111111</v>
          </cell>
          <cell r="C29">
            <v>0.1111111111111111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0.58333333333333326</v>
          </cell>
          <cell r="C31">
            <v>0.58333333333333326</v>
          </cell>
        </row>
        <row r="32">
          <cell r="B32">
            <v>0.6875</v>
          </cell>
          <cell r="C32">
            <v>0.66911764705882359</v>
          </cell>
        </row>
        <row r="33">
          <cell r="B33">
            <v>0.57936507936507931</v>
          </cell>
          <cell r="C33">
            <v>0.57936507936507931</v>
          </cell>
        </row>
        <row r="52">
          <cell r="B52">
            <v>0.17222222222222222</v>
          </cell>
          <cell r="C52">
            <v>0.31507936507936507</v>
          </cell>
        </row>
        <row r="53">
          <cell r="B53">
            <v>0.60740740740740751</v>
          </cell>
          <cell r="C53">
            <v>0.60740740740740751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0.15740740740740741</v>
          </cell>
          <cell r="C55">
            <v>0.125</v>
          </cell>
        </row>
        <row r="56">
          <cell r="B56">
            <v>0.71904761904761916</v>
          </cell>
          <cell r="C56">
            <v>0.71904761904761916</v>
          </cell>
        </row>
        <row r="58">
          <cell r="C58">
            <v>858</v>
          </cell>
        </row>
        <row r="59">
          <cell r="C59">
            <v>29</v>
          </cell>
        </row>
        <row r="60">
          <cell r="C60">
            <v>2.5</v>
          </cell>
        </row>
        <row r="61">
          <cell r="C61">
            <v>2</v>
          </cell>
        </row>
        <row r="62">
          <cell r="C62">
            <v>3</v>
          </cell>
        </row>
        <row r="63">
          <cell r="C63">
            <v>2</v>
          </cell>
        </row>
        <row r="74">
          <cell r="B74">
            <v>0.23636363636363636</v>
          </cell>
          <cell r="C74">
            <v>0.23636363636363636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0.4642857142857143</v>
          </cell>
          <cell r="C76">
            <v>0.4642857142857143</v>
          </cell>
        </row>
        <row r="77">
          <cell r="B77">
            <v>0.39583333333333331</v>
          </cell>
          <cell r="C77">
            <v>0.46428571428571425</v>
          </cell>
        </row>
        <row r="78">
          <cell r="B78">
            <v>0.60119047619047616</v>
          </cell>
          <cell r="C78">
            <v>0.60119047619047616</v>
          </cell>
        </row>
        <row r="80">
          <cell r="C80">
            <v>1200</v>
          </cell>
        </row>
        <row r="81">
          <cell r="C81">
            <v>23.5</v>
          </cell>
        </row>
        <row r="82">
          <cell r="C82">
            <v>3</v>
          </cell>
        </row>
        <row r="83">
          <cell r="C83">
            <v>2</v>
          </cell>
        </row>
        <row r="84">
          <cell r="C84">
            <v>2.5</v>
          </cell>
        </row>
        <row r="85">
          <cell r="C85">
            <v>1.5</v>
          </cell>
        </row>
        <row r="89">
          <cell r="C89">
            <v>0</v>
          </cell>
        </row>
        <row r="96">
          <cell r="B96">
            <v>0.37291666666666662</v>
          </cell>
          <cell r="C96">
            <v>0.37291666666666662</v>
          </cell>
        </row>
        <row r="97">
          <cell r="B97">
            <v>0.60740740740740751</v>
          </cell>
          <cell r="C97">
            <v>0.60740740740740751</v>
          </cell>
          <cell r="AR97">
            <v>0</v>
          </cell>
          <cell r="AS97">
            <v>0.5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0.84722222222222221</v>
          </cell>
          <cell r="C99">
            <v>0.45057720057720058</v>
          </cell>
        </row>
        <row r="100">
          <cell r="B100">
            <v>0.70317460317460334</v>
          </cell>
          <cell r="C100">
            <v>0.70317460317460334</v>
          </cell>
        </row>
        <row r="102">
          <cell r="C102">
            <v>776</v>
          </cell>
        </row>
        <row r="103">
          <cell r="C103">
            <v>30</v>
          </cell>
        </row>
        <row r="104">
          <cell r="C104">
            <v>2.5</v>
          </cell>
        </row>
        <row r="105">
          <cell r="C105">
            <v>2</v>
          </cell>
        </row>
        <row r="106">
          <cell r="C106">
            <v>2.5</v>
          </cell>
        </row>
        <row r="107">
          <cell r="C107">
            <v>2</v>
          </cell>
        </row>
      </sheetData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M_045</v>
          </cell>
          <cell r="C2" t="str">
            <v>D+M</v>
          </cell>
          <cell r="D2">
            <v>2</v>
          </cell>
          <cell r="E2" t="str">
            <v>A</v>
          </cell>
          <cell r="F2">
            <v>45093</v>
          </cell>
        </row>
        <row r="3">
          <cell r="D3">
            <v>45013</v>
          </cell>
        </row>
        <row r="5">
          <cell r="D5">
            <v>0.63566468253968256</v>
          </cell>
          <cell r="E5">
            <v>0.5998190943043884</v>
          </cell>
        </row>
        <row r="6">
          <cell r="D6">
            <v>0.53701298701298694</v>
          </cell>
          <cell r="E6">
            <v>0.54147727272727275</v>
          </cell>
        </row>
        <row r="7">
          <cell r="D7">
            <v>0.59880952380952379</v>
          </cell>
          <cell r="E7">
            <v>0.56547619047619047</v>
          </cell>
        </row>
        <row r="8">
          <cell r="D8">
            <v>0.68571428571428572</v>
          </cell>
          <cell r="E8">
            <v>0.64848484848484855</v>
          </cell>
        </row>
        <row r="9">
          <cell r="D9">
            <v>0.61430036976911984</v>
          </cell>
          <cell r="E9">
            <v>0.58881435149817507</v>
          </cell>
        </row>
        <row r="12">
          <cell r="B12">
            <v>23</v>
          </cell>
        </row>
        <row r="13">
          <cell r="B13">
            <v>1</v>
          </cell>
          <cell r="I13">
            <v>4</v>
          </cell>
          <cell r="L13">
            <v>4</v>
          </cell>
          <cell r="O13"/>
        </row>
        <row r="14">
          <cell r="B14" t="str">
            <v>5/20</v>
          </cell>
          <cell r="I14">
            <v>4</v>
          </cell>
          <cell r="L14">
            <v>4</v>
          </cell>
          <cell r="O14">
            <v>3</v>
          </cell>
        </row>
        <row r="15">
          <cell r="B15" t="str">
            <v>3/21</v>
          </cell>
          <cell r="I15">
            <v>4</v>
          </cell>
          <cell r="L15">
            <v>2</v>
          </cell>
          <cell r="O15">
            <v>2</v>
          </cell>
        </row>
        <row r="16">
          <cell r="B16">
            <v>36</v>
          </cell>
          <cell r="I16">
            <v>4</v>
          </cell>
          <cell r="L16">
            <v>4</v>
          </cell>
          <cell r="O16">
            <v>4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5</v>
          </cell>
        </row>
        <row r="18">
          <cell r="B18"/>
          <cell r="I18">
            <v>3</v>
          </cell>
          <cell r="L18">
            <v>3</v>
          </cell>
          <cell r="O18">
            <v>3</v>
          </cell>
        </row>
        <row r="19">
          <cell r="B19">
            <v>0</v>
          </cell>
          <cell r="I19">
            <v>4</v>
          </cell>
          <cell r="L19">
            <v>5</v>
          </cell>
          <cell r="O19">
            <v>1</v>
          </cell>
        </row>
        <row r="20">
          <cell r="B20"/>
          <cell r="I20">
            <v>4</v>
          </cell>
          <cell r="L20">
            <v>4</v>
          </cell>
          <cell r="O20">
            <v>2</v>
          </cell>
        </row>
        <row r="21">
          <cell r="B21"/>
          <cell r="I21">
            <v>3</v>
          </cell>
          <cell r="L21">
            <v>4</v>
          </cell>
          <cell r="O21">
            <v>4</v>
          </cell>
        </row>
        <row r="22">
          <cell r="B22">
            <v>1</v>
          </cell>
          <cell r="I22">
            <v>3</v>
          </cell>
          <cell r="L22">
            <v>4</v>
          </cell>
          <cell r="O22">
            <v>4</v>
          </cell>
        </row>
        <row r="23">
          <cell r="I23">
            <v>4</v>
          </cell>
          <cell r="L23">
            <v>5</v>
          </cell>
          <cell r="O23">
            <v>4</v>
          </cell>
        </row>
        <row r="24">
          <cell r="I24">
            <v>1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0.66666666666666663</v>
          </cell>
          <cell r="C31">
            <v>0.66666666666666663</v>
          </cell>
        </row>
        <row r="32">
          <cell r="B32">
            <v>0.6875</v>
          </cell>
          <cell r="C32">
            <v>0.54411764705882359</v>
          </cell>
        </row>
        <row r="33">
          <cell r="B33">
            <v>0.79960317460317454</v>
          </cell>
          <cell r="C33">
            <v>0.79960317460317454</v>
          </cell>
        </row>
        <row r="52">
          <cell r="B52">
            <v>0.75</v>
          </cell>
          <cell r="C52">
            <v>0.66666666666666663</v>
          </cell>
        </row>
        <row r="53">
          <cell r="B53">
            <v>0.44444444444444442</v>
          </cell>
          <cell r="C53">
            <v>0.44444444444444442</v>
          </cell>
          <cell r="AU53">
            <v>1</v>
          </cell>
          <cell r="AV53">
            <v>1</v>
          </cell>
          <cell r="AX53">
            <v>0</v>
          </cell>
          <cell r="AY53">
            <v>1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0.41666666666666669</v>
          </cell>
          <cell r="C55">
            <v>0.33333333333333331</v>
          </cell>
        </row>
        <row r="56">
          <cell r="B56">
            <v>0.88293650793650791</v>
          </cell>
          <cell r="C56">
            <v>0.88293650793650791</v>
          </cell>
        </row>
        <row r="58">
          <cell r="C58">
            <v>1200</v>
          </cell>
        </row>
        <row r="59">
          <cell r="C59">
            <v>69</v>
          </cell>
        </row>
        <row r="60">
          <cell r="C60">
            <v>3</v>
          </cell>
        </row>
        <row r="61">
          <cell r="C61">
            <v>4</v>
          </cell>
        </row>
        <row r="62">
          <cell r="C62">
            <v>4</v>
          </cell>
        </row>
        <row r="63">
          <cell r="C63">
            <v>3.5</v>
          </cell>
        </row>
        <row r="74">
          <cell r="B74">
            <v>0.54090909090909101</v>
          </cell>
          <cell r="C74">
            <v>0.54090909090909101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0.39285714285714285</v>
          </cell>
          <cell r="C76">
            <v>0.39285714285714285</v>
          </cell>
        </row>
        <row r="77">
          <cell r="B77">
            <v>0.45833333333333331</v>
          </cell>
          <cell r="C77">
            <v>0.47619047619047616</v>
          </cell>
        </row>
        <row r="78">
          <cell r="B78">
            <v>0.75595238095238093</v>
          </cell>
          <cell r="C78">
            <v>0.75595238095238093</v>
          </cell>
        </row>
        <row r="80">
          <cell r="C80">
            <v>568</v>
          </cell>
        </row>
        <row r="81">
          <cell r="C81">
            <v>38.5</v>
          </cell>
        </row>
        <row r="82">
          <cell r="C82">
            <v>2.5</v>
          </cell>
        </row>
        <row r="83">
          <cell r="C83">
            <v>1</v>
          </cell>
        </row>
        <row r="84">
          <cell r="C84">
            <v>3</v>
          </cell>
        </row>
        <row r="85">
          <cell r="C85">
            <v>1.5</v>
          </cell>
        </row>
        <row r="89">
          <cell r="C89">
            <v>0</v>
          </cell>
        </row>
        <row r="96">
          <cell r="B96">
            <v>0.75</v>
          </cell>
          <cell r="C96">
            <v>0.75</v>
          </cell>
        </row>
        <row r="97">
          <cell r="B97">
            <v>0.44444444444444442</v>
          </cell>
          <cell r="C97">
            <v>0.44444444444444442</v>
          </cell>
          <cell r="AR97">
            <v>0.5</v>
          </cell>
          <cell r="AS97">
            <v>0</v>
          </cell>
          <cell r="AZ97">
            <v>0.5</v>
          </cell>
          <cell r="BB97">
            <v>1</v>
          </cell>
        </row>
        <row r="98">
          <cell r="B98">
            <v>0.5</v>
          </cell>
          <cell r="C98">
            <v>0.5</v>
          </cell>
        </row>
        <row r="99">
          <cell r="B99">
            <v>0.88888888888888884</v>
          </cell>
          <cell r="C99">
            <v>0.70274170274170267</v>
          </cell>
        </row>
        <row r="100">
          <cell r="B100">
            <v>0.84523809523809523</v>
          </cell>
          <cell r="C100">
            <v>0.84523809523809523</v>
          </cell>
        </row>
        <row r="102">
          <cell r="C102">
            <v>962</v>
          </cell>
        </row>
        <row r="103">
          <cell r="C103">
            <v>66.5</v>
          </cell>
        </row>
        <row r="104">
          <cell r="C104">
            <v>3</v>
          </cell>
        </row>
        <row r="105">
          <cell r="C105">
            <v>3.5</v>
          </cell>
        </row>
        <row r="106">
          <cell r="C106">
            <v>3</v>
          </cell>
        </row>
        <row r="107">
          <cell r="C107">
            <v>4</v>
          </cell>
        </row>
      </sheetData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M_046</v>
          </cell>
          <cell r="C2" t="str">
            <v>D+M</v>
          </cell>
          <cell r="D2">
            <v>2</v>
          </cell>
          <cell r="E2" t="str">
            <v>B</v>
          </cell>
          <cell r="F2">
            <v>45093</v>
          </cell>
        </row>
        <row r="3">
          <cell r="D3">
            <v>45013</v>
          </cell>
        </row>
        <row r="5">
          <cell r="D5">
            <v>0.66145833333333326</v>
          </cell>
          <cell r="E5">
            <v>0.64031862745098045</v>
          </cell>
        </row>
        <row r="6">
          <cell r="D6">
            <v>0.73005952380952377</v>
          </cell>
          <cell r="E6">
            <v>0.67648809523809528</v>
          </cell>
        </row>
        <row r="7">
          <cell r="D7">
            <v>0.66089947089947088</v>
          </cell>
          <cell r="E7">
            <v>0.63285714285714278</v>
          </cell>
        </row>
        <row r="8">
          <cell r="D8">
            <v>0.68404761904761913</v>
          </cell>
          <cell r="E8">
            <v>0.68404761904761913</v>
          </cell>
        </row>
        <row r="9">
          <cell r="D9">
            <v>0.68411623677248667</v>
          </cell>
          <cell r="E9">
            <v>0.65842787114845946</v>
          </cell>
        </row>
        <row r="12">
          <cell r="B12">
            <v>26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3</v>
          </cell>
        </row>
        <row r="14">
          <cell r="B14" t="str">
            <v>8/16</v>
          </cell>
          <cell r="I14">
            <v>4</v>
          </cell>
          <cell r="L14">
            <v>4</v>
          </cell>
          <cell r="O14">
            <v>2</v>
          </cell>
        </row>
        <row r="15">
          <cell r="B15" t="str">
            <v>12/20</v>
          </cell>
          <cell r="I15">
            <v>4</v>
          </cell>
          <cell r="L15">
            <v>4</v>
          </cell>
          <cell r="O15">
            <v>2</v>
          </cell>
        </row>
        <row r="16">
          <cell r="B16">
            <v>36</v>
          </cell>
          <cell r="I16">
            <v>4</v>
          </cell>
          <cell r="L16">
            <v>3</v>
          </cell>
          <cell r="O16">
            <v>3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4</v>
          </cell>
        </row>
        <row r="18">
          <cell r="B18"/>
          <cell r="I18">
            <v>4</v>
          </cell>
          <cell r="L18">
            <v>3</v>
          </cell>
          <cell r="O18">
            <v>2</v>
          </cell>
        </row>
        <row r="19">
          <cell r="B19">
            <v>1</v>
          </cell>
          <cell r="I19">
            <v>4</v>
          </cell>
          <cell r="L19">
            <v>4</v>
          </cell>
          <cell r="O19">
            <v>2</v>
          </cell>
        </row>
        <row r="20">
          <cell r="B20">
            <v>3</v>
          </cell>
          <cell r="I20">
            <v>4</v>
          </cell>
          <cell r="L20">
            <v>3</v>
          </cell>
          <cell r="O20">
            <v>3</v>
          </cell>
        </row>
        <row r="21">
          <cell r="B21">
            <v>1</v>
          </cell>
          <cell r="I21">
            <v>4</v>
          </cell>
          <cell r="L21">
            <v>3</v>
          </cell>
          <cell r="O21">
            <v>2</v>
          </cell>
        </row>
        <row r="22">
          <cell r="B22">
            <v>0</v>
          </cell>
          <cell r="I22">
            <v>4</v>
          </cell>
          <cell r="L22">
            <v>4</v>
          </cell>
          <cell r="O22">
            <v>2</v>
          </cell>
        </row>
        <row r="23">
          <cell r="I23">
            <v>4</v>
          </cell>
          <cell r="L23">
            <v>4</v>
          </cell>
          <cell r="O23">
            <v>2</v>
          </cell>
        </row>
        <row r="24">
          <cell r="I24">
            <v>0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0.66666666666666663</v>
          </cell>
          <cell r="C31">
            <v>0.66666666666666663</v>
          </cell>
        </row>
        <row r="32">
          <cell r="B32">
            <v>0.8125</v>
          </cell>
          <cell r="C32">
            <v>0.72794117647058831</v>
          </cell>
        </row>
        <row r="33">
          <cell r="B33">
            <v>0.77777777777777768</v>
          </cell>
          <cell r="C33">
            <v>0.77777777777777768</v>
          </cell>
        </row>
        <row r="52">
          <cell r="B52">
            <v>0.75</v>
          </cell>
          <cell r="C52">
            <v>0.75</v>
          </cell>
        </row>
        <row r="53">
          <cell r="B53">
            <v>0.31111111111111112</v>
          </cell>
          <cell r="C53">
            <v>0.31111111111111112</v>
          </cell>
          <cell r="AU53">
            <v>1</v>
          </cell>
          <cell r="AV53">
            <v>1</v>
          </cell>
          <cell r="AX53">
            <v>0</v>
          </cell>
          <cell r="AY53">
            <v>0</v>
          </cell>
          <cell r="AZ53">
            <v>0</v>
          </cell>
          <cell r="BF53">
            <v>1</v>
          </cell>
        </row>
        <row r="54">
          <cell r="B54">
            <v>0.5</v>
          </cell>
          <cell r="C54">
            <v>0.5</v>
          </cell>
        </row>
        <row r="55">
          <cell r="B55">
            <v>0.84259259259259256</v>
          </cell>
          <cell r="C55">
            <v>0.70238095238095244</v>
          </cell>
        </row>
        <row r="56">
          <cell r="B56">
            <v>0.9007936507936507</v>
          </cell>
          <cell r="C56">
            <v>0.9007936507936507</v>
          </cell>
        </row>
        <row r="58">
          <cell r="C58">
            <v>1098</v>
          </cell>
        </row>
        <row r="59">
          <cell r="C59">
            <v>60</v>
          </cell>
        </row>
        <row r="60">
          <cell r="C60">
            <v>3</v>
          </cell>
        </row>
        <row r="61">
          <cell r="C61">
            <v>3</v>
          </cell>
        </row>
        <row r="62">
          <cell r="C62">
            <v>4.5</v>
          </cell>
        </row>
        <row r="63">
          <cell r="C63">
            <v>3.5</v>
          </cell>
        </row>
        <row r="74">
          <cell r="B74">
            <v>0.7</v>
          </cell>
          <cell r="C74">
            <v>0.7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1</v>
          </cell>
          <cell r="AF75">
            <v>0</v>
          </cell>
        </row>
        <row r="76">
          <cell r="B76">
            <v>0.5357142857142857</v>
          </cell>
          <cell r="C76">
            <v>0.5357142857142857</v>
          </cell>
        </row>
        <row r="77">
          <cell r="B77">
            <v>0.83333333333333326</v>
          </cell>
          <cell r="C77">
            <v>0.61904761904761907</v>
          </cell>
        </row>
        <row r="78">
          <cell r="B78">
            <v>0.85119047619047616</v>
          </cell>
          <cell r="C78">
            <v>0.85119047619047616</v>
          </cell>
        </row>
        <row r="80">
          <cell r="C80">
            <v>1042</v>
          </cell>
        </row>
        <row r="81">
          <cell r="C81">
            <v>47.5</v>
          </cell>
        </row>
        <row r="82">
          <cell r="C82">
            <v>3</v>
          </cell>
        </row>
        <row r="83">
          <cell r="C83">
            <v>3</v>
          </cell>
        </row>
        <row r="84">
          <cell r="C84">
            <v>4</v>
          </cell>
        </row>
        <row r="85">
          <cell r="C85">
            <v>2.5</v>
          </cell>
        </row>
        <row r="89">
          <cell r="C89">
            <v>1</v>
          </cell>
        </row>
        <row r="96">
          <cell r="B96">
            <v>0.75</v>
          </cell>
          <cell r="C96">
            <v>0.75</v>
          </cell>
        </row>
        <row r="97">
          <cell r="B97">
            <v>0.31111111111111112</v>
          </cell>
          <cell r="C97">
            <v>0.31111111111111112</v>
          </cell>
          <cell r="AR97">
            <v>1</v>
          </cell>
          <cell r="AS97">
            <v>1</v>
          </cell>
          <cell r="AZ97">
            <v>1</v>
          </cell>
          <cell r="BB97">
            <v>1</v>
          </cell>
        </row>
        <row r="98">
          <cell r="B98">
            <v>0.5</v>
          </cell>
          <cell r="C98">
            <v>0.5</v>
          </cell>
        </row>
        <row r="99">
          <cell r="B99">
            <v>0.88888888888888884</v>
          </cell>
          <cell r="C99">
            <v>0.88888888888888884</v>
          </cell>
        </row>
        <row r="100">
          <cell r="B100">
            <v>0.97023809523809523</v>
          </cell>
          <cell r="C100">
            <v>0.97023809523809523</v>
          </cell>
        </row>
        <row r="102">
          <cell r="C102">
            <v>878</v>
          </cell>
        </row>
        <row r="103">
          <cell r="C103">
            <v>72.5</v>
          </cell>
        </row>
        <row r="104">
          <cell r="C104">
            <v>3</v>
          </cell>
        </row>
        <row r="105">
          <cell r="C105">
            <v>4.5</v>
          </cell>
        </row>
        <row r="106">
          <cell r="C106">
            <v>4.5</v>
          </cell>
        </row>
        <row r="107">
          <cell r="C107">
            <v>4.5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M_047</v>
          </cell>
          <cell r="C2" t="str">
            <v>D+M</v>
          </cell>
          <cell r="D2">
            <v>2</v>
          </cell>
          <cell r="E2" t="str">
            <v>A</v>
          </cell>
          <cell r="F2">
            <v>45160</v>
          </cell>
        </row>
        <row r="3">
          <cell r="D3">
            <v>45013</v>
          </cell>
        </row>
        <row r="5">
          <cell r="D5">
            <v>0.71304563492063489</v>
          </cell>
          <cell r="E5">
            <v>0.69190592903828196</v>
          </cell>
        </row>
        <row r="6">
          <cell r="D6">
            <v>0.52835497835497836</v>
          </cell>
          <cell r="E6">
            <v>0.50752164502164498</v>
          </cell>
        </row>
        <row r="7">
          <cell r="D7">
            <v>0.54661375661375655</v>
          </cell>
          <cell r="E7">
            <v>0.50507936507936502</v>
          </cell>
        </row>
        <row r="8">
          <cell r="D8">
            <v>0.49136904761904765</v>
          </cell>
          <cell r="E8">
            <v>0.45392316017316015</v>
          </cell>
        </row>
        <row r="9">
          <cell r="D9">
            <v>0.56984585437710433</v>
          </cell>
          <cell r="E9">
            <v>0.53960752482811303</v>
          </cell>
        </row>
        <row r="12">
          <cell r="B12">
            <v>21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1/21</v>
          </cell>
          <cell r="I14">
            <v>4</v>
          </cell>
          <cell r="L14">
            <v>4</v>
          </cell>
          <cell r="O14">
            <v>1</v>
          </cell>
        </row>
        <row r="15">
          <cell r="B15" t="str">
            <v>5/21</v>
          </cell>
          <cell r="I15">
            <v>4</v>
          </cell>
          <cell r="L15">
            <v>4</v>
          </cell>
          <cell r="O15">
            <v>1</v>
          </cell>
        </row>
        <row r="16">
          <cell r="B16">
            <v>36</v>
          </cell>
          <cell r="I16">
            <v>3</v>
          </cell>
          <cell r="L16">
            <v>2</v>
          </cell>
          <cell r="O16">
            <v>3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4</v>
          </cell>
        </row>
        <row r="18">
          <cell r="B18"/>
          <cell r="I18">
            <v>3</v>
          </cell>
          <cell r="L18">
            <v>2</v>
          </cell>
          <cell r="O18">
            <v>3</v>
          </cell>
        </row>
        <row r="19">
          <cell r="B19">
            <v>1</v>
          </cell>
          <cell r="I19">
            <v>5</v>
          </cell>
          <cell r="L19">
            <v>5</v>
          </cell>
          <cell r="O19">
            <v>1</v>
          </cell>
        </row>
        <row r="20">
          <cell r="B20">
            <v>1</v>
          </cell>
          <cell r="I20">
            <v>4</v>
          </cell>
          <cell r="L20">
            <v>2</v>
          </cell>
          <cell r="O20">
            <v>2</v>
          </cell>
        </row>
        <row r="21">
          <cell r="B21">
            <v>0</v>
          </cell>
          <cell r="I21">
            <v>3</v>
          </cell>
          <cell r="L21">
            <v>1</v>
          </cell>
          <cell r="O21">
            <v>2</v>
          </cell>
        </row>
        <row r="22">
          <cell r="B22">
            <v>0</v>
          </cell>
          <cell r="I22">
            <v>2</v>
          </cell>
          <cell r="L22">
            <v>2</v>
          </cell>
          <cell r="O22">
            <v>1</v>
          </cell>
        </row>
        <row r="23">
          <cell r="I23">
            <v>5</v>
          </cell>
          <cell r="L23">
            <v>5</v>
          </cell>
          <cell r="O23">
            <v>1</v>
          </cell>
        </row>
        <row r="24">
          <cell r="I24">
            <v>2</v>
          </cell>
        </row>
        <row r="29">
          <cell r="B29">
            <v>0.88888888888888884</v>
          </cell>
          <cell r="C29">
            <v>0.88888888888888884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0.33333333333333331</v>
          </cell>
          <cell r="C31">
            <v>0.33333333333333331</v>
          </cell>
        </row>
        <row r="32">
          <cell r="B32">
            <v>0.8125</v>
          </cell>
          <cell r="C32">
            <v>0.72794117647058831</v>
          </cell>
        </row>
        <row r="33">
          <cell r="B33">
            <v>0.81746031746031733</v>
          </cell>
          <cell r="C33">
            <v>0.81746031746031733</v>
          </cell>
        </row>
        <row r="52">
          <cell r="B52">
            <v>0.75</v>
          </cell>
          <cell r="C52">
            <v>0.75</v>
          </cell>
        </row>
        <row r="53">
          <cell r="B53">
            <v>0.31111111111111112</v>
          </cell>
          <cell r="C53">
            <v>0.31111111111111112</v>
          </cell>
          <cell r="AU53">
            <v>0.5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0.5</v>
          </cell>
        </row>
        <row r="54">
          <cell r="B54">
            <v>0</v>
          </cell>
          <cell r="C54">
            <v>0</v>
          </cell>
        </row>
        <row r="55">
          <cell r="B55">
            <v>0.73148148148148151</v>
          </cell>
          <cell r="C55">
            <v>0.52380952380952384</v>
          </cell>
        </row>
        <row r="56">
          <cell r="B56">
            <v>0.94047619047619035</v>
          </cell>
          <cell r="C56">
            <v>0.94047619047619035</v>
          </cell>
        </row>
        <row r="58">
          <cell r="C58">
            <v>1159</v>
          </cell>
        </row>
        <row r="59">
          <cell r="C59">
            <v>51</v>
          </cell>
        </row>
        <row r="60">
          <cell r="C60">
            <v>3</v>
          </cell>
        </row>
        <row r="61">
          <cell r="C61">
            <v>3</v>
          </cell>
        </row>
        <row r="62">
          <cell r="C62">
            <v>3.5</v>
          </cell>
        </row>
        <row r="63">
          <cell r="C63">
            <v>2.5</v>
          </cell>
        </row>
        <row r="74">
          <cell r="B74">
            <v>0.51818181818181819</v>
          </cell>
          <cell r="C74">
            <v>0.51818181818181819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0.2857142857142857</v>
          </cell>
          <cell r="C76">
            <v>0.2857142857142857</v>
          </cell>
        </row>
        <row r="77">
          <cell r="B77">
            <v>0.58333333333333326</v>
          </cell>
          <cell r="C77">
            <v>0.5</v>
          </cell>
        </row>
        <row r="78">
          <cell r="B78">
            <v>0.72619047619047616</v>
          </cell>
          <cell r="C78">
            <v>0.72619047619047616</v>
          </cell>
        </row>
        <row r="80">
          <cell r="C80">
            <v>1034</v>
          </cell>
        </row>
        <row r="81">
          <cell r="C81">
            <v>40.5</v>
          </cell>
        </row>
        <row r="82">
          <cell r="C82">
            <v>3.5</v>
          </cell>
        </row>
        <row r="83">
          <cell r="C83">
            <v>2.5</v>
          </cell>
        </row>
        <row r="84">
          <cell r="C84">
            <v>3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0.46874999999999994</v>
          </cell>
          <cell r="C96">
            <v>0.46874999999999994</v>
          </cell>
        </row>
        <row r="97">
          <cell r="B97">
            <v>0.31111111111111112</v>
          </cell>
          <cell r="C97">
            <v>0.31111111111111112</v>
          </cell>
          <cell r="AR97">
            <v>1</v>
          </cell>
          <cell r="AS97">
            <v>1</v>
          </cell>
          <cell r="AZ97">
            <v>0.5</v>
          </cell>
          <cell r="BB97">
            <v>1</v>
          </cell>
        </row>
        <row r="98">
          <cell r="B98">
            <v>0</v>
          </cell>
          <cell r="C98">
            <v>0</v>
          </cell>
        </row>
        <row r="99">
          <cell r="B99">
            <v>0.80555555555555547</v>
          </cell>
          <cell r="C99">
            <v>0.61832611832611828</v>
          </cell>
        </row>
        <row r="100">
          <cell r="B100">
            <v>0.87142857142857133</v>
          </cell>
          <cell r="C100">
            <v>0.87142857142857133</v>
          </cell>
        </row>
        <row r="102">
          <cell r="C102">
            <v>816</v>
          </cell>
        </row>
        <row r="103">
          <cell r="C103">
            <v>73.5</v>
          </cell>
        </row>
        <row r="104">
          <cell r="C104">
            <v>3</v>
          </cell>
        </row>
        <row r="105">
          <cell r="C105">
            <v>3.5</v>
          </cell>
        </row>
        <row r="106">
          <cell r="C106">
            <v>3</v>
          </cell>
        </row>
        <row r="107">
          <cell r="C107">
            <v>3</v>
          </cell>
        </row>
      </sheetData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M_048</v>
          </cell>
          <cell r="C2" t="str">
            <v>D only</v>
          </cell>
          <cell r="D2">
            <v>2</v>
          </cell>
          <cell r="E2" t="str">
            <v>A</v>
          </cell>
          <cell r="F2">
            <v>45090</v>
          </cell>
        </row>
        <row r="3">
          <cell r="D3">
            <v>45013</v>
          </cell>
        </row>
        <row r="5">
          <cell r="D5">
            <v>0.29786706349206349</v>
          </cell>
          <cell r="E5">
            <v>0.27856559290382821</v>
          </cell>
        </row>
        <row r="6">
          <cell r="D6">
            <v>0.37704274891774886</v>
          </cell>
          <cell r="E6">
            <v>0.38336715367965363</v>
          </cell>
        </row>
        <row r="7">
          <cell r="D7">
            <v>0.33291005291005293</v>
          </cell>
          <cell r="E7">
            <v>0.3264285714285714</v>
          </cell>
        </row>
        <row r="8">
          <cell r="D8">
            <v>0.40789682539682542</v>
          </cell>
          <cell r="E8">
            <v>0.36749278499278504</v>
          </cell>
        </row>
        <row r="9">
          <cell r="D9">
            <v>0.35392917267917262</v>
          </cell>
          <cell r="E9">
            <v>0.33896352575120958</v>
          </cell>
        </row>
        <row r="12">
          <cell r="B12">
            <v>22</v>
          </cell>
        </row>
        <row r="13">
          <cell r="B13">
            <v>2</v>
          </cell>
          <cell r="I13">
            <v>4</v>
          </cell>
          <cell r="L13">
            <v>4</v>
          </cell>
          <cell r="O13">
            <v>3</v>
          </cell>
        </row>
        <row r="14">
          <cell r="B14" t="str">
            <v>n/a</v>
          </cell>
          <cell r="I14">
            <v>3</v>
          </cell>
          <cell r="L14">
            <v>2</v>
          </cell>
          <cell r="O14">
            <v>2</v>
          </cell>
        </row>
        <row r="15">
          <cell r="B15" t="str">
            <v>12/22</v>
          </cell>
          <cell r="I15">
            <v>3</v>
          </cell>
          <cell r="L15">
            <v>4</v>
          </cell>
          <cell r="O15">
            <v>2</v>
          </cell>
        </row>
        <row r="16">
          <cell r="B16">
            <v>6</v>
          </cell>
          <cell r="I16">
            <v>4</v>
          </cell>
          <cell r="L16">
            <v>4</v>
          </cell>
          <cell r="O16">
            <v>3</v>
          </cell>
        </row>
        <row r="17">
          <cell r="B17">
            <v>0</v>
          </cell>
          <cell r="I17">
            <v>5</v>
          </cell>
          <cell r="L17">
            <v>4</v>
          </cell>
          <cell r="O17">
            <v>5</v>
          </cell>
        </row>
        <row r="18">
          <cell r="B18"/>
          <cell r="I18">
            <v>3</v>
          </cell>
          <cell r="L18">
            <v>3</v>
          </cell>
          <cell r="O18">
            <v>3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1</v>
          </cell>
        </row>
        <row r="20">
          <cell r="B20"/>
          <cell r="I20">
            <v>2</v>
          </cell>
          <cell r="L20">
            <v>3</v>
          </cell>
          <cell r="O20">
            <v>1</v>
          </cell>
        </row>
        <row r="21">
          <cell r="B21"/>
          <cell r="I21">
            <v>4</v>
          </cell>
          <cell r="L21">
            <v>4</v>
          </cell>
          <cell r="O21">
            <v>3</v>
          </cell>
        </row>
        <row r="22">
          <cell r="B22">
            <v>0</v>
          </cell>
          <cell r="I22">
            <v>3</v>
          </cell>
          <cell r="L22">
            <v>4</v>
          </cell>
          <cell r="O22">
            <v>4</v>
          </cell>
        </row>
        <row r="23">
          <cell r="I23">
            <v>5</v>
          </cell>
          <cell r="L23">
            <v>5</v>
          </cell>
          <cell r="O23">
            <v>4</v>
          </cell>
        </row>
        <row r="24">
          <cell r="I24">
            <v>0</v>
          </cell>
        </row>
        <row r="29">
          <cell r="B29">
            <v>0.1111111111111111</v>
          </cell>
          <cell r="C29">
            <v>0.1111111111111111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0.25</v>
          </cell>
          <cell r="C31">
            <v>0.25</v>
          </cell>
        </row>
        <row r="32">
          <cell r="B32">
            <v>0.5625</v>
          </cell>
          <cell r="C32">
            <v>0.48529411764705882</v>
          </cell>
        </row>
        <row r="33">
          <cell r="B33">
            <v>0.26785714285714285</v>
          </cell>
          <cell r="C33">
            <v>0.26785714285714285</v>
          </cell>
        </row>
        <row r="52">
          <cell r="B52">
            <v>0.33333333333333331</v>
          </cell>
          <cell r="C52">
            <v>0.33333333333333331</v>
          </cell>
        </row>
        <row r="53">
          <cell r="B53">
            <v>0.3</v>
          </cell>
          <cell r="C53">
            <v>0.3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0.24074074074074073</v>
          </cell>
          <cell r="C55">
            <v>0.20833333333333334</v>
          </cell>
        </row>
        <row r="56">
          <cell r="B56">
            <v>0.2904761904761905</v>
          </cell>
          <cell r="C56">
            <v>0.2904761904761905</v>
          </cell>
        </row>
        <row r="58">
          <cell r="C58">
            <v>578</v>
          </cell>
        </row>
        <row r="59">
          <cell r="C59">
            <v>15.5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C63">
            <v>1</v>
          </cell>
        </row>
        <row r="74">
          <cell r="B74">
            <v>0.29090909090909089</v>
          </cell>
          <cell r="C74">
            <v>0.29090909090909089</v>
          </cell>
        </row>
        <row r="75">
          <cell r="B75" t="str">
            <v>n/a</v>
          </cell>
          <cell r="C75" t="str">
            <v>n/a</v>
          </cell>
          <cell r="AB75">
            <v>1</v>
          </cell>
          <cell r="AD75">
            <v>0.5</v>
          </cell>
          <cell r="AF75">
            <v>0</v>
          </cell>
        </row>
        <row r="76">
          <cell r="B76">
            <v>0.2857142857142857</v>
          </cell>
          <cell r="C76">
            <v>0.2857142857142857</v>
          </cell>
        </row>
        <row r="77">
          <cell r="B77">
            <v>0.52083333333333326</v>
          </cell>
          <cell r="C77">
            <v>0.54613095238095233</v>
          </cell>
        </row>
        <row r="78">
          <cell r="B78">
            <v>0.41071428571428564</v>
          </cell>
          <cell r="C78">
            <v>0.41071428571428564</v>
          </cell>
        </row>
        <row r="80">
          <cell r="C80">
            <v>424</v>
          </cell>
        </row>
        <row r="81">
          <cell r="C81">
            <v>37.5</v>
          </cell>
        </row>
        <row r="82">
          <cell r="C82">
            <v>2</v>
          </cell>
        </row>
        <row r="83">
          <cell r="C83">
            <v>2</v>
          </cell>
        </row>
        <row r="84">
          <cell r="C84">
            <v>2</v>
          </cell>
        </row>
        <row r="85">
          <cell r="C85">
            <v>2</v>
          </cell>
        </row>
        <row r="89">
          <cell r="C89">
            <v>0.5</v>
          </cell>
        </row>
        <row r="96">
          <cell r="B96">
            <v>0.3125</v>
          </cell>
          <cell r="C96">
            <v>0.3125</v>
          </cell>
        </row>
        <row r="97">
          <cell r="B97">
            <v>0.3</v>
          </cell>
          <cell r="C97">
            <v>0.3</v>
          </cell>
          <cell r="AR97">
            <v>0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0.5</v>
          </cell>
          <cell r="C99">
            <v>0.29797979797979796</v>
          </cell>
        </row>
        <row r="100">
          <cell r="B100">
            <v>0.42698412698412697</v>
          </cell>
          <cell r="C100">
            <v>0.42698412698412697</v>
          </cell>
        </row>
        <row r="102">
          <cell r="C102">
            <v>473</v>
          </cell>
        </row>
        <row r="103">
          <cell r="C103">
            <v>14</v>
          </cell>
        </row>
        <row r="104">
          <cell r="C104">
            <v>1</v>
          </cell>
        </row>
        <row r="105">
          <cell r="C105">
            <v>1</v>
          </cell>
        </row>
        <row r="106">
          <cell r="C106">
            <v>1.5</v>
          </cell>
        </row>
        <row r="107">
          <cell r="C107">
            <v>1</v>
          </cell>
        </row>
      </sheetData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M_049</v>
          </cell>
          <cell r="C2" t="str">
            <v>D only</v>
          </cell>
          <cell r="D2">
            <v>2</v>
          </cell>
          <cell r="E2" t="str">
            <v>B</v>
          </cell>
          <cell r="F2">
            <v>45090</v>
          </cell>
        </row>
        <row r="3">
          <cell r="D3">
            <v>45013</v>
          </cell>
        </row>
        <row r="5">
          <cell r="D5">
            <v>0.19990079365079363</v>
          </cell>
          <cell r="E5">
            <v>0.23666549953314658</v>
          </cell>
        </row>
        <row r="6">
          <cell r="D6">
            <v>0.40159632034632031</v>
          </cell>
          <cell r="E6">
            <v>0.380762987012987</v>
          </cell>
        </row>
        <row r="7">
          <cell r="D7">
            <v>0.2496031746031746</v>
          </cell>
          <cell r="E7">
            <v>0.2496031746031746</v>
          </cell>
        </row>
        <row r="8">
          <cell r="D8">
            <v>0.24063492063492067</v>
          </cell>
          <cell r="E8">
            <v>0.22447330447330449</v>
          </cell>
        </row>
        <row r="9">
          <cell r="D9">
            <v>0.27293380230880232</v>
          </cell>
          <cell r="E9">
            <v>0.27287624140565314</v>
          </cell>
        </row>
        <row r="12">
          <cell r="B12">
            <v>32</v>
          </cell>
        </row>
        <row r="13">
          <cell r="B13">
            <v>2</v>
          </cell>
          <cell r="I13">
            <v>5</v>
          </cell>
          <cell r="L13">
            <v>5</v>
          </cell>
          <cell r="O13">
            <v>4</v>
          </cell>
        </row>
        <row r="14">
          <cell r="B14" t="str">
            <v>6/18</v>
          </cell>
          <cell r="I14">
            <v>4</v>
          </cell>
          <cell r="L14">
            <v>4</v>
          </cell>
          <cell r="O14">
            <v>2</v>
          </cell>
        </row>
        <row r="15">
          <cell r="B15" t="str">
            <v>10/18</v>
          </cell>
          <cell r="I15">
            <v>4</v>
          </cell>
          <cell r="L15">
            <v>4</v>
          </cell>
          <cell r="O15">
            <v>2</v>
          </cell>
        </row>
        <row r="16">
          <cell r="B16">
            <v>48</v>
          </cell>
          <cell r="I16">
            <v>4</v>
          </cell>
          <cell r="L16">
            <v>3</v>
          </cell>
          <cell r="O16">
            <v>3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4</v>
          </cell>
        </row>
        <row r="18">
          <cell r="B18"/>
          <cell r="I18">
            <v>4</v>
          </cell>
          <cell r="L18">
            <v>4</v>
          </cell>
          <cell r="O18">
            <v>3</v>
          </cell>
        </row>
        <row r="19">
          <cell r="B19">
            <v>1</v>
          </cell>
          <cell r="I19"/>
          <cell r="L19">
            <v>4</v>
          </cell>
          <cell r="O19">
            <v>1</v>
          </cell>
        </row>
        <row r="20">
          <cell r="B20">
            <v>1</v>
          </cell>
          <cell r="I20"/>
          <cell r="L20">
            <v>3</v>
          </cell>
          <cell r="O20">
            <v>3</v>
          </cell>
        </row>
        <row r="21">
          <cell r="B21">
            <v>1</v>
          </cell>
          <cell r="I21"/>
          <cell r="L21">
            <v>3</v>
          </cell>
          <cell r="O21">
            <v>5</v>
          </cell>
        </row>
        <row r="22">
          <cell r="B22">
            <v>0</v>
          </cell>
          <cell r="I22"/>
          <cell r="L22">
            <v>3</v>
          </cell>
          <cell r="O22">
            <v>1</v>
          </cell>
        </row>
        <row r="23">
          <cell r="I23"/>
          <cell r="L23">
            <v>4</v>
          </cell>
          <cell r="O23">
            <v>2</v>
          </cell>
        </row>
        <row r="24">
          <cell r="I24"/>
        </row>
        <row r="29">
          <cell r="B29">
            <v>0</v>
          </cell>
          <cell r="C29">
            <v>0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0.41666666666666663</v>
          </cell>
          <cell r="C31">
            <v>0.41666666666666663</v>
          </cell>
        </row>
        <row r="32">
          <cell r="B32">
            <v>0.25</v>
          </cell>
          <cell r="C32">
            <v>0.3970588235294118</v>
          </cell>
        </row>
        <row r="33">
          <cell r="B33">
            <v>0.13293650793650794</v>
          </cell>
          <cell r="C33">
            <v>0.13293650793650794</v>
          </cell>
        </row>
        <row r="52">
          <cell r="B52">
            <v>0</v>
          </cell>
          <cell r="C52">
            <v>0</v>
          </cell>
        </row>
        <row r="53">
          <cell r="B53">
            <v>0.26666666666666666</v>
          </cell>
          <cell r="C53">
            <v>0.26666666666666666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0.16666666666666666</v>
          </cell>
          <cell r="C55">
            <v>0.16666666666666666</v>
          </cell>
        </row>
        <row r="56">
          <cell r="B56">
            <v>0.31468253968253967</v>
          </cell>
          <cell r="C56">
            <v>0.31468253968253967</v>
          </cell>
        </row>
        <row r="58">
          <cell r="C58">
            <v>106</v>
          </cell>
        </row>
        <row r="59">
          <cell r="C59">
            <v>6</v>
          </cell>
        </row>
        <row r="60">
          <cell r="C60">
            <v>2.5</v>
          </cell>
        </row>
        <row r="61">
          <cell r="C61">
            <v>1</v>
          </cell>
        </row>
        <row r="62">
          <cell r="C62">
            <v>1</v>
          </cell>
        </row>
        <row r="63">
          <cell r="C63">
            <v>1</v>
          </cell>
        </row>
        <row r="74">
          <cell r="B74">
            <v>0.29090909090909089</v>
          </cell>
          <cell r="C74">
            <v>0.29090909090909089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0.39285714285714285</v>
          </cell>
          <cell r="C76">
            <v>0.39285714285714285</v>
          </cell>
        </row>
        <row r="77">
          <cell r="B77">
            <v>0.58333333333333326</v>
          </cell>
          <cell r="C77">
            <v>0.5</v>
          </cell>
        </row>
        <row r="78">
          <cell r="B78">
            <v>0.33928571428571425</v>
          </cell>
          <cell r="C78">
            <v>0.33928571428571425</v>
          </cell>
        </row>
        <row r="80">
          <cell r="C80">
            <v>191</v>
          </cell>
        </row>
        <row r="81">
          <cell r="C81">
            <v>22.5</v>
          </cell>
        </row>
        <row r="82">
          <cell r="C82">
            <v>2</v>
          </cell>
        </row>
        <row r="83">
          <cell r="C83">
            <v>1</v>
          </cell>
        </row>
        <row r="84">
          <cell r="C84">
            <v>1.5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0.16666666666666666</v>
          </cell>
          <cell r="C96">
            <v>0.16666666666666666</v>
          </cell>
        </row>
        <row r="97">
          <cell r="B97">
            <v>0.26666666666666666</v>
          </cell>
          <cell r="C97">
            <v>0.26666666666666666</v>
          </cell>
          <cell r="AR97">
            <v>0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0.1111111111111111</v>
          </cell>
          <cell r="C99">
            <v>3.0303030303030304E-2</v>
          </cell>
        </row>
        <row r="100">
          <cell r="B100">
            <v>0.15873015873015872</v>
          </cell>
          <cell r="C100">
            <v>0.15873015873015872</v>
          </cell>
        </row>
        <row r="102">
          <cell r="C102">
            <v>101</v>
          </cell>
        </row>
        <row r="103">
          <cell r="C103">
            <v>22</v>
          </cell>
        </row>
        <row r="104">
          <cell r="C104">
            <v>2.5</v>
          </cell>
        </row>
        <row r="105">
          <cell r="C105">
            <v>1</v>
          </cell>
        </row>
        <row r="106">
          <cell r="C106">
            <v>1.5</v>
          </cell>
        </row>
        <row r="107">
          <cell r="C107">
            <v>1</v>
          </cell>
        </row>
      </sheetData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M_083</v>
          </cell>
          <cell r="C2" t="str">
            <v>D+M</v>
          </cell>
          <cell r="D2">
            <v>3</v>
          </cell>
          <cell r="E2" t="str">
            <v>A</v>
          </cell>
          <cell r="F2">
            <v>45226</v>
          </cell>
        </row>
        <row r="3">
          <cell r="D3">
            <v>45104</v>
          </cell>
        </row>
        <row r="5">
          <cell r="D5">
            <v>0.44866071428571425</v>
          </cell>
          <cell r="E5">
            <v>0.42752100840336132</v>
          </cell>
        </row>
        <row r="6">
          <cell r="D6">
            <v>0.57637987012987013</v>
          </cell>
          <cell r="E6">
            <v>0.53024891774891769</v>
          </cell>
        </row>
        <row r="7">
          <cell r="D7">
            <v>0.4121164021164021</v>
          </cell>
          <cell r="E7">
            <v>0.40841269841269839</v>
          </cell>
        </row>
        <row r="8">
          <cell r="D8">
            <v>0.66273809523809524</v>
          </cell>
          <cell r="E8">
            <v>0.61425324675324666</v>
          </cell>
        </row>
        <row r="9">
          <cell r="D9">
            <v>0.52497377044252036</v>
          </cell>
          <cell r="E9">
            <v>0.49510896782955599</v>
          </cell>
        </row>
        <row r="12">
          <cell r="B12">
            <v>22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5</v>
          </cell>
        </row>
        <row r="14">
          <cell r="B14" t="str">
            <v>3/21</v>
          </cell>
          <cell r="I14">
            <v>4</v>
          </cell>
          <cell r="L14">
            <v>4</v>
          </cell>
          <cell r="O14">
            <v>1</v>
          </cell>
        </row>
        <row r="15">
          <cell r="B15" t="str">
            <v>8/21</v>
          </cell>
          <cell r="I15">
            <v>4</v>
          </cell>
          <cell r="L15">
            <v>4</v>
          </cell>
          <cell r="O15">
            <v>1</v>
          </cell>
        </row>
        <row r="16">
          <cell r="B16">
            <v>12</v>
          </cell>
          <cell r="I16">
            <v>4</v>
          </cell>
          <cell r="L16">
            <v>4</v>
          </cell>
          <cell r="O16">
            <v>2</v>
          </cell>
        </row>
        <row r="17">
          <cell r="B17">
            <v>0</v>
          </cell>
          <cell r="I17">
            <v>5</v>
          </cell>
          <cell r="L17">
            <v>1</v>
          </cell>
          <cell r="O17">
            <v>5</v>
          </cell>
        </row>
        <row r="18">
          <cell r="B18"/>
          <cell r="I18">
            <v>5</v>
          </cell>
          <cell r="L18">
            <v>2</v>
          </cell>
          <cell r="O18">
            <v>1</v>
          </cell>
        </row>
        <row r="19">
          <cell r="B19">
            <v>1</v>
          </cell>
          <cell r="I19">
            <v>5</v>
          </cell>
          <cell r="L19">
            <v>5</v>
          </cell>
          <cell r="O19">
            <v>1</v>
          </cell>
        </row>
        <row r="20">
          <cell r="B20">
            <v>1</v>
          </cell>
          <cell r="I20">
            <v>1</v>
          </cell>
          <cell r="L20">
            <v>3</v>
          </cell>
          <cell r="O20">
            <v>3</v>
          </cell>
        </row>
        <row r="21">
          <cell r="B21">
            <v>0</v>
          </cell>
          <cell r="I21">
            <v>5</v>
          </cell>
          <cell r="L21">
            <v>3</v>
          </cell>
          <cell r="O21">
            <v>1</v>
          </cell>
        </row>
        <row r="22">
          <cell r="B22">
            <v>0</v>
          </cell>
          <cell r="I22">
            <v>3</v>
          </cell>
          <cell r="L22">
            <v>4</v>
          </cell>
          <cell r="O22">
            <v>1</v>
          </cell>
        </row>
        <row r="23">
          <cell r="I23">
            <v>5</v>
          </cell>
          <cell r="L23">
            <v>5</v>
          </cell>
          <cell r="O23">
            <v>1</v>
          </cell>
        </row>
        <row r="24">
          <cell r="I24">
            <v>0</v>
          </cell>
        </row>
        <row r="29">
          <cell r="B29">
            <v>0.22222222222222221</v>
          </cell>
          <cell r="C29">
            <v>0.22222222222222221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</v>
          </cell>
          <cell r="C31">
            <v>0</v>
          </cell>
        </row>
        <row r="32">
          <cell r="B32">
            <v>0.6875</v>
          </cell>
          <cell r="C32">
            <v>0.60294117647058831</v>
          </cell>
        </row>
        <row r="33">
          <cell r="B33">
            <v>0.88492063492063477</v>
          </cell>
          <cell r="C33">
            <v>0.88492063492063477</v>
          </cell>
        </row>
        <row r="52">
          <cell r="B52">
            <v>0.20555555555555557</v>
          </cell>
          <cell r="C52">
            <v>0.20555555555555557</v>
          </cell>
        </row>
        <row r="53">
          <cell r="B53">
            <v>0.51111111111111107</v>
          </cell>
          <cell r="C53">
            <v>0.51111111111111107</v>
          </cell>
          <cell r="AU53">
            <v>1</v>
          </cell>
          <cell r="AV53">
            <v>1</v>
          </cell>
          <cell r="AX53">
            <v>1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</v>
          </cell>
          <cell r="C54">
            <v>0</v>
          </cell>
        </row>
        <row r="55">
          <cell r="B55">
            <v>0.43518518518518517</v>
          </cell>
          <cell r="C55">
            <v>0.41666666666666669</v>
          </cell>
        </row>
        <row r="56">
          <cell r="B56">
            <v>0.90873015873015872</v>
          </cell>
          <cell r="C56">
            <v>0.90873015873015872</v>
          </cell>
        </row>
        <row r="58">
          <cell r="C58">
            <v>1200</v>
          </cell>
        </row>
        <row r="59">
          <cell r="C59">
            <v>65</v>
          </cell>
        </row>
        <row r="60">
          <cell r="C60">
            <v>4</v>
          </cell>
        </row>
        <row r="61">
          <cell r="C61">
            <v>3</v>
          </cell>
        </row>
        <row r="62">
          <cell r="C62">
            <v>5</v>
          </cell>
        </row>
        <row r="63">
          <cell r="C63">
            <v>3</v>
          </cell>
        </row>
        <row r="74">
          <cell r="B74">
            <v>0.60909090909090913</v>
          </cell>
          <cell r="C74">
            <v>0.60909090909090913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0.21428571428571427</v>
          </cell>
          <cell r="C76">
            <v>0.21428571428571427</v>
          </cell>
        </row>
        <row r="77">
          <cell r="B77">
            <v>0.70833333333333326</v>
          </cell>
          <cell r="C77">
            <v>0.52380952380952372</v>
          </cell>
        </row>
        <row r="78">
          <cell r="B78">
            <v>0.77380952380952372</v>
          </cell>
          <cell r="C78">
            <v>0.77380952380952372</v>
          </cell>
        </row>
        <row r="80">
          <cell r="C80">
            <v>200</v>
          </cell>
        </row>
        <row r="81">
          <cell r="C81">
            <v>60</v>
          </cell>
        </row>
        <row r="82">
          <cell r="C82">
            <v>4</v>
          </cell>
        </row>
        <row r="83">
          <cell r="C83">
            <v>3</v>
          </cell>
        </row>
        <row r="84">
          <cell r="C84">
            <v>4</v>
          </cell>
        </row>
        <row r="85">
          <cell r="C85">
            <v>3</v>
          </cell>
        </row>
        <row r="89">
          <cell r="C89">
            <v>0</v>
          </cell>
        </row>
        <row r="96">
          <cell r="B96">
            <v>0.4375</v>
          </cell>
          <cell r="C96">
            <v>0.4375</v>
          </cell>
        </row>
        <row r="97">
          <cell r="B97">
            <v>0.51111111111111107</v>
          </cell>
          <cell r="C97">
            <v>0.51111111111111107</v>
          </cell>
          <cell r="AR97">
            <v>1</v>
          </cell>
          <cell r="AS97">
            <v>1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0.88888888888888884</v>
          </cell>
          <cell r="C99">
            <v>0.64646464646464641</v>
          </cell>
        </row>
        <row r="100">
          <cell r="B100">
            <v>0.97619047619047616</v>
          </cell>
          <cell r="C100">
            <v>0.97619047619047616</v>
          </cell>
        </row>
        <row r="102">
          <cell r="C102">
            <v>1200</v>
          </cell>
        </row>
        <row r="103">
          <cell r="C103">
            <v>70</v>
          </cell>
        </row>
        <row r="104">
          <cell r="C104">
            <v>4</v>
          </cell>
        </row>
        <row r="105">
          <cell r="C105">
            <v>3</v>
          </cell>
        </row>
        <row r="106">
          <cell r="C106">
            <v>4</v>
          </cell>
        </row>
        <row r="107">
          <cell r="C107">
            <v>3</v>
          </cell>
        </row>
      </sheetData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M_084</v>
          </cell>
          <cell r="C2" t="str">
            <v>D only</v>
          </cell>
          <cell r="D2">
            <v>3</v>
          </cell>
          <cell r="E2" t="str">
            <v>A</v>
          </cell>
          <cell r="F2">
            <v>45261</v>
          </cell>
        </row>
        <row r="3">
          <cell r="D3">
            <v>45104</v>
          </cell>
        </row>
        <row r="5">
          <cell r="D5">
            <v>0.45436507936507931</v>
          </cell>
          <cell r="E5">
            <v>0.45620331465919695</v>
          </cell>
        </row>
        <row r="6">
          <cell r="D6">
            <v>0.49178391053391046</v>
          </cell>
          <cell r="E6">
            <v>0.48285533910533907</v>
          </cell>
        </row>
        <row r="7">
          <cell r="D7">
            <v>0.41822751322751317</v>
          </cell>
          <cell r="E7">
            <v>0.40619047619047616</v>
          </cell>
        </row>
        <row r="8">
          <cell r="D8">
            <v>0.54115079365079366</v>
          </cell>
          <cell r="E8">
            <v>0.48454906204906206</v>
          </cell>
        </row>
        <row r="9">
          <cell r="D9">
            <v>0.47638182419432418</v>
          </cell>
          <cell r="E9">
            <v>0.45744954800101856</v>
          </cell>
        </row>
        <row r="12">
          <cell r="B12">
            <v>26</v>
          </cell>
        </row>
        <row r="13">
          <cell r="B13">
            <v>1</v>
          </cell>
          <cell r="I13">
            <v>5</v>
          </cell>
          <cell r="L13">
            <v>5</v>
          </cell>
          <cell r="O13">
            <v>4</v>
          </cell>
        </row>
        <row r="14">
          <cell r="B14" t="str">
            <v>9/14</v>
          </cell>
          <cell r="I14">
            <v>4</v>
          </cell>
          <cell r="L14">
            <v>4</v>
          </cell>
          <cell r="O14">
            <v>3</v>
          </cell>
        </row>
        <row r="15">
          <cell r="B15" t="str">
            <v>1/15</v>
          </cell>
          <cell r="I15">
            <v>5</v>
          </cell>
          <cell r="L15">
            <v>4</v>
          </cell>
          <cell r="O15">
            <v>3</v>
          </cell>
        </row>
        <row r="16">
          <cell r="B16">
            <v>96</v>
          </cell>
          <cell r="I16">
            <v>5</v>
          </cell>
          <cell r="L16">
            <v>4</v>
          </cell>
          <cell r="O16">
            <v>3</v>
          </cell>
        </row>
        <row r="17">
          <cell r="B17">
            <v>0</v>
          </cell>
          <cell r="I17">
            <v>5</v>
          </cell>
          <cell r="L17">
            <v>4</v>
          </cell>
          <cell r="O17">
            <v>5</v>
          </cell>
        </row>
        <row r="18">
          <cell r="B18"/>
          <cell r="I18">
            <v>5</v>
          </cell>
          <cell r="L18">
            <v>4</v>
          </cell>
          <cell r="O18">
            <v>3</v>
          </cell>
        </row>
        <row r="19">
          <cell r="B19">
            <v>1</v>
          </cell>
          <cell r="I19">
            <v>4</v>
          </cell>
          <cell r="L19">
            <v>5</v>
          </cell>
          <cell r="O19">
            <v>1</v>
          </cell>
        </row>
        <row r="20">
          <cell r="B20">
            <v>2</v>
          </cell>
          <cell r="I20">
            <v>3</v>
          </cell>
          <cell r="L20">
            <v>4</v>
          </cell>
          <cell r="O20">
            <v>4</v>
          </cell>
        </row>
        <row r="21">
          <cell r="B21">
            <v>0</v>
          </cell>
          <cell r="I21">
            <v>3</v>
          </cell>
          <cell r="L21">
            <v>3</v>
          </cell>
          <cell r="O21">
            <v>3</v>
          </cell>
        </row>
        <row r="22">
          <cell r="B22">
            <v>0</v>
          </cell>
          <cell r="I22">
            <v>4</v>
          </cell>
          <cell r="L22">
            <v>4</v>
          </cell>
          <cell r="O22">
            <v>3</v>
          </cell>
        </row>
        <row r="23">
          <cell r="I23">
            <v>4</v>
          </cell>
          <cell r="L23">
            <v>4</v>
          </cell>
          <cell r="O23">
            <v>3</v>
          </cell>
        </row>
        <row r="24">
          <cell r="I24">
            <v>1</v>
          </cell>
        </row>
        <row r="29">
          <cell r="B29">
            <v>0.25</v>
          </cell>
          <cell r="C29">
            <v>0.25</v>
          </cell>
        </row>
        <row r="30">
          <cell r="B30" t="str">
            <v>n/a</v>
          </cell>
          <cell r="C30" t="str">
            <v>n/a</v>
          </cell>
          <cell r="Z30">
            <v>1</v>
          </cell>
        </row>
        <row r="31">
          <cell r="B31">
            <v>0.41666666666666663</v>
          </cell>
          <cell r="C31">
            <v>0.41666666666666663</v>
          </cell>
        </row>
        <row r="32">
          <cell r="B32">
            <v>0.625</v>
          </cell>
          <cell r="C32">
            <v>0.63235294117647056</v>
          </cell>
        </row>
        <row r="33">
          <cell r="B33">
            <v>0.52579365079365081</v>
          </cell>
          <cell r="C33">
            <v>0.52579365079365081</v>
          </cell>
        </row>
        <row r="52">
          <cell r="B52">
            <v>0.375</v>
          </cell>
          <cell r="C52">
            <v>0.375</v>
          </cell>
        </row>
        <row r="53">
          <cell r="B53">
            <v>0.3444444444444445</v>
          </cell>
          <cell r="C53">
            <v>0.3444444444444445</v>
          </cell>
          <cell r="AU53">
            <v>1</v>
          </cell>
          <cell r="AV53">
            <v>1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0.43518518518518517</v>
          </cell>
          <cell r="C55">
            <v>0.375</v>
          </cell>
        </row>
        <row r="56">
          <cell r="B56">
            <v>0.43650793650793651</v>
          </cell>
          <cell r="C56">
            <v>0.43650793650793651</v>
          </cell>
        </row>
        <row r="58">
          <cell r="C58">
            <v>1200</v>
          </cell>
        </row>
        <row r="59">
          <cell r="C59">
            <v>22.5</v>
          </cell>
        </row>
        <row r="60">
          <cell r="C60">
            <v>1.5</v>
          </cell>
        </row>
        <row r="61">
          <cell r="C61">
            <v>1.5</v>
          </cell>
        </row>
        <row r="62">
          <cell r="C62">
            <v>2</v>
          </cell>
        </row>
        <row r="63">
          <cell r="C63">
            <v>1.5</v>
          </cell>
        </row>
        <row r="74">
          <cell r="B74">
            <v>0.38181818181818183</v>
          </cell>
          <cell r="C74">
            <v>0.38181818181818183</v>
          </cell>
        </row>
        <row r="75">
          <cell r="B75" t="str">
            <v>n/a</v>
          </cell>
          <cell r="C75" t="str">
            <v>n/a</v>
          </cell>
          <cell r="AB75">
            <v>1</v>
          </cell>
          <cell r="AD75">
            <v>0</v>
          </cell>
          <cell r="AF75">
            <v>0</v>
          </cell>
        </row>
        <row r="76">
          <cell r="B76">
            <v>0.4821428571428571</v>
          </cell>
          <cell r="C76">
            <v>0.4821428571428571</v>
          </cell>
        </row>
        <row r="77">
          <cell r="B77">
            <v>0.58333333333333326</v>
          </cell>
          <cell r="C77">
            <v>0.54761904761904756</v>
          </cell>
        </row>
        <row r="78">
          <cell r="B78">
            <v>0.51984126984126977</v>
          </cell>
          <cell r="C78">
            <v>0.51984126984126977</v>
          </cell>
        </row>
        <row r="80">
          <cell r="C80">
            <v>415</v>
          </cell>
        </row>
        <row r="81">
          <cell r="C81">
            <v>22.5</v>
          </cell>
        </row>
        <row r="82">
          <cell r="C82">
            <v>2</v>
          </cell>
        </row>
        <row r="83">
          <cell r="C83">
            <v>1.5</v>
          </cell>
        </row>
        <row r="84">
          <cell r="C84">
            <v>2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0.4375</v>
          </cell>
          <cell r="C96">
            <v>0.4375</v>
          </cell>
        </row>
        <row r="97">
          <cell r="B97">
            <v>0.3444444444444445</v>
          </cell>
          <cell r="C97">
            <v>0.3444444444444445</v>
          </cell>
          <cell r="AR97">
            <v>1</v>
          </cell>
          <cell r="AS97">
            <v>0</v>
          </cell>
          <cell r="AZ97">
            <v>1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0.76388888888888884</v>
          </cell>
          <cell r="C99">
            <v>0.48088023088023085</v>
          </cell>
        </row>
        <row r="100">
          <cell r="B100">
            <v>0.65992063492063491</v>
          </cell>
          <cell r="C100">
            <v>0.65992063492063491</v>
          </cell>
        </row>
        <row r="102">
          <cell r="C102">
            <v>644</v>
          </cell>
        </row>
        <row r="103">
          <cell r="C103">
            <v>35</v>
          </cell>
        </row>
        <row r="104">
          <cell r="C104">
            <v>1.5</v>
          </cell>
        </row>
        <row r="105">
          <cell r="C105">
            <v>2.5</v>
          </cell>
        </row>
        <row r="106">
          <cell r="C106">
            <v>2</v>
          </cell>
        </row>
        <row r="107">
          <cell r="C107">
            <v>2</v>
          </cell>
        </row>
      </sheetData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>
        <row r="2">
          <cell r="C2" t="str">
            <v>D+M</v>
          </cell>
        </row>
        <row r="29">
          <cell r="C29">
            <v>0.44444444444444448</v>
          </cell>
        </row>
        <row r="30">
          <cell r="C30" t="str">
            <v>n/a</v>
          </cell>
          <cell r="Z30">
            <v>0</v>
          </cell>
        </row>
        <row r="31">
          <cell r="C31">
            <v>0</v>
          </cell>
        </row>
        <row r="32">
          <cell r="C32">
            <v>0.68954248366013071</v>
          </cell>
        </row>
        <row r="33">
          <cell r="C33">
            <v>0.64682539682539675</v>
          </cell>
        </row>
        <row r="52">
          <cell r="C52">
            <v>0.47222222222222221</v>
          </cell>
        </row>
        <row r="53">
          <cell r="C53">
            <v>0.5185185185185186</v>
          </cell>
          <cell r="AU53">
            <v>1</v>
          </cell>
          <cell r="AV53">
            <v>1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C54">
            <v>0</v>
          </cell>
        </row>
        <row r="55">
          <cell r="C55">
            <v>0.31018518518518517</v>
          </cell>
        </row>
        <row r="56">
          <cell r="C56">
            <v>0.61269841269841274</v>
          </cell>
        </row>
        <row r="74">
          <cell r="C74">
            <v>0.7</v>
          </cell>
        </row>
        <row r="75"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C76">
            <v>0.3571428571428571</v>
          </cell>
        </row>
        <row r="77">
          <cell r="C77">
            <v>0.59226190476190466</v>
          </cell>
        </row>
        <row r="78">
          <cell r="C78">
            <v>0.5357142857142857</v>
          </cell>
        </row>
        <row r="96">
          <cell r="C96">
            <v>0.75</v>
          </cell>
        </row>
        <row r="97">
          <cell r="C97">
            <v>0.5185185185185186</v>
          </cell>
          <cell r="AR97">
            <v>0</v>
          </cell>
          <cell r="AS97">
            <v>1</v>
          </cell>
          <cell r="AZ97">
            <v>0</v>
          </cell>
          <cell r="BB97">
            <v>0</v>
          </cell>
        </row>
        <row r="98">
          <cell r="C98">
            <v>0</v>
          </cell>
        </row>
        <row r="99">
          <cell r="C99">
            <v>0.45598845598845594</v>
          </cell>
        </row>
        <row r="100">
          <cell r="C100">
            <v>0.74761904761904763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M_089</v>
          </cell>
          <cell r="C2" t="str">
            <v>D only</v>
          </cell>
          <cell r="D2">
            <v>3</v>
          </cell>
          <cell r="E2" t="str">
            <v>A</v>
          </cell>
          <cell r="F2">
            <v>45247</v>
          </cell>
        </row>
        <row r="3">
          <cell r="D3">
            <v>45104</v>
          </cell>
        </row>
        <row r="5">
          <cell r="D5">
            <v>0.49280753968253965</v>
          </cell>
          <cell r="E5">
            <v>0.48821195144724561</v>
          </cell>
        </row>
        <row r="6">
          <cell r="D6">
            <v>0.51820887445887442</v>
          </cell>
          <cell r="E6">
            <v>0.52267316017316012</v>
          </cell>
        </row>
        <row r="7">
          <cell r="D7">
            <v>0.50105820105820109</v>
          </cell>
          <cell r="E7">
            <v>0.51990740740740748</v>
          </cell>
        </row>
        <row r="8">
          <cell r="D8">
            <v>0.70137566137566132</v>
          </cell>
          <cell r="E8">
            <v>0.66046657046657042</v>
          </cell>
        </row>
        <row r="9">
          <cell r="D9">
            <v>0.55336256914381921</v>
          </cell>
          <cell r="E9">
            <v>0.54781477237359599</v>
          </cell>
        </row>
        <row r="12">
          <cell r="B12">
            <v>27</v>
          </cell>
        </row>
        <row r="13">
          <cell r="B13">
            <v>1</v>
          </cell>
          <cell r="I13">
            <v>5</v>
          </cell>
          <cell r="L13">
            <v>4</v>
          </cell>
          <cell r="O13">
            <v>5</v>
          </cell>
        </row>
        <row r="14">
          <cell r="B14" t="str">
            <v>2/16</v>
          </cell>
          <cell r="I14">
            <v>4</v>
          </cell>
          <cell r="L14">
            <v>4</v>
          </cell>
          <cell r="O14">
            <v>4</v>
          </cell>
        </row>
        <row r="15">
          <cell r="B15" t="str">
            <v>7/16</v>
          </cell>
          <cell r="I15">
            <v>4</v>
          </cell>
          <cell r="L15">
            <v>4</v>
          </cell>
          <cell r="O15">
            <v>3</v>
          </cell>
        </row>
        <row r="16">
          <cell r="B16">
            <v>84</v>
          </cell>
          <cell r="I16">
            <v>4</v>
          </cell>
          <cell r="L16">
            <v>3</v>
          </cell>
          <cell r="O16">
            <v>3</v>
          </cell>
        </row>
        <row r="17">
          <cell r="B17">
            <v>0</v>
          </cell>
          <cell r="I17">
            <v>5</v>
          </cell>
          <cell r="L17">
            <v>4</v>
          </cell>
          <cell r="O17">
            <v>5</v>
          </cell>
        </row>
        <row r="18">
          <cell r="B18"/>
          <cell r="I18">
            <v>5</v>
          </cell>
          <cell r="L18">
            <v>3</v>
          </cell>
          <cell r="O18">
            <v>3</v>
          </cell>
        </row>
        <row r="19">
          <cell r="B19">
            <v>1</v>
          </cell>
          <cell r="I19">
            <v>5</v>
          </cell>
          <cell r="L19">
            <v>5</v>
          </cell>
          <cell r="O19">
            <v>1</v>
          </cell>
        </row>
        <row r="20">
          <cell r="B20">
            <v>1</v>
          </cell>
          <cell r="I20">
            <v>4</v>
          </cell>
          <cell r="L20">
            <v>3</v>
          </cell>
          <cell r="O20">
            <v>3</v>
          </cell>
        </row>
        <row r="21">
          <cell r="B21">
            <v>0</v>
          </cell>
          <cell r="I21">
            <v>4</v>
          </cell>
          <cell r="L21">
            <v>3</v>
          </cell>
          <cell r="O21">
            <v>3</v>
          </cell>
        </row>
        <row r="22">
          <cell r="B22">
            <v>0</v>
          </cell>
          <cell r="I22">
            <v>4</v>
          </cell>
          <cell r="L22">
            <v>4</v>
          </cell>
          <cell r="O22">
            <v>3</v>
          </cell>
        </row>
        <row r="23">
          <cell r="I23">
            <v>5</v>
          </cell>
          <cell r="L23">
            <v>5</v>
          </cell>
          <cell r="O23">
            <v>3</v>
          </cell>
        </row>
        <row r="24">
          <cell r="I24">
            <v>2</v>
          </cell>
        </row>
        <row r="29">
          <cell r="B29">
            <v>0.1111111111111111</v>
          </cell>
          <cell r="C29">
            <v>0.1111111111111111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0.58333333333333326</v>
          </cell>
          <cell r="C31">
            <v>0.58333333333333326</v>
          </cell>
        </row>
        <row r="32">
          <cell r="B32">
            <v>0.5625</v>
          </cell>
          <cell r="C32">
            <v>0.54411764705882359</v>
          </cell>
        </row>
        <row r="33">
          <cell r="B33">
            <v>0.7142857142857143</v>
          </cell>
          <cell r="C33">
            <v>0.7142857142857143</v>
          </cell>
        </row>
        <row r="52">
          <cell r="B52">
            <v>0.26666666666666672</v>
          </cell>
          <cell r="C52">
            <v>0.40952380952380951</v>
          </cell>
        </row>
        <row r="53">
          <cell r="B53">
            <v>0.50370370370370376</v>
          </cell>
          <cell r="C53">
            <v>0.50370370370370376</v>
          </cell>
          <cell r="AU53">
            <v>1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0.3611111111111111</v>
          </cell>
          <cell r="C55">
            <v>0.3125</v>
          </cell>
        </row>
        <row r="56">
          <cell r="B56">
            <v>0.8738095238095237</v>
          </cell>
          <cell r="C56">
            <v>0.8738095238095237</v>
          </cell>
        </row>
        <row r="58">
          <cell r="C58" t="str">
            <v>n/a</v>
          </cell>
        </row>
        <row r="59">
          <cell r="C59">
            <v>30</v>
          </cell>
        </row>
        <row r="60">
          <cell r="C60">
            <v>2</v>
          </cell>
        </row>
        <row r="61">
          <cell r="C61">
            <v>2</v>
          </cell>
        </row>
        <row r="62">
          <cell r="C62">
            <v>3</v>
          </cell>
        </row>
        <row r="63">
          <cell r="C63">
            <v>2</v>
          </cell>
        </row>
        <row r="74">
          <cell r="B74">
            <v>0.24545454545454548</v>
          </cell>
          <cell r="C74">
            <v>0.24545454545454548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0.6071428571428571</v>
          </cell>
          <cell r="C76">
            <v>0.6071428571428571</v>
          </cell>
        </row>
        <row r="77">
          <cell r="B77">
            <v>0.45833333333333331</v>
          </cell>
          <cell r="C77">
            <v>0.47619047619047616</v>
          </cell>
        </row>
        <row r="78">
          <cell r="B78">
            <v>0.76190476190476186</v>
          </cell>
          <cell r="C78">
            <v>0.76190476190476186</v>
          </cell>
        </row>
        <row r="80">
          <cell r="C80" t="str">
            <v>n/a</v>
          </cell>
        </row>
        <row r="81">
          <cell r="C81">
            <v>20</v>
          </cell>
        </row>
        <row r="82">
          <cell r="C82">
            <v>4</v>
          </cell>
        </row>
        <row r="83">
          <cell r="C83">
            <v>2</v>
          </cell>
        </row>
        <row r="84">
          <cell r="C84">
            <v>2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0.8</v>
          </cell>
          <cell r="C96">
            <v>0.8</v>
          </cell>
        </row>
        <row r="97">
          <cell r="B97">
            <v>0.50370370370370376</v>
          </cell>
          <cell r="C97">
            <v>0.50370370370370376</v>
          </cell>
          <cell r="AR97">
            <v>1</v>
          </cell>
          <cell r="AS97">
            <v>1</v>
          </cell>
          <cell r="AZ97">
            <v>1</v>
          </cell>
          <cell r="BB97">
            <v>1</v>
          </cell>
        </row>
        <row r="98">
          <cell r="B98">
            <v>0.5</v>
          </cell>
          <cell r="C98">
            <v>0.5</v>
          </cell>
        </row>
        <row r="99">
          <cell r="B99">
            <v>0.80555555555555547</v>
          </cell>
          <cell r="C99">
            <v>0.60101010101010088</v>
          </cell>
        </row>
        <row r="100">
          <cell r="B100">
            <v>0.89761904761904765</v>
          </cell>
          <cell r="C100">
            <v>0.89761904761904765</v>
          </cell>
        </row>
        <row r="102">
          <cell r="C102" t="str">
            <v>n/a</v>
          </cell>
        </row>
        <row r="103">
          <cell r="C103">
            <v>80</v>
          </cell>
        </row>
        <row r="104">
          <cell r="C104">
            <v>2</v>
          </cell>
        </row>
        <row r="105">
          <cell r="C105">
            <v>3</v>
          </cell>
        </row>
        <row r="106">
          <cell r="C106">
            <v>3</v>
          </cell>
        </row>
        <row r="107">
          <cell r="C107">
            <v>4</v>
          </cell>
        </row>
      </sheetData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M_090</v>
          </cell>
          <cell r="C2" t="str">
            <v>D+M</v>
          </cell>
          <cell r="D2">
            <v>3</v>
          </cell>
          <cell r="E2" t="str">
            <v>B</v>
          </cell>
          <cell r="F2">
            <v>45219</v>
          </cell>
        </row>
        <row r="3">
          <cell r="D3">
            <v>45104</v>
          </cell>
        </row>
        <row r="5">
          <cell r="D5">
            <v>0.52058531746031744</v>
          </cell>
          <cell r="E5">
            <v>0.51598972922502329</v>
          </cell>
        </row>
        <row r="6">
          <cell r="D6">
            <v>0.6958333333333333</v>
          </cell>
          <cell r="E6">
            <v>0.6422619047619047</v>
          </cell>
        </row>
        <row r="7">
          <cell r="D7">
            <v>0.45891534391534394</v>
          </cell>
          <cell r="E7">
            <v>0.45567460317460318</v>
          </cell>
        </row>
        <row r="8">
          <cell r="D8">
            <v>0.57333333333333325</v>
          </cell>
          <cell r="E8">
            <v>0.49627705627705626</v>
          </cell>
        </row>
        <row r="9">
          <cell r="D9">
            <v>0.56216683201058193</v>
          </cell>
          <cell r="E9">
            <v>0.52755082335964687</v>
          </cell>
        </row>
        <row r="12">
          <cell r="B12">
            <v>25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4/18</v>
          </cell>
          <cell r="I14">
            <v>4</v>
          </cell>
          <cell r="L14">
            <v>4</v>
          </cell>
          <cell r="O14">
            <v>2</v>
          </cell>
        </row>
        <row r="15">
          <cell r="B15" t="str">
            <v>7/18</v>
          </cell>
          <cell r="I15">
            <v>3</v>
          </cell>
          <cell r="L15">
            <v>3</v>
          </cell>
          <cell r="O15">
            <v>2</v>
          </cell>
        </row>
        <row r="16">
          <cell r="B16">
            <v>60</v>
          </cell>
          <cell r="I16">
            <v>4</v>
          </cell>
          <cell r="L16">
            <v>4</v>
          </cell>
          <cell r="O16">
            <v>4</v>
          </cell>
        </row>
        <row r="17">
          <cell r="B17">
            <v>0</v>
          </cell>
          <cell r="I17">
            <v>3</v>
          </cell>
          <cell r="L17">
            <v>4</v>
          </cell>
          <cell r="O17">
            <v>5</v>
          </cell>
        </row>
        <row r="18">
          <cell r="B18"/>
          <cell r="I18">
            <v>4</v>
          </cell>
          <cell r="L18">
            <v>4</v>
          </cell>
          <cell r="O18">
            <v>4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1</v>
          </cell>
        </row>
        <row r="20">
          <cell r="B20"/>
          <cell r="I20">
            <v>2</v>
          </cell>
          <cell r="L20">
            <v>4</v>
          </cell>
          <cell r="O20">
            <v>3</v>
          </cell>
        </row>
        <row r="21">
          <cell r="B21"/>
          <cell r="I21">
            <v>4</v>
          </cell>
          <cell r="L21">
            <v>3</v>
          </cell>
          <cell r="O21">
            <v>4</v>
          </cell>
        </row>
        <row r="22">
          <cell r="B22">
            <v>1</v>
          </cell>
          <cell r="I22">
            <v>3</v>
          </cell>
          <cell r="L22">
            <v>4</v>
          </cell>
          <cell r="O22">
            <v>4</v>
          </cell>
        </row>
        <row r="23">
          <cell r="I23">
            <v>5</v>
          </cell>
          <cell r="L23">
            <v>5</v>
          </cell>
          <cell r="O23">
            <v>4</v>
          </cell>
        </row>
        <row r="24">
          <cell r="I24">
            <v>1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0.58333333333333326</v>
          </cell>
          <cell r="C31">
            <v>0.58333333333333326</v>
          </cell>
        </row>
        <row r="32">
          <cell r="B32">
            <v>0.5625</v>
          </cell>
          <cell r="C32">
            <v>0.54411764705882359</v>
          </cell>
        </row>
        <row r="33">
          <cell r="B33">
            <v>0.54761904761904756</v>
          </cell>
          <cell r="C33">
            <v>0.54761904761904756</v>
          </cell>
        </row>
        <row r="52">
          <cell r="B52">
            <v>0.64444444444444438</v>
          </cell>
          <cell r="C52">
            <v>0.64444444444444438</v>
          </cell>
        </row>
        <row r="53">
          <cell r="B53">
            <v>0.24444444444444446</v>
          </cell>
          <cell r="C53">
            <v>0.24444444444444446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0.20370370370370372</v>
          </cell>
          <cell r="C55">
            <v>0.1875</v>
          </cell>
        </row>
        <row r="56">
          <cell r="B56">
            <v>0.70198412698412704</v>
          </cell>
          <cell r="C56">
            <v>0.70198412698412704</v>
          </cell>
        </row>
        <row r="58">
          <cell r="C58">
            <v>1200</v>
          </cell>
        </row>
        <row r="59">
          <cell r="C59">
            <v>50</v>
          </cell>
        </row>
        <row r="60">
          <cell r="C60">
            <v>1</v>
          </cell>
        </row>
        <row r="61">
          <cell r="C61">
            <v>2</v>
          </cell>
        </row>
        <row r="62">
          <cell r="C62">
            <v>3</v>
          </cell>
        </row>
        <row r="63">
          <cell r="C63">
            <v>2</v>
          </cell>
        </row>
        <row r="74">
          <cell r="B74">
            <v>0.7</v>
          </cell>
          <cell r="C74">
            <v>0.7</v>
          </cell>
        </row>
        <row r="75">
          <cell r="B75" t="str">
            <v>n/a</v>
          </cell>
          <cell r="C75" t="str">
            <v>n/a</v>
          </cell>
          <cell r="AB75">
            <v>0.5</v>
          </cell>
          <cell r="AD75">
            <v>0.5</v>
          </cell>
          <cell r="AF75">
            <v>0</v>
          </cell>
        </row>
        <row r="76">
          <cell r="B76">
            <v>0.4642857142857143</v>
          </cell>
          <cell r="C76">
            <v>0.4642857142857143</v>
          </cell>
        </row>
        <row r="77">
          <cell r="B77">
            <v>0.83333333333333326</v>
          </cell>
          <cell r="C77">
            <v>0.61904761904761907</v>
          </cell>
        </row>
        <row r="78">
          <cell r="B78">
            <v>0.78571428571428559</v>
          </cell>
          <cell r="C78">
            <v>0.78571428571428559</v>
          </cell>
        </row>
        <row r="80">
          <cell r="C80">
            <v>943</v>
          </cell>
        </row>
        <row r="81">
          <cell r="C81">
            <v>72.5</v>
          </cell>
        </row>
        <row r="82">
          <cell r="C82">
            <v>4</v>
          </cell>
        </row>
        <row r="83">
          <cell r="C83">
            <v>3.5</v>
          </cell>
        </row>
        <row r="84">
          <cell r="C84">
            <v>3.5</v>
          </cell>
        </row>
        <row r="85">
          <cell r="C85">
            <v>3.5</v>
          </cell>
        </row>
        <row r="89">
          <cell r="C89">
            <v>0.5</v>
          </cell>
        </row>
        <row r="96">
          <cell r="B96">
            <v>0.66666666666666663</v>
          </cell>
          <cell r="C96">
            <v>0.66666666666666663</v>
          </cell>
        </row>
        <row r="97">
          <cell r="B97">
            <v>0.24444444444444446</v>
          </cell>
          <cell r="C97">
            <v>0.24444444444444446</v>
          </cell>
          <cell r="AR97">
            <v>1</v>
          </cell>
          <cell r="AS97">
            <v>1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0.88888888888888884</v>
          </cell>
          <cell r="C99">
            <v>0.50360750360750361</v>
          </cell>
        </row>
        <row r="100">
          <cell r="B100">
            <v>0.56666666666666665</v>
          </cell>
          <cell r="C100">
            <v>0.56666666666666665</v>
          </cell>
        </row>
        <row r="102">
          <cell r="C102">
            <v>1200</v>
          </cell>
        </row>
        <row r="103">
          <cell r="C103">
            <v>55</v>
          </cell>
        </row>
        <row r="104">
          <cell r="C104">
            <v>1</v>
          </cell>
        </row>
        <row r="105">
          <cell r="C105">
            <v>2</v>
          </cell>
        </row>
        <row r="106">
          <cell r="C106">
            <v>2</v>
          </cell>
        </row>
        <row r="107">
          <cell r="C107">
            <v>3</v>
          </cell>
        </row>
      </sheetData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M_091</v>
          </cell>
          <cell r="C2" t="str">
            <v>D+M</v>
          </cell>
          <cell r="D2">
            <v>3</v>
          </cell>
          <cell r="E2" t="str">
            <v>A</v>
          </cell>
          <cell r="F2">
            <v>45223</v>
          </cell>
        </row>
        <row r="3">
          <cell r="D3">
            <v>45104</v>
          </cell>
        </row>
        <row r="5">
          <cell r="D5">
            <v>0.55828373015873012</v>
          </cell>
          <cell r="E5">
            <v>0.55368814192343596</v>
          </cell>
        </row>
        <row r="6">
          <cell r="D6">
            <v>0.73253968253968249</v>
          </cell>
          <cell r="E6">
            <v>0.68492063492063482</v>
          </cell>
        </row>
        <row r="7">
          <cell r="D7">
            <v>0.64079365079365069</v>
          </cell>
          <cell r="E7">
            <v>0.63060846560846562</v>
          </cell>
        </row>
        <row r="8">
          <cell r="D8">
            <v>0.74243386243386245</v>
          </cell>
          <cell r="E8">
            <v>0.71386243386243386</v>
          </cell>
        </row>
        <row r="9">
          <cell r="D9">
            <v>0.66851273148148138</v>
          </cell>
          <cell r="E9">
            <v>0.64576991907874259</v>
          </cell>
        </row>
        <row r="12">
          <cell r="B12">
            <v>29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3</v>
          </cell>
        </row>
        <row r="14">
          <cell r="B14" t="str">
            <v>5/12</v>
          </cell>
          <cell r="I14">
            <v>4</v>
          </cell>
          <cell r="L14">
            <v>4</v>
          </cell>
          <cell r="O14">
            <v>2</v>
          </cell>
        </row>
        <row r="15">
          <cell r="B15" t="str">
            <v>9/12</v>
          </cell>
          <cell r="I15">
            <v>4</v>
          </cell>
          <cell r="L15">
            <v>3</v>
          </cell>
          <cell r="O15">
            <v>2</v>
          </cell>
        </row>
        <row r="16">
          <cell r="B16">
            <v>132</v>
          </cell>
          <cell r="I16">
            <v>3</v>
          </cell>
          <cell r="L16">
            <v>3</v>
          </cell>
          <cell r="O16">
            <v>3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4</v>
          </cell>
        </row>
        <row r="18">
          <cell r="B18"/>
          <cell r="I18">
            <v>2</v>
          </cell>
          <cell r="L18">
            <v>3</v>
          </cell>
          <cell r="O18">
            <v>3</v>
          </cell>
        </row>
        <row r="19">
          <cell r="B19">
            <v>1</v>
          </cell>
          <cell r="I19">
            <v>5</v>
          </cell>
          <cell r="L19">
            <v>5</v>
          </cell>
          <cell r="O19">
            <v>1</v>
          </cell>
        </row>
        <row r="20">
          <cell r="B20">
            <v>1</v>
          </cell>
          <cell r="I20">
            <v>3</v>
          </cell>
          <cell r="L20">
            <v>3</v>
          </cell>
          <cell r="O20">
            <v>2</v>
          </cell>
        </row>
        <row r="21">
          <cell r="B21">
            <v>0</v>
          </cell>
          <cell r="I21">
            <v>4</v>
          </cell>
          <cell r="L21">
            <v>3</v>
          </cell>
          <cell r="O21">
            <v>1</v>
          </cell>
        </row>
        <row r="22">
          <cell r="B22">
            <v>1</v>
          </cell>
          <cell r="I22">
            <v>4</v>
          </cell>
          <cell r="L22">
            <v>3</v>
          </cell>
          <cell r="O22">
            <v>2</v>
          </cell>
        </row>
        <row r="23">
          <cell r="I23">
            <v>4</v>
          </cell>
          <cell r="L23">
            <v>5</v>
          </cell>
          <cell r="O23">
            <v>2</v>
          </cell>
        </row>
        <row r="24">
          <cell r="I24">
            <v>0</v>
          </cell>
        </row>
        <row r="29">
          <cell r="B29">
            <v>0.27777777777777779</v>
          </cell>
          <cell r="C29">
            <v>0.27777777777777779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0.58333333333333326</v>
          </cell>
          <cell r="C31">
            <v>0.58333333333333326</v>
          </cell>
        </row>
        <row r="32">
          <cell r="B32">
            <v>0.5625</v>
          </cell>
          <cell r="C32">
            <v>0.54411764705882359</v>
          </cell>
        </row>
        <row r="33">
          <cell r="B33">
            <v>0.80952380952380942</v>
          </cell>
          <cell r="C33">
            <v>0.80952380952380942</v>
          </cell>
        </row>
        <row r="52">
          <cell r="B52">
            <v>0.7</v>
          </cell>
          <cell r="C52">
            <v>0.7</v>
          </cell>
        </row>
        <row r="53">
          <cell r="B53">
            <v>0.58518518518518514</v>
          </cell>
          <cell r="C53">
            <v>0.58518518518518514</v>
          </cell>
          <cell r="AU53">
            <v>1</v>
          </cell>
          <cell r="AV53">
            <v>1</v>
          </cell>
          <cell r="AX53">
            <v>0</v>
          </cell>
          <cell r="AY53">
            <v>1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0.50925925925925919</v>
          </cell>
          <cell r="C55">
            <v>0.45833333333333331</v>
          </cell>
        </row>
        <row r="56">
          <cell r="B56">
            <v>0.90952380952380951</v>
          </cell>
          <cell r="C56">
            <v>0.90952380952380951</v>
          </cell>
        </row>
        <row r="58">
          <cell r="C58">
            <v>1200</v>
          </cell>
        </row>
        <row r="59">
          <cell r="C59">
            <v>100</v>
          </cell>
        </row>
        <row r="60">
          <cell r="C60">
            <v>4</v>
          </cell>
        </row>
        <row r="61">
          <cell r="C61">
            <v>5</v>
          </cell>
        </row>
        <row r="62">
          <cell r="C62">
            <v>5</v>
          </cell>
        </row>
        <row r="63">
          <cell r="C63">
            <v>5</v>
          </cell>
        </row>
        <row r="74">
          <cell r="B74">
            <v>0.7</v>
          </cell>
          <cell r="C74">
            <v>0.7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1</v>
          </cell>
          <cell r="AF75">
            <v>0</v>
          </cell>
        </row>
        <row r="76">
          <cell r="B76">
            <v>0.4642857142857143</v>
          </cell>
          <cell r="C76">
            <v>0.4642857142857143</v>
          </cell>
        </row>
        <row r="77">
          <cell r="B77">
            <v>0.83333333333333326</v>
          </cell>
          <cell r="C77">
            <v>0.64285714285714279</v>
          </cell>
        </row>
        <row r="78">
          <cell r="B78">
            <v>0.93253968253968245</v>
          </cell>
          <cell r="C78">
            <v>0.93253968253968245</v>
          </cell>
        </row>
        <row r="80">
          <cell r="C80">
            <v>1200</v>
          </cell>
        </row>
        <row r="81">
          <cell r="C81">
            <v>95</v>
          </cell>
        </row>
        <row r="82">
          <cell r="C82">
            <v>5</v>
          </cell>
        </row>
        <row r="83">
          <cell r="C83">
            <v>5</v>
          </cell>
        </row>
        <row r="84">
          <cell r="C84">
            <v>5</v>
          </cell>
        </row>
        <row r="85">
          <cell r="C85">
            <v>5</v>
          </cell>
        </row>
        <row r="89">
          <cell r="C89">
            <v>1</v>
          </cell>
        </row>
        <row r="96">
          <cell r="B96">
            <v>0.75</v>
          </cell>
          <cell r="C96">
            <v>0.75</v>
          </cell>
        </row>
        <row r="97">
          <cell r="B97">
            <v>0.58518518518518514</v>
          </cell>
          <cell r="C97">
            <v>0.58518518518518514</v>
          </cell>
          <cell r="AR97">
            <v>1</v>
          </cell>
          <cell r="AS97">
            <v>1</v>
          </cell>
          <cell r="AZ97">
            <v>1</v>
          </cell>
          <cell r="BB97">
            <v>1</v>
          </cell>
        </row>
        <row r="98">
          <cell r="B98">
            <v>0.5</v>
          </cell>
          <cell r="C98">
            <v>0.5</v>
          </cell>
        </row>
        <row r="99">
          <cell r="B99">
            <v>0.88888888888888884</v>
          </cell>
          <cell r="C99">
            <v>0.74603174603174605</v>
          </cell>
        </row>
        <row r="100">
          <cell r="B100">
            <v>0.98809523809523814</v>
          </cell>
          <cell r="C100">
            <v>0.98809523809523814</v>
          </cell>
        </row>
        <row r="102">
          <cell r="C102">
            <v>1008</v>
          </cell>
        </row>
        <row r="103">
          <cell r="C103">
            <v>100</v>
          </cell>
        </row>
        <row r="104">
          <cell r="C104">
            <v>4</v>
          </cell>
        </row>
        <row r="105">
          <cell r="C105">
            <v>5</v>
          </cell>
        </row>
        <row r="106">
          <cell r="C106">
            <v>5</v>
          </cell>
        </row>
        <row r="107">
          <cell r="C107">
            <v>5</v>
          </cell>
        </row>
      </sheetData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M_092</v>
          </cell>
          <cell r="C2" t="str">
            <v>D only</v>
          </cell>
          <cell r="D2">
            <v>3</v>
          </cell>
          <cell r="E2" t="str">
            <v>B</v>
          </cell>
          <cell r="F2">
            <v>45237</v>
          </cell>
        </row>
        <row r="3">
          <cell r="D3">
            <v>45104</v>
          </cell>
        </row>
        <row r="5">
          <cell r="D5">
            <v>0.56001984126984128</v>
          </cell>
          <cell r="E5">
            <v>0.57656395891690004</v>
          </cell>
        </row>
        <row r="6">
          <cell r="D6">
            <v>0.48294552669552671</v>
          </cell>
          <cell r="E6">
            <v>0.4874098124098124</v>
          </cell>
        </row>
        <row r="7">
          <cell r="D7">
            <v>0.59042328042328041</v>
          </cell>
          <cell r="E7">
            <v>0.56767195767195766</v>
          </cell>
        </row>
        <row r="8">
          <cell r="D8">
            <v>0.59167989417989419</v>
          </cell>
          <cell r="E8">
            <v>0.5412469937469937</v>
          </cell>
        </row>
        <row r="9">
          <cell r="D9">
            <v>0.5562671356421357</v>
          </cell>
          <cell r="E9">
            <v>0.54322318068641595</v>
          </cell>
        </row>
        <row r="12">
          <cell r="B12">
            <v>19</v>
          </cell>
        </row>
        <row r="13">
          <cell r="B13">
            <v>1</v>
          </cell>
          <cell r="I13">
            <v>4</v>
          </cell>
          <cell r="L13">
            <v>3</v>
          </cell>
          <cell r="O13">
            <v>4</v>
          </cell>
        </row>
        <row r="14">
          <cell r="B14" t="str">
            <v>10/21</v>
          </cell>
          <cell r="I14">
            <v>4</v>
          </cell>
          <cell r="L14">
            <v>4</v>
          </cell>
          <cell r="O14">
            <v>2</v>
          </cell>
        </row>
        <row r="15">
          <cell r="B15" t="str">
            <v>3/22</v>
          </cell>
          <cell r="I15">
            <v>4</v>
          </cell>
          <cell r="L15">
            <v>4</v>
          </cell>
          <cell r="O15">
            <v>2</v>
          </cell>
        </row>
        <row r="16">
          <cell r="B16">
            <v>12</v>
          </cell>
          <cell r="I16">
            <v>3</v>
          </cell>
          <cell r="L16">
            <v>2</v>
          </cell>
          <cell r="O16">
            <v>2</v>
          </cell>
        </row>
        <row r="17">
          <cell r="B17">
            <v>0</v>
          </cell>
          <cell r="I17">
            <v>4</v>
          </cell>
          <cell r="L17">
            <v>3</v>
          </cell>
          <cell r="O17">
            <v>5</v>
          </cell>
        </row>
        <row r="18">
          <cell r="B18"/>
          <cell r="I18">
            <v>3</v>
          </cell>
          <cell r="L18">
            <v>3</v>
          </cell>
          <cell r="O18">
            <v>3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1</v>
          </cell>
        </row>
        <row r="20">
          <cell r="B20"/>
          <cell r="I20">
            <v>3</v>
          </cell>
          <cell r="L20">
            <v>3</v>
          </cell>
          <cell r="O20">
            <v>2</v>
          </cell>
        </row>
        <row r="21">
          <cell r="B21"/>
          <cell r="I21">
            <v>3</v>
          </cell>
          <cell r="L21">
            <v>2</v>
          </cell>
          <cell r="O21">
            <v>2</v>
          </cell>
        </row>
        <row r="22">
          <cell r="B22">
            <v>0</v>
          </cell>
          <cell r="I22">
            <v>3</v>
          </cell>
          <cell r="L22">
            <v>4</v>
          </cell>
          <cell r="O22">
            <v>3</v>
          </cell>
        </row>
        <row r="23">
          <cell r="I23">
            <v>5</v>
          </cell>
          <cell r="L23">
            <v>5</v>
          </cell>
          <cell r="O23">
            <v>3</v>
          </cell>
        </row>
        <row r="24">
          <cell r="I24">
            <v>0</v>
          </cell>
        </row>
        <row r="29">
          <cell r="B29">
            <v>0.1111111111111111</v>
          </cell>
          <cell r="C29">
            <v>0.1111111111111111</v>
          </cell>
        </row>
        <row r="30">
          <cell r="B30" t="str">
            <v>n/a</v>
          </cell>
          <cell r="C30" t="str">
            <v>n/a</v>
          </cell>
          <cell r="Z30">
            <v>1</v>
          </cell>
        </row>
        <row r="31">
          <cell r="B31">
            <v>0.58333333333333326</v>
          </cell>
          <cell r="C31">
            <v>0.58333333333333326</v>
          </cell>
        </row>
        <row r="32">
          <cell r="B32">
            <v>0.625</v>
          </cell>
          <cell r="C32">
            <v>0.69117647058823528</v>
          </cell>
        </row>
        <row r="33">
          <cell r="B33">
            <v>0.92063492063492058</v>
          </cell>
          <cell r="C33">
            <v>0.92063492063492058</v>
          </cell>
        </row>
        <row r="52">
          <cell r="B52">
            <v>0.58333333333333326</v>
          </cell>
          <cell r="C52">
            <v>0.58333333333333326</v>
          </cell>
        </row>
        <row r="53">
          <cell r="B53">
            <v>0.2074074074074074</v>
          </cell>
          <cell r="C53">
            <v>0.2074074074074074</v>
          </cell>
          <cell r="AU53">
            <v>1</v>
          </cell>
          <cell r="AV53">
            <v>1</v>
          </cell>
          <cell r="AX53">
            <v>1</v>
          </cell>
          <cell r="AY53">
            <v>0</v>
          </cell>
          <cell r="AZ53">
            <v>0</v>
          </cell>
          <cell r="BF53">
            <v>1</v>
          </cell>
        </row>
        <row r="54">
          <cell r="B54">
            <v>0.5</v>
          </cell>
          <cell r="C54">
            <v>0.5</v>
          </cell>
        </row>
        <row r="55">
          <cell r="B55">
            <v>0.68518518518518512</v>
          </cell>
          <cell r="C55">
            <v>0.5714285714285714</v>
          </cell>
        </row>
        <row r="56">
          <cell r="B56">
            <v>0.97619047619047616</v>
          </cell>
          <cell r="C56">
            <v>0.97619047619047616</v>
          </cell>
        </row>
        <row r="58">
          <cell r="C58">
            <v>858</v>
          </cell>
        </row>
        <row r="59">
          <cell r="C59">
            <v>90</v>
          </cell>
        </row>
        <row r="60">
          <cell r="C60">
            <v>3</v>
          </cell>
        </row>
        <row r="61">
          <cell r="C61">
            <v>3</v>
          </cell>
        </row>
        <row r="62">
          <cell r="C62">
            <v>4</v>
          </cell>
        </row>
        <row r="63">
          <cell r="C63">
            <v>4</v>
          </cell>
        </row>
        <row r="74">
          <cell r="B74">
            <v>0.29090909090909089</v>
          </cell>
          <cell r="C74">
            <v>0.29090909090909089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0.4642857142857143</v>
          </cell>
          <cell r="C76">
            <v>0.4642857142857143</v>
          </cell>
        </row>
        <row r="77">
          <cell r="B77">
            <v>0.45833333333333331</v>
          </cell>
          <cell r="C77">
            <v>0.47619047619047616</v>
          </cell>
        </row>
        <row r="78">
          <cell r="B78">
            <v>0.71825396825396826</v>
          </cell>
          <cell r="C78">
            <v>0.71825396825396826</v>
          </cell>
        </row>
        <row r="80">
          <cell r="C80">
            <v>1200</v>
          </cell>
        </row>
        <row r="81">
          <cell r="C81">
            <v>40</v>
          </cell>
        </row>
        <row r="82">
          <cell r="C82">
            <v>4</v>
          </cell>
        </row>
        <row r="83">
          <cell r="C83">
            <v>2</v>
          </cell>
        </row>
        <row r="84">
          <cell r="C84">
            <v>3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0.60416666666666663</v>
          </cell>
          <cell r="C96">
            <v>0.60416666666666663</v>
          </cell>
        </row>
        <row r="97">
          <cell r="B97">
            <v>0.2074074074074074</v>
          </cell>
          <cell r="C97">
            <v>0.2074074074074074</v>
          </cell>
          <cell r="AR97">
            <v>0</v>
          </cell>
          <cell r="AS97">
            <v>1</v>
          </cell>
          <cell r="AZ97">
            <v>1</v>
          </cell>
          <cell r="BB97">
            <v>1</v>
          </cell>
        </row>
        <row r="98">
          <cell r="B98">
            <v>0.5</v>
          </cell>
          <cell r="C98">
            <v>0.5</v>
          </cell>
        </row>
        <row r="99">
          <cell r="B99">
            <v>0.80555555555555547</v>
          </cell>
          <cell r="C99">
            <v>0.55339105339105332</v>
          </cell>
        </row>
        <row r="100">
          <cell r="B100">
            <v>0.84126984126984128</v>
          </cell>
          <cell r="C100">
            <v>0.84126984126984128</v>
          </cell>
        </row>
        <row r="102">
          <cell r="C102">
            <v>871</v>
          </cell>
        </row>
        <row r="103">
          <cell r="C103">
            <v>65</v>
          </cell>
        </row>
        <row r="104">
          <cell r="C104">
            <v>3</v>
          </cell>
        </row>
        <row r="105">
          <cell r="C105">
            <v>3</v>
          </cell>
        </row>
        <row r="106">
          <cell r="C106">
            <v>3</v>
          </cell>
        </row>
        <row r="107">
          <cell r="C107">
            <v>3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M_093</v>
          </cell>
          <cell r="C2" t="str">
            <v>D only</v>
          </cell>
          <cell r="D2">
            <v>3</v>
          </cell>
          <cell r="E2" t="str">
            <v>B</v>
          </cell>
          <cell r="F2">
            <v>45223</v>
          </cell>
        </row>
        <row r="3">
          <cell r="D3">
            <v>45104</v>
          </cell>
        </row>
        <row r="5">
          <cell r="D5">
            <v>0.27678571428571425</v>
          </cell>
          <cell r="E5">
            <v>0.24369747899159661</v>
          </cell>
        </row>
        <row r="6">
          <cell r="D6">
            <v>0.49255050505050502</v>
          </cell>
          <cell r="E6">
            <v>0.49775883838383833</v>
          </cell>
        </row>
        <row r="7">
          <cell r="D7">
            <v>0.35656084656084663</v>
          </cell>
          <cell r="E7">
            <v>0.38513227513227516</v>
          </cell>
        </row>
        <row r="8">
          <cell r="D8">
            <v>0.41100529100529098</v>
          </cell>
          <cell r="E8">
            <v>0.3871957671957672</v>
          </cell>
        </row>
        <row r="9">
          <cell r="D9">
            <v>0.38422558922558919</v>
          </cell>
          <cell r="E9">
            <v>0.37844608992586937</v>
          </cell>
        </row>
        <row r="12">
          <cell r="B12">
            <v>28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11/16</v>
          </cell>
          <cell r="I14">
            <v>4</v>
          </cell>
          <cell r="L14">
            <v>4</v>
          </cell>
          <cell r="O14">
            <v>2</v>
          </cell>
        </row>
        <row r="15">
          <cell r="B15" t="str">
            <v>4/17</v>
          </cell>
          <cell r="I15">
            <v>4</v>
          </cell>
          <cell r="L15">
            <v>3</v>
          </cell>
          <cell r="O15">
            <v>2</v>
          </cell>
        </row>
        <row r="16">
          <cell r="B16">
            <v>72</v>
          </cell>
          <cell r="I16">
            <v>5</v>
          </cell>
          <cell r="L16">
            <v>3</v>
          </cell>
          <cell r="O16">
            <v>2</v>
          </cell>
        </row>
        <row r="17">
          <cell r="B17">
            <v>0</v>
          </cell>
          <cell r="I17">
            <v>5</v>
          </cell>
          <cell r="L17">
            <v>5</v>
          </cell>
          <cell r="O17">
            <v>5</v>
          </cell>
        </row>
        <row r="18">
          <cell r="B18"/>
          <cell r="I18">
            <v>4</v>
          </cell>
          <cell r="L18">
            <v>2</v>
          </cell>
          <cell r="O18">
            <v>2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2</v>
          </cell>
        </row>
        <row r="20">
          <cell r="B20"/>
          <cell r="I20">
            <v>4</v>
          </cell>
          <cell r="L20">
            <v>2</v>
          </cell>
          <cell r="O20">
            <v>5</v>
          </cell>
        </row>
        <row r="21">
          <cell r="B21"/>
          <cell r="I21">
            <v>4</v>
          </cell>
          <cell r="L21">
            <v>2</v>
          </cell>
          <cell r="O21">
            <v>2</v>
          </cell>
        </row>
        <row r="22">
          <cell r="B22">
            <v>0</v>
          </cell>
          <cell r="I22">
            <v>3</v>
          </cell>
          <cell r="L22">
            <v>3</v>
          </cell>
          <cell r="O22">
            <v>2</v>
          </cell>
        </row>
        <row r="23">
          <cell r="I23">
            <v>5</v>
          </cell>
          <cell r="L23">
            <v>5</v>
          </cell>
          <cell r="O23">
            <v>2</v>
          </cell>
        </row>
        <row r="24">
          <cell r="I24">
            <v>2</v>
          </cell>
        </row>
        <row r="29">
          <cell r="B29">
            <v>0</v>
          </cell>
          <cell r="C29">
            <v>0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0.58333333333333326</v>
          </cell>
          <cell r="C31">
            <v>0.58333333333333326</v>
          </cell>
        </row>
        <row r="32">
          <cell r="B32">
            <v>0.25</v>
          </cell>
          <cell r="C32">
            <v>0.11764705882352941</v>
          </cell>
        </row>
        <row r="33">
          <cell r="B33">
            <v>0.27380952380952378</v>
          </cell>
          <cell r="C33">
            <v>0.27380952380952378</v>
          </cell>
        </row>
        <row r="52">
          <cell r="B52">
            <v>8.5714285714285715E-2</v>
          </cell>
          <cell r="C52">
            <v>0.22857142857142854</v>
          </cell>
        </row>
        <row r="53">
          <cell r="B53">
            <v>0.6518518518518519</v>
          </cell>
          <cell r="C53">
            <v>0.6518518518518519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0.25</v>
          </cell>
          <cell r="C55">
            <v>0.25</v>
          </cell>
        </row>
        <row r="56">
          <cell r="B56">
            <v>0.29523809523809524</v>
          </cell>
          <cell r="C56">
            <v>0.29523809523809524</v>
          </cell>
        </row>
        <row r="58">
          <cell r="C58">
            <v>545</v>
          </cell>
        </row>
        <row r="59">
          <cell r="C59">
            <v>10</v>
          </cell>
        </row>
        <row r="60">
          <cell r="C60">
            <v>3</v>
          </cell>
        </row>
        <row r="61">
          <cell r="C61">
            <v>1</v>
          </cell>
        </row>
        <row r="62">
          <cell r="C62">
            <v>1</v>
          </cell>
        </row>
        <row r="63">
          <cell r="C63">
            <v>1</v>
          </cell>
        </row>
        <row r="74">
          <cell r="B74">
            <v>0.60909090909090913</v>
          </cell>
          <cell r="C74">
            <v>0.60909090909090913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0.6071428571428571</v>
          </cell>
          <cell r="C76">
            <v>0.6071428571428571</v>
          </cell>
        </row>
        <row r="77">
          <cell r="B77">
            <v>0.33333333333333331</v>
          </cell>
          <cell r="C77">
            <v>0.35416666666666663</v>
          </cell>
        </row>
        <row r="78">
          <cell r="B78">
            <v>0.42063492063492064</v>
          </cell>
          <cell r="C78">
            <v>0.42063492063492064</v>
          </cell>
        </row>
        <row r="80">
          <cell r="C80">
            <v>880</v>
          </cell>
        </row>
        <row r="81">
          <cell r="C81">
            <v>25</v>
          </cell>
        </row>
        <row r="82">
          <cell r="C82">
            <v>2</v>
          </cell>
        </row>
        <row r="83">
          <cell r="C83">
            <v>1</v>
          </cell>
        </row>
        <row r="84">
          <cell r="C84">
            <v>2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0.25</v>
          </cell>
          <cell r="C96">
            <v>0.25</v>
          </cell>
        </row>
        <row r="97">
          <cell r="B97">
            <v>0.6518518518518519</v>
          </cell>
          <cell r="C97">
            <v>0.6518518518518519</v>
          </cell>
          <cell r="AR97">
            <v>0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0.38888888888888884</v>
          </cell>
          <cell r="C99">
            <v>0.26984126984126983</v>
          </cell>
        </row>
        <row r="100">
          <cell r="B100">
            <v>0.26428571428571429</v>
          </cell>
          <cell r="C100">
            <v>0.26428571428571429</v>
          </cell>
        </row>
        <row r="102">
          <cell r="C102">
            <v>282</v>
          </cell>
        </row>
        <row r="103">
          <cell r="C103">
            <v>10</v>
          </cell>
        </row>
        <row r="104">
          <cell r="C104">
            <v>3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C107">
            <v>1</v>
          </cell>
        </row>
      </sheetData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M_094</v>
          </cell>
          <cell r="C2" t="str">
            <v>D only</v>
          </cell>
          <cell r="D2">
            <v>3</v>
          </cell>
          <cell r="E2" t="str">
            <v>B</v>
          </cell>
          <cell r="F2">
            <v>45251</v>
          </cell>
        </row>
        <row r="3">
          <cell r="D3">
            <v>45104</v>
          </cell>
        </row>
        <row r="5">
          <cell r="D5">
            <v>0.48921130952380953</v>
          </cell>
          <cell r="E5">
            <v>0.45454014939309056</v>
          </cell>
        </row>
        <row r="6">
          <cell r="D6">
            <v>0.30455447330447327</v>
          </cell>
          <cell r="E6">
            <v>0.30901875901875903</v>
          </cell>
        </row>
        <row r="7">
          <cell r="D7">
            <v>0.45465608465608465</v>
          </cell>
          <cell r="E7">
            <v>0.44493386243386246</v>
          </cell>
        </row>
        <row r="8">
          <cell r="D8">
            <v>0.63048941798941804</v>
          </cell>
          <cell r="E8">
            <v>0.57399591149591145</v>
          </cell>
        </row>
        <row r="9">
          <cell r="D9">
            <v>0.46972782136844637</v>
          </cell>
          <cell r="E9">
            <v>0.44562217058540587</v>
          </cell>
        </row>
        <row r="12">
          <cell r="B12">
            <v>20</v>
          </cell>
        </row>
        <row r="13">
          <cell r="B13">
            <v>1</v>
          </cell>
          <cell r="I13">
            <v>5</v>
          </cell>
          <cell r="L13">
            <v>5</v>
          </cell>
          <cell r="O13">
            <v>5</v>
          </cell>
        </row>
        <row r="14">
          <cell r="B14" t="str">
            <v>10/21</v>
          </cell>
          <cell r="I14">
            <v>4</v>
          </cell>
          <cell r="L14">
            <v>4</v>
          </cell>
          <cell r="O14">
            <v>3</v>
          </cell>
        </row>
        <row r="15">
          <cell r="B15" t="str">
            <v>3/22</v>
          </cell>
          <cell r="I15">
            <v>5</v>
          </cell>
          <cell r="L15">
            <v>5</v>
          </cell>
          <cell r="O15">
            <v>3</v>
          </cell>
        </row>
        <row r="16">
          <cell r="B16">
            <v>24</v>
          </cell>
          <cell r="I16">
            <v>4</v>
          </cell>
          <cell r="L16">
            <v>4</v>
          </cell>
          <cell r="O16">
            <v>4</v>
          </cell>
        </row>
        <row r="17">
          <cell r="B17">
            <v>0</v>
          </cell>
          <cell r="I17">
            <v>5</v>
          </cell>
          <cell r="L17">
            <v>5</v>
          </cell>
          <cell r="O17">
            <v>5</v>
          </cell>
        </row>
        <row r="18">
          <cell r="B18"/>
          <cell r="I18">
            <v>3</v>
          </cell>
          <cell r="L18">
            <v>3</v>
          </cell>
          <cell r="O18">
            <v>4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1</v>
          </cell>
        </row>
        <row r="20">
          <cell r="B20"/>
          <cell r="I20">
            <v>4</v>
          </cell>
          <cell r="L20">
            <v>4</v>
          </cell>
          <cell r="O20">
            <v>5</v>
          </cell>
        </row>
        <row r="21">
          <cell r="B21"/>
          <cell r="I21">
            <v>5</v>
          </cell>
          <cell r="L21">
            <v>5</v>
          </cell>
          <cell r="O21">
            <v>3</v>
          </cell>
        </row>
        <row r="22">
          <cell r="B22"/>
          <cell r="I22">
            <v>3</v>
          </cell>
          <cell r="L22">
            <v>3</v>
          </cell>
          <cell r="O22">
            <v>3</v>
          </cell>
        </row>
        <row r="23">
          <cell r="I23">
            <v>5</v>
          </cell>
          <cell r="L23">
            <v>5</v>
          </cell>
          <cell r="O23">
            <v>1</v>
          </cell>
        </row>
        <row r="24">
          <cell r="I24">
            <v>1</v>
          </cell>
        </row>
        <row r="29">
          <cell r="B29">
            <v>0.25</v>
          </cell>
          <cell r="C29">
            <v>0.25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0.75</v>
          </cell>
          <cell r="C31">
            <v>0.75</v>
          </cell>
        </row>
        <row r="32">
          <cell r="B32">
            <v>0.59375</v>
          </cell>
          <cell r="C32">
            <v>0.45506535947712418</v>
          </cell>
        </row>
        <row r="33">
          <cell r="B33">
            <v>0.36309523809523808</v>
          </cell>
          <cell r="C33">
            <v>0.36309523809523808</v>
          </cell>
        </row>
        <row r="52">
          <cell r="B52">
            <v>0.21944444444444447</v>
          </cell>
          <cell r="C52">
            <v>0.21944444444444447</v>
          </cell>
        </row>
        <row r="53">
          <cell r="B53">
            <v>0.71851851851851867</v>
          </cell>
          <cell r="C53">
            <v>0.71851851851851867</v>
          </cell>
          <cell r="AU53">
            <v>1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0.3611111111111111</v>
          </cell>
          <cell r="C55">
            <v>0.3125</v>
          </cell>
        </row>
        <row r="56">
          <cell r="B56">
            <v>0.47420634920634924</v>
          </cell>
          <cell r="C56">
            <v>0.47420634920634924</v>
          </cell>
        </row>
        <row r="58">
          <cell r="C58">
            <v>424</v>
          </cell>
        </row>
        <row r="59">
          <cell r="C59">
            <v>22.5</v>
          </cell>
        </row>
        <row r="60">
          <cell r="C60">
            <v>2.5</v>
          </cell>
        </row>
        <row r="61">
          <cell r="C61">
            <v>1.5</v>
          </cell>
        </row>
        <row r="62">
          <cell r="C62">
            <v>1.5</v>
          </cell>
        </row>
        <row r="63">
          <cell r="C63">
            <v>1</v>
          </cell>
        </row>
        <row r="74">
          <cell r="B74">
            <v>0.35909090909090913</v>
          </cell>
          <cell r="C74">
            <v>0.35909090909090913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7.1428571428571425E-2</v>
          </cell>
          <cell r="C76">
            <v>7.1428571428571425E-2</v>
          </cell>
        </row>
        <row r="77">
          <cell r="B77">
            <v>0.45833333333333331</v>
          </cell>
          <cell r="C77">
            <v>0.47619047619047616</v>
          </cell>
        </row>
        <row r="78">
          <cell r="B78">
            <v>0.32936507936507936</v>
          </cell>
          <cell r="C78">
            <v>0.32936507936507936</v>
          </cell>
        </row>
        <row r="80">
          <cell r="C80">
            <v>1200</v>
          </cell>
        </row>
        <row r="81">
          <cell r="C81">
            <v>7.5</v>
          </cell>
        </row>
        <row r="82">
          <cell r="C82">
            <v>2.5</v>
          </cell>
        </row>
        <row r="83">
          <cell r="C83">
            <v>1</v>
          </cell>
        </row>
        <row r="84">
          <cell r="C84">
            <v>1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0.6875</v>
          </cell>
          <cell r="C96">
            <v>0.6875</v>
          </cell>
        </row>
        <row r="97">
          <cell r="B97">
            <v>0.71851851851851867</v>
          </cell>
          <cell r="C97">
            <v>0.71851851851851867</v>
          </cell>
          <cell r="AR97">
            <v>0</v>
          </cell>
          <cell r="AS97">
            <v>1</v>
          </cell>
          <cell r="AZ97">
            <v>1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0.80555555555555547</v>
          </cell>
          <cell r="C99">
            <v>0.52308802308802305</v>
          </cell>
        </row>
        <row r="100">
          <cell r="B100">
            <v>0.44087301587301586</v>
          </cell>
          <cell r="C100">
            <v>0.44087301587301586</v>
          </cell>
        </row>
        <row r="102">
          <cell r="C102">
            <v>882</v>
          </cell>
        </row>
        <row r="103">
          <cell r="C103">
            <v>22.5</v>
          </cell>
        </row>
        <row r="104">
          <cell r="C104">
            <v>2.5</v>
          </cell>
        </row>
        <row r="105">
          <cell r="C105">
            <v>1</v>
          </cell>
        </row>
        <row r="106">
          <cell r="C106">
            <v>1.5</v>
          </cell>
        </row>
        <row r="107">
          <cell r="C107">
            <v>1</v>
          </cell>
        </row>
      </sheetData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M_095</v>
          </cell>
          <cell r="C2" t="str">
            <v>D only</v>
          </cell>
          <cell r="D2">
            <v>3</v>
          </cell>
          <cell r="E2" t="str">
            <v>B</v>
          </cell>
          <cell r="F2">
            <v>45195</v>
          </cell>
        </row>
        <row r="3">
          <cell r="D3">
            <v>45104</v>
          </cell>
        </row>
        <row r="5">
          <cell r="D5">
            <v>0.3292410714285714</v>
          </cell>
          <cell r="E5">
            <v>0.34532563025210083</v>
          </cell>
        </row>
        <row r="6">
          <cell r="D6">
            <v>0.35427038239538244</v>
          </cell>
          <cell r="E6">
            <v>0.37138347763347768</v>
          </cell>
        </row>
        <row r="7">
          <cell r="D7">
            <v>0.40328042328042335</v>
          </cell>
          <cell r="E7">
            <v>0.3754695767195767</v>
          </cell>
        </row>
        <row r="8">
          <cell r="D8">
            <v>0.55207671957671955</v>
          </cell>
          <cell r="E8">
            <v>0.47870009620009613</v>
          </cell>
        </row>
        <row r="9">
          <cell r="D9">
            <v>0.40971714917027419</v>
          </cell>
          <cell r="E9">
            <v>0.39271969520131289</v>
          </cell>
        </row>
        <row r="12">
          <cell r="B12">
            <v>30</v>
          </cell>
        </row>
        <row r="13">
          <cell r="B13">
            <v>2</v>
          </cell>
          <cell r="I13">
            <v>5</v>
          </cell>
          <cell r="L13">
            <v>5</v>
          </cell>
          <cell r="O13">
            <v>5</v>
          </cell>
        </row>
        <row r="14">
          <cell r="B14" t="str">
            <v>6/11</v>
          </cell>
          <cell r="I14">
            <v>5</v>
          </cell>
          <cell r="L14">
            <v>5</v>
          </cell>
          <cell r="O14">
            <v>3</v>
          </cell>
        </row>
        <row r="15">
          <cell r="B15" t="str">
            <v>1/12</v>
          </cell>
          <cell r="I15">
            <v>5</v>
          </cell>
          <cell r="L15">
            <v>4</v>
          </cell>
          <cell r="O15">
            <v>2</v>
          </cell>
        </row>
        <row r="16">
          <cell r="B16">
            <v>132</v>
          </cell>
          <cell r="I16">
            <v>5</v>
          </cell>
          <cell r="L16">
            <v>3</v>
          </cell>
          <cell r="O16">
            <v>4</v>
          </cell>
        </row>
        <row r="17">
          <cell r="B17">
            <v>0</v>
          </cell>
          <cell r="I17">
            <v>5</v>
          </cell>
          <cell r="L17">
            <v>5</v>
          </cell>
          <cell r="O17">
            <v>5</v>
          </cell>
        </row>
        <row r="18">
          <cell r="B18"/>
          <cell r="I18">
            <v>5</v>
          </cell>
          <cell r="L18">
            <v>4</v>
          </cell>
          <cell r="O18">
            <v>3</v>
          </cell>
        </row>
        <row r="19">
          <cell r="B19">
            <v>1</v>
          </cell>
          <cell r="I19">
            <v>5</v>
          </cell>
          <cell r="L19">
            <v>5</v>
          </cell>
          <cell r="O19">
            <v>1</v>
          </cell>
        </row>
        <row r="20">
          <cell r="B20">
            <v>1</v>
          </cell>
          <cell r="I20">
            <v>5</v>
          </cell>
          <cell r="L20">
            <v>4</v>
          </cell>
          <cell r="O20">
            <v>4</v>
          </cell>
        </row>
        <row r="21">
          <cell r="B21">
            <v>0</v>
          </cell>
          <cell r="I21">
            <v>5</v>
          </cell>
          <cell r="L21">
            <v>3</v>
          </cell>
          <cell r="O21">
            <v>1</v>
          </cell>
        </row>
        <row r="22">
          <cell r="B22">
            <v>0</v>
          </cell>
          <cell r="I22">
            <v>5</v>
          </cell>
          <cell r="L22">
            <v>3</v>
          </cell>
          <cell r="O22">
            <v>4</v>
          </cell>
        </row>
        <row r="23">
          <cell r="I23">
            <v>5</v>
          </cell>
          <cell r="L23">
            <v>5</v>
          </cell>
          <cell r="O23">
            <v>4</v>
          </cell>
        </row>
        <row r="24">
          <cell r="I24">
            <v>1</v>
          </cell>
        </row>
        <row r="29">
          <cell r="B29">
            <v>0</v>
          </cell>
          <cell r="C29">
            <v>0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0.5</v>
          </cell>
          <cell r="C31">
            <v>0.5</v>
          </cell>
        </row>
        <row r="32">
          <cell r="B32">
            <v>0.28125</v>
          </cell>
          <cell r="C32">
            <v>0.34558823529411764</v>
          </cell>
        </row>
        <row r="33">
          <cell r="B33">
            <v>0.5357142857142857</v>
          </cell>
          <cell r="C33">
            <v>0.5357142857142857</v>
          </cell>
        </row>
        <row r="52">
          <cell r="B52">
            <v>0.15277777777777779</v>
          </cell>
          <cell r="C52">
            <v>6.9444444444444448E-2</v>
          </cell>
        </row>
        <row r="53">
          <cell r="B53">
            <v>0.34074074074074079</v>
          </cell>
          <cell r="C53">
            <v>0.34074074074074079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0.5</v>
          </cell>
        </row>
        <row r="54">
          <cell r="B54">
            <v>0.5</v>
          </cell>
          <cell r="C54">
            <v>0.5</v>
          </cell>
        </row>
        <row r="55">
          <cell r="B55">
            <v>0.26851851851851855</v>
          </cell>
          <cell r="C55">
            <v>0.21279761904761904</v>
          </cell>
        </row>
        <row r="56">
          <cell r="B56">
            <v>0.75436507936507935</v>
          </cell>
          <cell r="C56">
            <v>0.75436507936507935</v>
          </cell>
        </row>
        <row r="58">
          <cell r="C58">
            <v>687</v>
          </cell>
        </row>
        <row r="59">
          <cell r="C59">
            <v>20</v>
          </cell>
        </row>
        <row r="60">
          <cell r="C60">
            <v>2.5</v>
          </cell>
        </row>
        <row r="61">
          <cell r="C61">
            <v>1</v>
          </cell>
        </row>
        <row r="62">
          <cell r="C62">
            <v>2.5</v>
          </cell>
        </row>
        <row r="63">
          <cell r="C63">
            <v>1.5</v>
          </cell>
        </row>
        <row r="74">
          <cell r="B74">
            <v>0.24545454545454548</v>
          </cell>
          <cell r="C74">
            <v>0.24545454545454548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0.39285714285714285</v>
          </cell>
          <cell r="C76">
            <v>0.39285714285714285</v>
          </cell>
        </row>
        <row r="77">
          <cell r="B77">
            <v>6.25E-2</v>
          </cell>
          <cell r="C77">
            <v>0.13095238095238093</v>
          </cell>
        </row>
        <row r="78">
          <cell r="B78">
            <v>0.71626984126984128</v>
          </cell>
          <cell r="C78">
            <v>0.71626984126984128</v>
          </cell>
        </row>
        <row r="80">
          <cell r="C80">
            <v>249</v>
          </cell>
        </row>
        <row r="81">
          <cell r="C81">
            <v>15</v>
          </cell>
        </row>
        <row r="82">
          <cell r="C82">
            <v>3.5</v>
          </cell>
        </row>
        <row r="83">
          <cell r="C83">
            <v>1</v>
          </cell>
        </row>
        <row r="84">
          <cell r="C84">
            <v>2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0.39583333333333331</v>
          </cell>
          <cell r="C96">
            <v>0.39583333333333331</v>
          </cell>
        </row>
        <row r="97">
          <cell r="B97">
            <v>0.34074074074074079</v>
          </cell>
          <cell r="C97">
            <v>0.34074074074074079</v>
          </cell>
          <cell r="AR97">
            <v>0</v>
          </cell>
          <cell r="AS97">
            <v>0.5</v>
          </cell>
          <cell r="AZ97">
            <v>0.5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0.80555555555555547</v>
          </cell>
          <cell r="C99">
            <v>0.4386724386724386</v>
          </cell>
        </row>
        <row r="100">
          <cell r="B100">
            <v>0.71825396825396826</v>
          </cell>
          <cell r="C100">
            <v>0.71825396825396826</v>
          </cell>
        </row>
        <row r="102">
          <cell r="C102">
            <v>619</v>
          </cell>
        </row>
        <row r="103">
          <cell r="C103">
            <v>28.5</v>
          </cell>
        </row>
        <row r="104">
          <cell r="C104">
            <v>2.5</v>
          </cell>
        </row>
        <row r="105">
          <cell r="C105">
            <v>1</v>
          </cell>
        </row>
        <row r="106">
          <cell r="C106">
            <v>2.5</v>
          </cell>
        </row>
        <row r="107">
          <cell r="C107">
            <v>1.5</v>
          </cell>
        </row>
      </sheetData>
      <sheetData sheetId="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M_096</v>
          </cell>
          <cell r="C2" t="str">
            <v>D+M</v>
          </cell>
          <cell r="D2">
            <v>3</v>
          </cell>
          <cell r="E2" t="str">
            <v>A</v>
          </cell>
          <cell r="F2">
            <v>45184</v>
          </cell>
        </row>
        <row r="3">
          <cell r="D3">
            <v>45104</v>
          </cell>
        </row>
        <row r="5">
          <cell r="D5">
            <v>0.54365079365079361</v>
          </cell>
          <cell r="E5">
            <v>0.56019491129785237</v>
          </cell>
        </row>
        <row r="6">
          <cell r="D6">
            <v>0.58693181818181817</v>
          </cell>
          <cell r="E6">
            <v>0.54080086580086573</v>
          </cell>
        </row>
        <row r="7">
          <cell r="D7">
            <v>0.52640211640211643</v>
          </cell>
          <cell r="E7">
            <v>0.48691798941798947</v>
          </cell>
        </row>
        <row r="8">
          <cell r="D8">
            <v>0.55735449735449727</v>
          </cell>
          <cell r="E8">
            <v>0.48289562289562288</v>
          </cell>
        </row>
        <row r="9">
          <cell r="D9">
            <v>0.55358480639730634</v>
          </cell>
          <cell r="E9">
            <v>0.51770234735308251</v>
          </cell>
        </row>
        <row r="12">
          <cell r="B12">
            <v>30</v>
          </cell>
        </row>
        <row r="13">
          <cell r="B13">
            <v>1</v>
          </cell>
          <cell r="I13">
            <v>5</v>
          </cell>
          <cell r="L13">
            <v>5</v>
          </cell>
          <cell r="O13">
            <v>5</v>
          </cell>
        </row>
        <row r="14">
          <cell r="B14" t="str">
            <v>2/21</v>
          </cell>
          <cell r="I14">
            <v>5</v>
          </cell>
          <cell r="L14">
            <v>5</v>
          </cell>
          <cell r="O14">
            <v>4</v>
          </cell>
        </row>
        <row r="15">
          <cell r="B15" t="str">
            <v>6/21</v>
          </cell>
          <cell r="I15">
            <v>4</v>
          </cell>
          <cell r="L15">
            <v>4</v>
          </cell>
          <cell r="O15">
            <v>3</v>
          </cell>
        </row>
        <row r="16">
          <cell r="B16">
            <v>24</v>
          </cell>
          <cell r="I16">
            <v>5</v>
          </cell>
          <cell r="L16">
            <v>4</v>
          </cell>
          <cell r="O16">
            <v>4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5</v>
          </cell>
        </row>
        <row r="18">
          <cell r="B18"/>
          <cell r="I18">
            <v>4</v>
          </cell>
          <cell r="L18">
            <v>3</v>
          </cell>
          <cell r="O18">
            <v>4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1</v>
          </cell>
        </row>
        <row r="20">
          <cell r="B20"/>
          <cell r="I20">
            <v>3</v>
          </cell>
          <cell r="L20">
            <v>4</v>
          </cell>
          <cell r="O20">
            <v>2</v>
          </cell>
        </row>
        <row r="21">
          <cell r="B21"/>
          <cell r="I21">
            <v>4</v>
          </cell>
          <cell r="L21">
            <v>3</v>
          </cell>
          <cell r="O21">
            <v>3</v>
          </cell>
        </row>
        <row r="22">
          <cell r="B22">
            <v>0</v>
          </cell>
          <cell r="I22">
            <v>3</v>
          </cell>
          <cell r="L22">
            <v>4</v>
          </cell>
          <cell r="O22">
            <v>4</v>
          </cell>
        </row>
        <row r="23">
          <cell r="I23">
            <v>5</v>
          </cell>
          <cell r="L23">
            <v>5</v>
          </cell>
          <cell r="O23">
            <v>4</v>
          </cell>
        </row>
        <row r="24">
          <cell r="I24">
            <v>2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1</v>
          </cell>
        </row>
        <row r="31">
          <cell r="B31">
            <v>0.33333333333333331</v>
          </cell>
          <cell r="C31">
            <v>0.33333333333333331</v>
          </cell>
        </row>
        <row r="32">
          <cell r="B32">
            <v>0.75</v>
          </cell>
          <cell r="C32">
            <v>0.81617647058823528</v>
          </cell>
        </row>
        <row r="33">
          <cell r="B33">
            <v>0.70238095238095222</v>
          </cell>
          <cell r="C33">
            <v>0.70238095238095222</v>
          </cell>
        </row>
        <row r="52">
          <cell r="B52">
            <v>0.69444444444444442</v>
          </cell>
          <cell r="C52">
            <v>0.69444444444444442</v>
          </cell>
        </row>
        <row r="53">
          <cell r="B53">
            <v>0.2074074074074074</v>
          </cell>
          <cell r="C53">
            <v>0.2074074074074074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1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0.52777777777777779</v>
          </cell>
          <cell r="C55">
            <v>0.33035714285714285</v>
          </cell>
        </row>
        <row r="56">
          <cell r="B56">
            <v>0.70238095238095244</v>
          </cell>
          <cell r="C56">
            <v>0.70238095238095244</v>
          </cell>
        </row>
        <row r="58">
          <cell r="C58">
            <v>1191</v>
          </cell>
        </row>
        <row r="59">
          <cell r="C59">
            <v>42</v>
          </cell>
        </row>
        <row r="60">
          <cell r="C60">
            <v>2</v>
          </cell>
        </row>
        <row r="61">
          <cell r="C61">
            <v>2</v>
          </cell>
        </row>
        <row r="62">
          <cell r="C62">
            <v>2</v>
          </cell>
        </row>
        <row r="63">
          <cell r="C63">
            <v>2</v>
          </cell>
        </row>
        <row r="74">
          <cell r="B74">
            <v>0.47272727272727272</v>
          </cell>
          <cell r="C74">
            <v>0.47272727272727272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0.4642857142857143</v>
          </cell>
          <cell r="C76">
            <v>0.4642857142857143</v>
          </cell>
        </row>
        <row r="77">
          <cell r="B77">
            <v>0.70833333333333326</v>
          </cell>
          <cell r="C77">
            <v>0.52380952380952372</v>
          </cell>
        </row>
        <row r="78">
          <cell r="B78">
            <v>0.70238095238095222</v>
          </cell>
          <cell r="C78">
            <v>0.70238095238095222</v>
          </cell>
        </row>
        <row r="80">
          <cell r="C80">
            <v>683</v>
          </cell>
        </row>
        <row r="81">
          <cell r="C81">
            <v>28</v>
          </cell>
        </row>
        <row r="82">
          <cell r="C82">
            <v>3</v>
          </cell>
        </row>
        <row r="83">
          <cell r="C83">
            <v>2</v>
          </cell>
        </row>
        <row r="84">
          <cell r="C84">
            <v>2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0.75</v>
          </cell>
          <cell r="C96">
            <v>0.75</v>
          </cell>
        </row>
        <row r="97">
          <cell r="B97">
            <v>0.2074074074074074</v>
          </cell>
          <cell r="C97">
            <v>0.2074074074074074</v>
          </cell>
          <cell r="AR97">
            <v>0</v>
          </cell>
          <cell r="AS97">
            <v>0</v>
          </cell>
          <cell r="AZ97">
            <v>0</v>
          </cell>
          <cell r="BB97">
            <v>1</v>
          </cell>
        </row>
        <row r="98">
          <cell r="B98">
            <v>0</v>
          </cell>
          <cell r="C98">
            <v>0</v>
          </cell>
        </row>
        <row r="99">
          <cell r="B99">
            <v>0.88888888888888884</v>
          </cell>
          <cell r="C99">
            <v>0.51659451659451661</v>
          </cell>
        </row>
        <row r="100">
          <cell r="B100">
            <v>0.94047619047619035</v>
          </cell>
          <cell r="C100">
            <v>0.94047619047619035</v>
          </cell>
        </row>
        <row r="102">
          <cell r="C102">
            <v>650</v>
          </cell>
        </row>
        <row r="103">
          <cell r="C103">
            <v>58</v>
          </cell>
        </row>
        <row r="104">
          <cell r="C104">
            <v>2</v>
          </cell>
        </row>
        <row r="105">
          <cell r="C105">
            <v>4</v>
          </cell>
        </row>
        <row r="106">
          <cell r="C106">
            <v>2</v>
          </cell>
        </row>
        <row r="107">
          <cell r="C107">
            <v>3</v>
          </cell>
        </row>
      </sheetData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M_098</v>
          </cell>
          <cell r="C2" t="str">
            <v>D+M</v>
          </cell>
          <cell r="D2">
            <v>3</v>
          </cell>
          <cell r="E2" t="str">
            <v>A</v>
          </cell>
          <cell r="F2">
            <v>45244</v>
          </cell>
        </row>
        <row r="3">
          <cell r="D3">
            <v>45104</v>
          </cell>
        </row>
        <row r="5">
          <cell r="D5">
            <v>0.59300595238095233</v>
          </cell>
          <cell r="E5">
            <v>0.57186624649859941</v>
          </cell>
        </row>
        <row r="6">
          <cell r="D6">
            <v>0.60118145743145746</v>
          </cell>
          <cell r="E6">
            <v>0.55505050505050502</v>
          </cell>
        </row>
        <row r="7">
          <cell r="D7">
            <v>0.59830687830687823</v>
          </cell>
          <cell r="E7">
            <v>0.58210317460317462</v>
          </cell>
        </row>
        <row r="8">
          <cell r="D8">
            <v>0.70857142857142852</v>
          </cell>
          <cell r="E8">
            <v>0.68432900432900434</v>
          </cell>
        </row>
        <row r="9">
          <cell r="D9">
            <v>0.62526642917267916</v>
          </cell>
          <cell r="E9">
            <v>0.59833723262032079</v>
          </cell>
        </row>
        <row r="12">
          <cell r="B12">
            <v>19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3</v>
          </cell>
        </row>
        <row r="14">
          <cell r="B14" t="str">
            <v>10/22</v>
          </cell>
          <cell r="I14">
            <v>3</v>
          </cell>
          <cell r="L14">
            <v>3</v>
          </cell>
          <cell r="O14">
            <v>2</v>
          </cell>
        </row>
        <row r="15">
          <cell r="B15" t="str">
            <v>2/23</v>
          </cell>
          <cell r="I15">
            <v>3</v>
          </cell>
          <cell r="L15">
            <v>4</v>
          </cell>
          <cell r="O15">
            <v>3</v>
          </cell>
        </row>
        <row r="16">
          <cell r="B16">
            <v>12</v>
          </cell>
          <cell r="I16">
            <v>4</v>
          </cell>
          <cell r="L16">
            <v>4</v>
          </cell>
          <cell r="O16">
            <v>2</v>
          </cell>
        </row>
        <row r="17">
          <cell r="B17">
            <v>0</v>
          </cell>
          <cell r="I17">
            <v>4</v>
          </cell>
          <cell r="L17">
            <v>3</v>
          </cell>
          <cell r="O17">
            <v>5</v>
          </cell>
        </row>
        <row r="18">
          <cell r="B18"/>
          <cell r="I18">
            <v>3</v>
          </cell>
          <cell r="L18">
            <v>3</v>
          </cell>
          <cell r="O18">
            <v>2</v>
          </cell>
        </row>
        <row r="19">
          <cell r="B19">
            <v>0</v>
          </cell>
          <cell r="I19">
            <v>4</v>
          </cell>
          <cell r="L19">
            <v>4</v>
          </cell>
          <cell r="O19">
            <v>3</v>
          </cell>
        </row>
        <row r="20">
          <cell r="B20"/>
          <cell r="I20">
            <v>2</v>
          </cell>
          <cell r="L20">
            <v>3</v>
          </cell>
          <cell r="O20">
            <v>4</v>
          </cell>
        </row>
        <row r="21">
          <cell r="B21"/>
          <cell r="I21">
            <v>4</v>
          </cell>
          <cell r="L21">
            <v>4</v>
          </cell>
          <cell r="O21">
            <v>2</v>
          </cell>
        </row>
        <row r="22">
          <cell r="B22">
            <v>0</v>
          </cell>
          <cell r="I22">
            <v>3</v>
          </cell>
          <cell r="L22">
            <v>3</v>
          </cell>
          <cell r="O22">
            <v>3</v>
          </cell>
        </row>
        <row r="23">
          <cell r="I23">
            <v>4</v>
          </cell>
          <cell r="L23">
            <v>4</v>
          </cell>
          <cell r="O23">
            <v>4</v>
          </cell>
        </row>
        <row r="24">
          <cell r="I24">
            <v>0</v>
          </cell>
        </row>
        <row r="29">
          <cell r="B29">
            <v>0.44444444444444448</v>
          </cell>
          <cell r="C29">
            <v>0.44444444444444448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0.33333333333333331</v>
          </cell>
          <cell r="C31">
            <v>0.33333333333333331</v>
          </cell>
        </row>
        <row r="32">
          <cell r="B32">
            <v>0.8125</v>
          </cell>
          <cell r="C32">
            <v>0.72794117647058831</v>
          </cell>
        </row>
        <row r="33">
          <cell r="B33">
            <v>0.78174603174603163</v>
          </cell>
          <cell r="C33">
            <v>0.78174603174603163</v>
          </cell>
        </row>
        <row r="52">
          <cell r="B52">
            <v>0.75</v>
          </cell>
          <cell r="C52">
            <v>0.75</v>
          </cell>
        </row>
        <row r="53">
          <cell r="B53">
            <v>0.37777777777777777</v>
          </cell>
          <cell r="C53">
            <v>0.37777777777777777</v>
          </cell>
          <cell r="AU53">
            <v>1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0.43518518518518517</v>
          </cell>
          <cell r="C55">
            <v>0.35416666666666669</v>
          </cell>
        </row>
        <row r="56">
          <cell r="B56">
            <v>0.92857142857142849</v>
          </cell>
          <cell r="C56">
            <v>0.92857142857142849</v>
          </cell>
        </row>
        <row r="58">
          <cell r="C58">
            <v>1200</v>
          </cell>
        </row>
        <row r="59">
          <cell r="C59">
            <v>75</v>
          </cell>
        </row>
        <row r="60">
          <cell r="C60">
            <v>3</v>
          </cell>
        </row>
        <row r="61">
          <cell r="C61">
            <v>2</v>
          </cell>
        </row>
        <row r="62">
          <cell r="C62">
            <v>4</v>
          </cell>
        </row>
        <row r="63">
          <cell r="C63">
            <v>3</v>
          </cell>
        </row>
        <row r="74">
          <cell r="B74">
            <v>0.60909090909090913</v>
          </cell>
          <cell r="C74">
            <v>0.60909090909090913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0.21428571428571427</v>
          </cell>
          <cell r="C76">
            <v>0.21428571428571427</v>
          </cell>
        </row>
        <row r="77">
          <cell r="B77">
            <v>0.70833333333333326</v>
          </cell>
          <cell r="C77">
            <v>0.52380952380952372</v>
          </cell>
        </row>
        <row r="78">
          <cell r="B78">
            <v>0.87301587301587291</v>
          </cell>
          <cell r="C78">
            <v>0.87301587301587291</v>
          </cell>
        </row>
        <row r="80">
          <cell r="C80">
            <v>477</v>
          </cell>
        </row>
        <row r="81">
          <cell r="C81">
            <v>40</v>
          </cell>
        </row>
        <row r="82">
          <cell r="C82">
            <v>4</v>
          </cell>
        </row>
        <row r="83">
          <cell r="C83">
            <v>2</v>
          </cell>
        </row>
        <row r="84">
          <cell r="C84">
            <v>3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0.8</v>
          </cell>
          <cell r="C96">
            <v>0.8</v>
          </cell>
        </row>
        <row r="97">
          <cell r="B97">
            <v>0.37777777777777777</v>
          </cell>
          <cell r="C97">
            <v>0.37777777777777777</v>
          </cell>
          <cell r="AR97">
            <v>1</v>
          </cell>
          <cell r="AS97">
            <v>1</v>
          </cell>
          <cell r="AZ97">
            <v>1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0.88888888888888884</v>
          </cell>
          <cell r="C99">
            <v>0.76767676767676762</v>
          </cell>
        </row>
        <row r="100">
          <cell r="B100">
            <v>0.97619047619047616</v>
          </cell>
          <cell r="C100">
            <v>0.97619047619047616</v>
          </cell>
        </row>
        <row r="102">
          <cell r="C102">
            <v>1200</v>
          </cell>
        </row>
        <row r="103">
          <cell r="C103">
            <v>80</v>
          </cell>
        </row>
        <row r="104">
          <cell r="C104">
            <v>3</v>
          </cell>
        </row>
        <row r="105">
          <cell r="C105">
            <v>4</v>
          </cell>
        </row>
        <row r="106">
          <cell r="C106">
            <v>4</v>
          </cell>
        </row>
        <row r="107">
          <cell r="C107">
            <v>3</v>
          </cell>
        </row>
      </sheetData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M_099</v>
          </cell>
          <cell r="C2" t="str">
            <v>D only</v>
          </cell>
          <cell r="D2">
            <v>3</v>
          </cell>
          <cell r="E2" t="str">
            <v>B</v>
          </cell>
          <cell r="F2">
            <v>45244</v>
          </cell>
        </row>
        <row r="3">
          <cell r="D3">
            <v>45104</v>
          </cell>
        </row>
        <row r="5">
          <cell r="D5">
            <v>0.1314484126984127</v>
          </cell>
          <cell r="E5">
            <v>0.16821311858076565</v>
          </cell>
        </row>
        <row r="6">
          <cell r="D6">
            <v>0.15416666666666667</v>
          </cell>
          <cell r="E6">
            <v>0.18392857142857141</v>
          </cell>
        </row>
        <row r="7">
          <cell r="D7">
            <v>9.1851851851851837E-2</v>
          </cell>
          <cell r="E7">
            <v>9.1851851851851837E-2</v>
          </cell>
        </row>
        <row r="8">
          <cell r="D8">
            <v>7.6772486772486756E-2</v>
          </cell>
          <cell r="E8">
            <v>7.6772486772486756E-2</v>
          </cell>
        </row>
        <row r="9">
          <cell r="D9">
            <v>0.11355985449735449</v>
          </cell>
          <cell r="E9">
            <v>0.1301915071584189</v>
          </cell>
        </row>
        <row r="12">
          <cell r="B12">
            <v>20</v>
          </cell>
        </row>
        <row r="13">
          <cell r="B13">
            <v>1</v>
          </cell>
          <cell r="I13">
            <v>5</v>
          </cell>
          <cell r="L13">
            <v>4</v>
          </cell>
          <cell r="O13">
            <v>4</v>
          </cell>
        </row>
        <row r="14">
          <cell r="B14" t="str">
            <v>7/22</v>
          </cell>
          <cell r="I14">
            <v>5</v>
          </cell>
          <cell r="L14">
            <v>4</v>
          </cell>
          <cell r="O14">
            <v>2</v>
          </cell>
        </row>
        <row r="15">
          <cell r="B15" t="str">
            <v>10/22</v>
          </cell>
          <cell r="I15">
            <v>4</v>
          </cell>
          <cell r="L15">
            <v>4</v>
          </cell>
          <cell r="O15">
            <v>2</v>
          </cell>
        </row>
        <row r="16">
          <cell r="B16">
            <v>12</v>
          </cell>
          <cell r="I16">
            <v>5</v>
          </cell>
          <cell r="L16">
            <v>4</v>
          </cell>
          <cell r="O16">
            <v>2</v>
          </cell>
        </row>
        <row r="17">
          <cell r="B17">
            <v>0</v>
          </cell>
          <cell r="I17"/>
          <cell r="L17">
            <v>3</v>
          </cell>
          <cell r="O17">
            <v>5</v>
          </cell>
        </row>
        <row r="18">
          <cell r="B18"/>
          <cell r="I18"/>
          <cell r="L18">
            <v>4</v>
          </cell>
          <cell r="O18">
            <v>2</v>
          </cell>
        </row>
        <row r="19">
          <cell r="B19">
            <v>0</v>
          </cell>
          <cell r="I19"/>
          <cell r="L19">
            <v>4</v>
          </cell>
          <cell r="O19">
            <v>2</v>
          </cell>
        </row>
        <row r="20">
          <cell r="B20"/>
          <cell r="I20"/>
          <cell r="L20">
            <v>2</v>
          </cell>
          <cell r="O20">
            <v>2</v>
          </cell>
        </row>
        <row r="21">
          <cell r="B21"/>
          <cell r="I21"/>
          <cell r="L21">
            <v>3</v>
          </cell>
          <cell r="O21">
            <v>2</v>
          </cell>
        </row>
        <row r="22">
          <cell r="B22">
            <v>0</v>
          </cell>
          <cell r="I22"/>
          <cell r="L22">
            <v>3</v>
          </cell>
          <cell r="O22">
            <v>2</v>
          </cell>
        </row>
        <row r="23">
          <cell r="I23"/>
          <cell r="L23">
            <v>5</v>
          </cell>
          <cell r="O23">
            <v>2</v>
          </cell>
        </row>
        <row r="24">
          <cell r="I24"/>
        </row>
        <row r="29">
          <cell r="B29">
            <v>0</v>
          </cell>
          <cell r="C29">
            <v>0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0.33333333333333331</v>
          </cell>
          <cell r="C31">
            <v>0.33333333333333331</v>
          </cell>
        </row>
        <row r="32">
          <cell r="B32">
            <v>0.125</v>
          </cell>
          <cell r="C32">
            <v>0.2720588235294118</v>
          </cell>
        </row>
        <row r="33">
          <cell r="B33">
            <v>6.7460317460317457E-2</v>
          </cell>
          <cell r="C33">
            <v>6.7460317460317457E-2</v>
          </cell>
        </row>
        <row r="52">
          <cell r="B52">
            <v>2.7777777777777776E-2</v>
          </cell>
          <cell r="C52">
            <v>2.7777777777777776E-2</v>
          </cell>
        </row>
        <row r="53">
          <cell r="B53">
            <v>0.3481481481481481</v>
          </cell>
          <cell r="C53">
            <v>0.3481481481481481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</v>
          </cell>
          <cell r="C54">
            <v>0</v>
          </cell>
        </row>
        <row r="55">
          <cell r="B55">
            <v>8.3333333333333329E-2</v>
          </cell>
          <cell r="C55">
            <v>8.3333333333333329E-2</v>
          </cell>
        </row>
        <row r="56">
          <cell r="B56">
            <v>0</v>
          </cell>
          <cell r="C56">
            <v>0</v>
          </cell>
        </row>
        <row r="58">
          <cell r="C58">
            <v>476</v>
          </cell>
        </row>
        <row r="59">
          <cell r="C59">
            <v>10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</v>
          </cell>
        </row>
        <row r="63">
          <cell r="C63">
            <v>1</v>
          </cell>
        </row>
        <row r="74">
          <cell r="B74">
            <v>0.2</v>
          </cell>
          <cell r="C74">
            <v>0.2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7.1428571428571425E-2</v>
          </cell>
          <cell r="C76">
            <v>7.1428571428571425E-2</v>
          </cell>
        </row>
        <row r="77">
          <cell r="B77">
            <v>0.33333333333333331</v>
          </cell>
          <cell r="C77">
            <v>0.45238095238095233</v>
          </cell>
        </row>
        <row r="78">
          <cell r="B78">
            <v>1.1904761904761904E-2</v>
          </cell>
          <cell r="C78">
            <v>1.1904761904761904E-2</v>
          </cell>
        </row>
        <row r="80">
          <cell r="C80">
            <v>1200</v>
          </cell>
        </row>
        <row r="81">
          <cell r="C81">
            <v>10</v>
          </cell>
        </row>
        <row r="82">
          <cell r="C82">
            <v>1</v>
          </cell>
        </row>
        <row r="83">
          <cell r="C83">
            <v>1</v>
          </cell>
        </row>
        <row r="84">
          <cell r="C84">
            <v>1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</v>
          </cell>
          <cell r="C96">
            <v>0</v>
          </cell>
        </row>
        <row r="97">
          <cell r="B97">
            <v>0.3481481481481481</v>
          </cell>
          <cell r="C97">
            <v>0.3481481481481481</v>
          </cell>
          <cell r="AR97">
            <v>0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</v>
          </cell>
          <cell r="C98">
            <v>0</v>
          </cell>
        </row>
        <row r="99">
          <cell r="B99">
            <v>0</v>
          </cell>
          <cell r="C99">
            <v>0</v>
          </cell>
        </row>
        <row r="100">
          <cell r="B100">
            <v>3.5714285714285712E-2</v>
          </cell>
          <cell r="C100">
            <v>3.5714285714285712E-2</v>
          </cell>
        </row>
        <row r="102">
          <cell r="C102">
            <v>604</v>
          </cell>
        </row>
        <row r="103">
          <cell r="C103">
            <v>10</v>
          </cell>
        </row>
        <row r="104">
          <cell r="C104">
            <v>1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C107">
            <v>1</v>
          </cell>
        </row>
      </sheetData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M_012</v>
          </cell>
          <cell r="C2" t="str">
            <v>D+M</v>
          </cell>
          <cell r="D2">
            <v>1</v>
          </cell>
          <cell r="E2" t="str">
            <v>B</v>
          </cell>
          <cell r="F2">
            <v>44988</v>
          </cell>
        </row>
        <row r="3">
          <cell r="D3" t="str">
            <v>9/20/2022</v>
          </cell>
        </row>
        <row r="5">
          <cell r="D5">
            <v>0.71552579365079361</v>
          </cell>
          <cell r="E5">
            <v>0.69438608776844069</v>
          </cell>
        </row>
        <row r="6">
          <cell r="D6">
            <v>0.73402777777777772</v>
          </cell>
          <cell r="E6">
            <v>0.6878968253968254</v>
          </cell>
        </row>
        <row r="7">
          <cell r="D7">
            <v>0.67338624338624342</v>
          </cell>
          <cell r="E7">
            <v>0.6620436507936508</v>
          </cell>
        </row>
        <row r="8">
          <cell r="D8">
            <v>0.78547619047619044</v>
          </cell>
          <cell r="E8">
            <v>0.69413419913419916</v>
          </cell>
        </row>
        <row r="9">
          <cell r="D9">
            <v>0.72710400132275133</v>
          </cell>
          <cell r="E9">
            <v>0.68461519077327893</v>
          </cell>
        </row>
        <row r="12">
          <cell r="B12">
            <v>20</v>
          </cell>
        </row>
        <row r="13">
          <cell r="B13">
            <v>2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12/21</v>
          </cell>
          <cell r="I14">
            <v>4</v>
          </cell>
          <cell r="L14">
            <v>4</v>
          </cell>
          <cell r="O14">
            <v>3</v>
          </cell>
        </row>
        <row r="15">
          <cell r="B15" t="str">
            <v>3/22</v>
          </cell>
          <cell r="I15">
            <v>4</v>
          </cell>
          <cell r="L15">
            <v>4</v>
          </cell>
          <cell r="O15">
            <v>3</v>
          </cell>
        </row>
        <row r="16">
          <cell r="B16">
            <v>4</v>
          </cell>
          <cell r="I16">
            <v>4</v>
          </cell>
          <cell r="L16">
            <v>4</v>
          </cell>
          <cell r="O16">
            <v>4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4</v>
          </cell>
        </row>
        <row r="18">
          <cell r="B18"/>
          <cell r="I18">
            <v>4</v>
          </cell>
          <cell r="L18">
            <v>4</v>
          </cell>
          <cell r="O18">
            <v>3</v>
          </cell>
        </row>
        <row r="19">
          <cell r="B19">
            <v>0</v>
          </cell>
          <cell r="I19">
            <v>4</v>
          </cell>
          <cell r="L19">
            <v>4</v>
          </cell>
          <cell r="O19">
            <v>2</v>
          </cell>
        </row>
        <row r="20">
          <cell r="B20"/>
          <cell r="I20">
            <v>4</v>
          </cell>
          <cell r="L20">
            <v>4</v>
          </cell>
          <cell r="O20">
            <v>3</v>
          </cell>
        </row>
        <row r="21">
          <cell r="B21"/>
          <cell r="I21">
            <v>3</v>
          </cell>
          <cell r="L21">
            <v>4</v>
          </cell>
          <cell r="O21">
            <v>4</v>
          </cell>
        </row>
        <row r="22">
          <cell r="B22"/>
          <cell r="I22">
            <v>4</v>
          </cell>
          <cell r="L22">
            <v>4</v>
          </cell>
          <cell r="O22">
            <v>3</v>
          </cell>
        </row>
        <row r="23">
          <cell r="I23">
            <v>4</v>
          </cell>
          <cell r="L23">
            <v>4</v>
          </cell>
          <cell r="O23">
            <v>4</v>
          </cell>
        </row>
        <row r="24">
          <cell r="I24">
            <v>0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0.83333333333333326</v>
          </cell>
          <cell r="C31">
            <v>0.83333333333333326</v>
          </cell>
        </row>
        <row r="32">
          <cell r="B32">
            <v>0.6875</v>
          </cell>
          <cell r="C32">
            <v>0.60294117647058831</v>
          </cell>
        </row>
        <row r="33">
          <cell r="B33">
            <v>0.95238095238095222</v>
          </cell>
          <cell r="C33">
            <v>0.95238095238095222</v>
          </cell>
        </row>
        <row r="52">
          <cell r="B52">
            <v>0.66944444444444451</v>
          </cell>
          <cell r="C52">
            <v>0.66944444444444451</v>
          </cell>
        </row>
        <row r="53">
          <cell r="B53">
            <v>0.44444444444444448</v>
          </cell>
          <cell r="C53">
            <v>0.44444444444444448</v>
          </cell>
          <cell r="AU53">
            <v>1</v>
          </cell>
          <cell r="AV53">
            <v>0.5</v>
          </cell>
          <cell r="AX53">
            <v>1</v>
          </cell>
          <cell r="AY53">
            <v>0.5</v>
          </cell>
          <cell r="AZ53">
            <v>0</v>
          </cell>
          <cell r="BF53">
            <v>0</v>
          </cell>
        </row>
        <row r="54">
          <cell r="B54">
            <v>1</v>
          </cell>
          <cell r="C54">
            <v>1</v>
          </cell>
        </row>
        <row r="55">
          <cell r="B55">
            <v>0.37962962962962959</v>
          </cell>
          <cell r="C55">
            <v>0.32291666666666669</v>
          </cell>
        </row>
        <row r="56">
          <cell r="B56">
            <v>0.87341269841269842</v>
          </cell>
          <cell r="C56">
            <v>0.87341269841269842</v>
          </cell>
        </row>
        <row r="58">
          <cell r="C58">
            <v>1200</v>
          </cell>
        </row>
        <row r="59">
          <cell r="C59">
            <v>59</v>
          </cell>
        </row>
        <row r="60">
          <cell r="C60">
            <v>4</v>
          </cell>
        </row>
        <row r="61">
          <cell r="C61">
            <v>4</v>
          </cell>
        </row>
        <row r="62">
          <cell r="C62">
            <v>4.5</v>
          </cell>
        </row>
        <row r="63">
          <cell r="C63">
            <v>3</v>
          </cell>
        </row>
        <row r="74">
          <cell r="B74">
            <v>0.7</v>
          </cell>
          <cell r="C74">
            <v>0.7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0.75</v>
          </cell>
          <cell r="C76">
            <v>0.75</v>
          </cell>
        </row>
        <row r="77">
          <cell r="B77">
            <v>0.70833333333333326</v>
          </cell>
          <cell r="C77">
            <v>0.52380952380952372</v>
          </cell>
        </row>
        <row r="78">
          <cell r="B78">
            <v>0.77777777777777779</v>
          </cell>
          <cell r="C78">
            <v>0.77777777777777779</v>
          </cell>
        </row>
        <row r="80">
          <cell r="C80">
            <v>1200</v>
          </cell>
        </row>
        <row r="81">
          <cell r="C81">
            <v>45</v>
          </cell>
        </row>
        <row r="82">
          <cell r="C82">
            <v>4</v>
          </cell>
        </row>
        <row r="83">
          <cell r="C83">
            <v>2.5</v>
          </cell>
        </row>
        <row r="84">
          <cell r="C84">
            <v>4.5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0.8</v>
          </cell>
          <cell r="C96">
            <v>0.8</v>
          </cell>
        </row>
        <row r="97">
          <cell r="B97">
            <v>0.44444444444444448</v>
          </cell>
          <cell r="C97">
            <v>0.44444444444444448</v>
          </cell>
          <cell r="AR97">
            <v>0</v>
          </cell>
          <cell r="AS97">
            <v>0.5</v>
          </cell>
          <cell r="AZ97">
            <v>0</v>
          </cell>
          <cell r="BB97">
            <v>0</v>
          </cell>
        </row>
        <row r="98">
          <cell r="B98">
            <v>1</v>
          </cell>
          <cell r="C98">
            <v>1</v>
          </cell>
        </row>
        <row r="99">
          <cell r="B99">
            <v>0.88888888888888884</v>
          </cell>
          <cell r="C99">
            <v>0.43217893217893216</v>
          </cell>
        </row>
        <row r="100">
          <cell r="B100">
            <v>0.794047619047619</v>
          </cell>
          <cell r="C100">
            <v>0.794047619047619</v>
          </cell>
        </row>
        <row r="102">
          <cell r="C102">
            <v>1200</v>
          </cell>
        </row>
        <row r="103">
          <cell r="C103">
            <v>47.5</v>
          </cell>
        </row>
        <row r="104">
          <cell r="C104">
            <v>4</v>
          </cell>
        </row>
        <row r="105">
          <cell r="C105">
            <v>3</v>
          </cell>
        </row>
        <row r="106">
          <cell r="C106">
            <v>4.5</v>
          </cell>
        </row>
        <row r="107">
          <cell r="C107">
            <v>2.5</v>
          </cell>
        </row>
      </sheetData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  <sheetName val="#REF"/>
    </sheetNames>
    <sheetDataSet>
      <sheetData sheetId="0" refreshError="1">
        <row r="2">
          <cell r="A2" t="str">
            <v>M_009</v>
          </cell>
          <cell r="C2" t="str">
            <v>D only</v>
          </cell>
          <cell r="D2">
            <v>1</v>
          </cell>
          <cell r="E2" t="str">
            <v>A</v>
          </cell>
          <cell r="F2">
            <v>44988</v>
          </cell>
        </row>
        <row r="3">
          <cell r="D3" t="str">
            <v>9/20/2022</v>
          </cell>
        </row>
        <row r="5">
          <cell r="D5">
            <v>0.32738095238095238</v>
          </cell>
          <cell r="E5">
            <v>0.32370448179271705</v>
          </cell>
        </row>
        <row r="6">
          <cell r="D6">
            <v>0.30065386002886002</v>
          </cell>
          <cell r="E6">
            <v>0.32967171717171717</v>
          </cell>
        </row>
        <row r="7">
          <cell r="D7">
            <v>0.3473809523809524</v>
          </cell>
          <cell r="E7">
            <v>0.30095238095238097</v>
          </cell>
        </row>
        <row r="8">
          <cell r="D8">
            <v>0.41888888888888881</v>
          </cell>
          <cell r="E8">
            <v>0.37062049062049057</v>
          </cell>
        </row>
        <row r="9">
          <cell r="D9">
            <v>0.34857616341991343</v>
          </cell>
          <cell r="E9">
            <v>0.33123726763432643</v>
          </cell>
        </row>
        <row r="12">
          <cell r="B12">
            <v>21</v>
          </cell>
        </row>
        <row r="13">
          <cell r="B13">
            <v>1</v>
          </cell>
          <cell r="I13">
            <v>5</v>
          </cell>
          <cell r="L13">
            <v>5</v>
          </cell>
          <cell r="O13">
            <v>4</v>
          </cell>
        </row>
        <row r="14">
          <cell r="B14" t="str">
            <v>2/20</v>
          </cell>
          <cell r="I14">
            <v>5</v>
          </cell>
          <cell r="L14">
            <v>5</v>
          </cell>
          <cell r="O14">
            <v>1</v>
          </cell>
        </row>
        <row r="15">
          <cell r="B15" t="str">
            <v>6/20</v>
          </cell>
          <cell r="I15">
            <v>4</v>
          </cell>
          <cell r="L15">
            <v>4</v>
          </cell>
          <cell r="O15">
            <v>1</v>
          </cell>
        </row>
        <row r="16">
          <cell r="B16">
            <v>24</v>
          </cell>
          <cell r="I16">
            <v>4</v>
          </cell>
          <cell r="L16">
            <v>2</v>
          </cell>
          <cell r="O16">
            <v>1</v>
          </cell>
        </row>
        <row r="17">
          <cell r="B17">
            <v>0</v>
          </cell>
          <cell r="I17">
            <v>4</v>
          </cell>
          <cell r="L17">
            <v>2</v>
          </cell>
          <cell r="O17">
            <v>4</v>
          </cell>
        </row>
        <row r="18">
          <cell r="B18"/>
          <cell r="I18">
            <v>4</v>
          </cell>
          <cell r="L18">
            <v>2</v>
          </cell>
          <cell r="O18">
            <v>1</v>
          </cell>
        </row>
        <row r="19">
          <cell r="B19">
            <v>0</v>
          </cell>
          <cell r="I19">
            <v>4</v>
          </cell>
          <cell r="L19">
            <v>4</v>
          </cell>
          <cell r="O19">
            <v>1</v>
          </cell>
        </row>
        <row r="20">
          <cell r="B20"/>
          <cell r="I20">
            <v>3</v>
          </cell>
          <cell r="L20">
            <v>2</v>
          </cell>
          <cell r="O20">
            <v>3</v>
          </cell>
        </row>
        <row r="21">
          <cell r="B21"/>
          <cell r="I21">
            <v>4</v>
          </cell>
          <cell r="L21">
            <v>3</v>
          </cell>
          <cell r="O21">
            <v>1</v>
          </cell>
        </row>
        <row r="22">
          <cell r="B22" t="str">
            <v>n/a</v>
          </cell>
          <cell r="I22">
            <v>4</v>
          </cell>
          <cell r="L22">
            <v>4</v>
          </cell>
          <cell r="O22">
            <v>1</v>
          </cell>
        </row>
        <row r="23">
          <cell r="I23">
            <v>4</v>
          </cell>
          <cell r="L23">
            <v>4</v>
          </cell>
          <cell r="O23">
            <v>1</v>
          </cell>
        </row>
        <row r="24">
          <cell r="I24">
            <v>0</v>
          </cell>
        </row>
        <row r="29">
          <cell r="B29">
            <v>0.22222222222222221</v>
          </cell>
          <cell r="C29">
            <v>0.22222222222222221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0.25</v>
          </cell>
          <cell r="C31">
            <v>0.25</v>
          </cell>
        </row>
        <row r="32">
          <cell r="B32">
            <v>0.5</v>
          </cell>
          <cell r="C32">
            <v>0.48529411764705882</v>
          </cell>
        </row>
        <row r="33">
          <cell r="B33">
            <v>0.33730158730158727</v>
          </cell>
          <cell r="C33">
            <v>0.33730158730158727</v>
          </cell>
        </row>
        <row r="52">
          <cell r="B52">
            <v>0.375</v>
          </cell>
          <cell r="C52">
            <v>0.33333333333333331</v>
          </cell>
        </row>
        <row r="53">
          <cell r="B53">
            <v>0.37777777777777777</v>
          </cell>
          <cell r="C53">
            <v>0.37777777777777777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</v>
          </cell>
          <cell r="C54">
            <v>0</v>
          </cell>
        </row>
        <row r="55">
          <cell r="B55">
            <v>0.5</v>
          </cell>
          <cell r="C55">
            <v>0.30952380952380953</v>
          </cell>
        </row>
        <row r="56">
          <cell r="B56">
            <v>0.48412698412698413</v>
          </cell>
          <cell r="C56">
            <v>0.48412698412698413</v>
          </cell>
        </row>
        <row r="58">
          <cell r="C58">
            <v>813</v>
          </cell>
        </row>
        <row r="59">
          <cell r="C59">
            <v>20</v>
          </cell>
        </row>
        <row r="60">
          <cell r="C60">
            <v>2</v>
          </cell>
        </row>
        <row r="61">
          <cell r="C61">
            <v>1</v>
          </cell>
        </row>
        <row r="62">
          <cell r="C62">
            <v>2</v>
          </cell>
        </row>
        <row r="63">
          <cell r="C63">
            <v>1</v>
          </cell>
        </row>
        <row r="74">
          <cell r="B74">
            <v>0.29090909090909089</v>
          </cell>
          <cell r="C74">
            <v>0.29090909090909089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0.5</v>
          </cell>
          <cell r="AF75">
            <v>0</v>
          </cell>
        </row>
        <row r="76">
          <cell r="B76">
            <v>0.10714285714285714</v>
          </cell>
          <cell r="C76">
            <v>0.10714285714285714</v>
          </cell>
        </row>
        <row r="77">
          <cell r="B77">
            <v>0.39583333333333331</v>
          </cell>
          <cell r="C77">
            <v>0.51190476190476186</v>
          </cell>
        </row>
        <row r="78">
          <cell r="B78">
            <v>0.40873015873015878</v>
          </cell>
          <cell r="C78">
            <v>0.40873015873015878</v>
          </cell>
        </row>
        <row r="80">
          <cell r="C80">
            <v>603</v>
          </cell>
        </row>
        <row r="81">
          <cell r="C81">
            <v>12.5</v>
          </cell>
        </row>
        <row r="82">
          <cell r="C82">
            <v>1.5</v>
          </cell>
        </row>
        <row r="83">
          <cell r="C83">
            <v>1</v>
          </cell>
        </row>
        <row r="84">
          <cell r="C84">
            <v>2</v>
          </cell>
        </row>
        <row r="85">
          <cell r="C85">
            <v>1</v>
          </cell>
        </row>
        <row r="89">
          <cell r="C89">
            <v>0.5</v>
          </cell>
        </row>
        <row r="96">
          <cell r="B96">
            <v>0.43333333333333335</v>
          </cell>
          <cell r="C96">
            <v>0.43333333333333335</v>
          </cell>
        </row>
        <row r="97">
          <cell r="B97">
            <v>0.37777777777777777</v>
          </cell>
          <cell r="C97">
            <v>0.37777777777777777</v>
          </cell>
          <cell r="AR97">
            <v>0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</v>
          </cell>
          <cell r="C98">
            <v>0</v>
          </cell>
        </row>
        <row r="99">
          <cell r="B99">
            <v>0.63888888888888884</v>
          </cell>
          <cell r="C99">
            <v>0.39754689754689748</v>
          </cell>
        </row>
        <row r="100">
          <cell r="B100">
            <v>0.64444444444444438</v>
          </cell>
          <cell r="C100">
            <v>0.64444444444444438</v>
          </cell>
        </row>
        <row r="102">
          <cell r="C102">
            <v>875</v>
          </cell>
        </row>
        <row r="103">
          <cell r="C103">
            <v>27.5</v>
          </cell>
        </row>
        <row r="104">
          <cell r="C104">
            <v>2</v>
          </cell>
        </row>
        <row r="105">
          <cell r="C105">
            <v>2</v>
          </cell>
        </row>
        <row r="106">
          <cell r="C106">
            <v>2.5</v>
          </cell>
        </row>
        <row r="107">
          <cell r="C107">
            <v>2</v>
          </cell>
        </row>
      </sheetData>
      <sheetData sheetId="1" refreshError="1"/>
      <sheetData sheetId="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M_086</v>
          </cell>
          <cell r="C2" t="str">
            <v>D only</v>
          </cell>
          <cell r="D2">
            <v>3</v>
          </cell>
          <cell r="E2" t="str">
            <v>B</v>
          </cell>
          <cell r="F2">
            <v>45184</v>
          </cell>
        </row>
        <row r="3">
          <cell r="D3">
            <v>45104</v>
          </cell>
        </row>
        <row r="5">
          <cell r="D5">
            <v>0.35949900793650791</v>
          </cell>
          <cell r="E5">
            <v>0.36823062558356678</v>
          </cell>
        </row>
        <row r="6">
          <cell r="D6">
            <v>0.55525342712842707</v>
          </cell>
          <cell r="E6">
            <v>0.5723665223665223</v>
          </cell>
        </row>
        <row r="7">
          <cell r="D7">
            <v>0.41706349206349208</v>
          </cell>
          <cell r="E7">
            <v>0.37876984126984126</v>
          </cell>
        </row>
        <row r="8">
          <cell r="D8">
            <v>0.48767857142857152</v>
          </cell>
          <cell r="E8">
            <v>0.4484289321789322</v>
          </cell>
        </row>
        <row r="9">
          <cell r="D9">
            <v>0.45487362463924963</v>
          </cell>
          <cell r="E9">
            <v>0.44194898034971564</v>
          </cell>
        </row>
        <row r="12">
          <cell r="B12">
            <v>27</v>
          </cell>
        </row>
        <row r="13">
          <cell r="B13">
            <v>1</v>
          </cell>
          <cell r="I13">
            <v>5</v>
          </cell>
          <cell r="L13">
            <v>4</v>
          </cell>
          <cell r="O13">
            <v>5</v>
          </cell>
        </row>
        <row r="14">
          <cell r="B14" t="str">
            <v>7/14</v>
          </cell>
          <cell r="I14">
            <v>4</v>
          </cell>
          <cell r="L14">
            <v>4</v>
          </cell>
          <cell r="O14">
            <v>2</v>
          </cell>
        </row>
        <row r="15">
          <cell r="B15" t="str">
            <v>7/21</v>
          </cell>
          <cell r="I15">
            <v>3</v>
          </cell>
          <cell r="L15">
            <v>3</v>
          </cell>
          <cell r="O15">
            <v>3</v>
          </cell>
        </row>
        <row r="16">
          <cell r="B16">
            <v>24</v>
          </cell>
          <cell r="I16">
            <v>5</v>
          </cell>
          <cell r="L16">
            <v>3</v>
          </cell>
          <cell r="O16">
            <v>4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5</v>
          </cell>
        </row>
        <row r="18">
          <cell r="B18"/>
          <cell r="I18">
            <v>4</v>
          </cell>
          <cell r="L18">
            <v>4</v>
          </cell>
          <cell r="O18">
            <v>4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1</v>
          </cell>
        </row>
        <row r="20">
          <cell r="B20"/>
          <cell r="I20">
            <v>4</v>
          </cell>
          <cell r="L20">
            <v>4</v>
          </cell>
          <cell r="O20">
            <v>3</v>
          </cell>
        </row>
        <row r="21">
          <cell r="B21"/>
          <cell r="I21">
            <v>3</v>
          </cell>
          <cell r="L21">
            <v>2</v>
          </cell>
          <cell r="O21">
            <v>3</v>
          </cell>
        </row>
        <row r="22">
          <cell r="B22">
            <v>0</v>
          </cell>
          <cell r="I22">
            <v>4</v>
          </cell>
          <cell r="L22">
            <v>4</v>
          </cell>
          <cell r="O22">
            <v>2</v>
          </cell>
        </row>
        <row r="23">
          <cell r="I23">
            <v>5</v>
          </cell>
          <cell r="L23">
            <v>5</v>
          </cell>
          <cell r="O23">
            <v>4</v>
          </cell>
        </row>
        <row r="24">
          <cell r="I24">
            <v>1</v>
          </cell>
        </row>
        <row r="29">
          <cell r="B29">
            <v>0.16666666666666666</v>
          </cell>
          <cell r="C29">
            <v>0.16666666666666666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0.20833333333333331</v>
          </cell>
          <cell r="C31">
            <v>0.20833333333333331</v>
          </cell>
        </row>
        <row r="32">
          <cell r="B32">
            <v>0.53125</v>
          </cell>
          <cell r="C32">
            <v>0.56617647058823528</v>
          </cell>
        </row>
        <row r="33">
          <cell r="B33">
            <v>0.53174603174603174</v>
          </cell>
          <cell r="C33">
            <v>0.53174603174603174</v>
          </cell>
        </row>
        <row r="52">
          <cell r="B52">
            <v>0.19444444444444445</v>
          </cell>
          <cell r="C52">
            <v>0.19444444444444445</v>
          </cell>
        </row>
        <row r="53">
          <cell r="B53">
            <v>0.3666666666666667</v>
          </cell>
          <cell r="C53">
            <v>0.3666666666666667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0.5</v>
          </cell>
        </row>
        <row r="54">
          <cell r="B54">
            <v>0.25</v>
          </cell>
          <cell r="C54">
            <v>0.25</v>
          </cell>
        </row>
        <row r="55">
          <cell r="B55">
            <v>0.65277777777777779</v>
          </cell>
          <cell r="C55">
            <v>0.46130952380952378</v>
          </cell>
        </row>
        <row r="56">
          <cell r="B56">
            <v>0.62142857142857144</v>
          </cell>
          <cell r="C56">
            <v>0.62142857142857144</v>
          </cell>
        </row>
        <row r="58">
          <cell r="C58">
            <v>343</v>
          </cell>
        </row>
        <row r="59">
          <cell r="C59">
            <v>14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1.5</v>
          </cell>
        </row>
        <row r="63">
          <cell r="C63">
            <v>1</v>
          </cell>
        </row>
        <row r="74">
          <cell r="B74">
            <v>0.65454545454545454</v>
          </cell>
          <cell r="C74">
            <v>0.65454545454545454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0.4642857142857143</v>
          </cell>
          <cell r="C76">
            <v>0.4642857142857143</v>
          </cell>
        </row>
        <row r="77">
          <cell r="B77">
            <v>0.5625</v>
          </cell>
          <cell r="C77">
            <v>0.63095238095238093</v>
          </cell>
        </row>
        <row r="78">
          <cell r="B78">
            <v>0.53968253968253965</v>
          </cell>
          <cell r="C78">
            <v>0.53968253968253965</v>
          </cell>
        </row>
        <row r="80">
          <cell r="C80" t="str">
            <v>n/a</v>
          </cell>
        </row>
        <row r="81">
          <cell r="C81">
            <v>17.5</v>
          </cell>
        </row>
        <row r="82">
          <cell r="C82">
            <v>2</v>
          </cell>
        </row>
        <row r="83">
          <cell r="C83">
            <v>1</v>
          </cell>
        </row>
        <row r="84">
          <cell r="C84">
            <v>1.5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0.58125000000000004</v>
          </cell>
          <cell r="C96">
            <v>0.58125000000000004</v>
          </cell>
        </row>
        <row r="97">
          <cell r="B97">
            <v>0.3666666666666667</v>
          </cell>
          <cell r="C97">
            <v>0.3666666666666667</v>
          </cell>
          <cell r="AR97">
            <v>0.5</v>
          </cell>
          <cell r="AS97">
            <v>0</v>
          </cell>
          <cell r="AZ97">
            <v>0.5</v>
          </cell>
          <cell r="BB97">
            <v>0</v>
          </cell>
        </row>
        <row r="98">
          <cell r="B98">
            <v>0.25</v>
          </cell>
          <cell r="C98">
            <v>0.25</v>
          </cell>
        </row>
        <row r="99">
          <cell r="B99">
            <v>0.5</v>
          </cell>
          <cell r="C99">
            <v>0.30375180375180372</v>
          </cell>
        </row>
        <row r="100">
          <cell r="B100">
            <v>0.74047619047619051</v>
          </cell>
          <cell r="C100">
            <v>0.74047619047619051</v>
          </cell>
        </row>
        <row r="102">
          <cell r="C102">
            <v>319</v>
          </cell>
        </row>
        <row r="103">
          <cell r="C103">
            <v>23</v>
          </cell>
        </row>
        <row r="104">
          <cell r="C104">
            <v>1</v>
          </cell>
        </row>
        <row r="105">
          <cell r="C105">
            <v>1.5</v>
          </cell>
        </row>
        <row r="106">
          <cell r="C106">
            <v>1.5</v>
          </cell>
        </row>
        <row r="107">
          <cell r="C107">
            <v>1</v>
          </cell>
        </row>
      </sheetData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  <sheetName val="#REF"/>
    </sheetNames>
    <sheetDataSet>
      <sheetData sheetId="0" refreshError="1">
        <row r="2">
          <cell r="A2" t="str">
            <v>M_087</v>
          </cell>
          <cell r="C2" t="str">
            <v>D only</v>
          </cell>
          <cell r="D2">
            <v>3</v>
          </cell>
          <cell r="E2" t="str">
            <v>A</v>
          </cell>
          <cell r="F2">
            <v>45233</v>
          </cell>
        </row>
        <row r="3">
          <cell r="D3">
            <v>45104</v>
          </cell>
        </row>
        <row r="5">
          <cell r="D5">
            <v>0.45262896825396826</v>
          </cell>
          <cell r="E5">
            <v>0.44803338001867415</v>
          </cell>
        </row>
        <row r="6">
          <cell r="D6">
            <v>0.46084956709956709</v>
          </cell>
          <cell r="E6">
            <v>0.43555194805194808</v>
          </cell>
        </row>
        <row r="7">
          <cell r="D7">
            <v>0.62380952380952381</v>
          </cell>
          <cell r="E7">
            <v>0.57771164021164023</v>
          </cell>
        </row>
        <row r="8">
          <cell r="D8">
            <v>0.45076719576719582</v>
          </cell>
          <cell r="E8">
            <v>0.40415824915824911</v>
          </cell>
        </row>
        <row r="9">
          <cell r="D9">
            <v>0.4970138137325637</v>
          </cell>
          <cell r="E9">
            <v>0.46636380436012792</v>
          </cell>
        </row>
        <row r="12">
          <cell r="B12">
            <v>22</v>
          </cell>
        </row>
        <row r="13">
          <cell r="B13">
            <v>1</v>
          </cell>
          <cell r="I13">
            <v>5</v>
          </cell>
          <cell r="L13">
            <v>4</v>
          </cell>
          <cell r="O13">
            <v>4</v>
          </cell>
        </row>
        <row r="14">
          <cell r="B14" t="str">
            <v>4/21</v>
          </cell>
          <cell r="I14">
            <v>5</v>
          </cell>
          <cell r="L14">
            <v>4</v>
          </cell>
          <cell r="O14">
            <v>2</v>
          </cell>
        </row>
        <row r="15">
          <cell r="B15" t="str">
            <v>7/21</v>
          </cell>
          <cell r="I15">
            <v>4</v>
          </cell>
          <cell r="L15">
            <v>4</v>
          </cell>
          <cell r="O15">
            <v>2</v>
          </cell>
        </row>
        <row r="16">
          <cell r="B16">
            <v>24</v>
          </cell>
          <cell r="I16">
            <v>3</v>
          </cell>
          <cell r="L16">
            <v>2</v>
          </cell>
          <cell r="O16">
            <v>2</v>
          </cell>
        </row>
        <row r="17">
          <cell r="B17">
            <v>0</v>
          </cell>
          <cell r="I17">
            <v>4</v>
          </cell>
          <cell r="L17">
            <v>5</v>
          </cell>
          <cell r="O17">
            <v>5</v>
          </cell>
        </row>
        <row r="18">
          <cell r="B18"/>
          <cell r="I18">
            <v>3</v>
          </cell>
          <cell r="L18">
            <v>2</v>
          </cell>
          <cell r="O18">
            <v>2</v>
          </cell>
        </row>
        <row r="19">
          <cell r="B19">
            <v>1</v>
          </cell>
          <cell r="I19">
            <v>5</v>
          </cell>
          <cell r="L19">
            <v>5</v>
          </cell>
          <cell r="O19">
            <v>1</v>
          </cell>
        </row>
        <row r="20">
          <cell r="B20">
            <v>2</v>
          </cell>
          <cell r="I20">
            <v>3</v>
          </cell>
          <cell r="L20">
            <v>2</v>
          </cell>
          <cell r="O20">
            <v>1</v>
          </cell>
        </row>
        <row r="21">
          <cell r="B21">
            <v>0</v>
          </cell>
          <cell r="I21">
            <v>4</v>
          </cell>
          <cell r="L21">
            <v>3</v>
          </cell>
          <cell r="O21">
            <v>1</v>
          </cell>
        </row>
        <row r="22">
          <cell r="B22">
            <v>0</v>
          </cell>
          <cell r="I22">
            <v>3</v>
          </cell>
          <cell r="L22">
            <v>2</v>
          </cell>
          <cell r="O22">
            <v>2</v>
          </cell>
        </row>
        <row r="23">
          <cell r="I23">
            <v>5</v>
          </cell>
          <cell r="L23">
            <v>5</v>
          </cell>
          <cell r="O23">
            <v>2</v>
          </cell>
        </row>
        <row r="24">
          <cell r="I24">
            <v>0</v>
          </cell>
        </row>
        <row r="29">
          <cell r="B29">
            <v>0.1111111111111111</v>
          </cell>
          <cell r="C29">
            <v>0.1111111111111111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0.58333333333333326</v>
          </cell>
          <cell r="C31">
            <v>0.58333333333333326</v>
          </cell>
        </row>
        <row r="32">
          <cell r="B32">
            <v>0.6875</v>
          </cell>
          <cell r="C32">
            <v>0.66911764705882359</v>
          </cell>
        </row>
        <row r="33">
          <cell r="B33">
            <v>0.42857142857142855</v>
          </cell>
          <cell r="C33">
            <v>0.42857142857142855</v>
          </cell>
        </row>
        <row r="52">
          <cell r="B52">
            <v>0.63888888888888884</v>
          </cell>
          <cell r="C52">
            <v>0.61507936507936511</v>
          </cell>
        </row>
        <row r="53">
          <cell r="B53">
            <v>0.54074074074074074</v>
          </cell>
          <cell r="C53">
            <v>0.54074074074074074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0.62037037037037035</v>
          </cell>
          <cell r="C55">
            <v>0.41369047619047622</v>
          </cell>
        </row>
        <row r="56">
          <cell r="B56">
            <v>0.81904761904761914</v>
          </cell>
          <cell r="C56">
            <v>0.81904761904761914</v>
          </cell>
        </row>
        <row r="58">
          <cell r="C58">
            <v>598</v>
          </cell>
        </row>
        <row r="59">
          <cell r="C59">
            <v>60</v>
          </cell>
        </row>
        <row r="60">
          <cell r="C60">
            <v>4</v>
          </cell>
        </row>
        <row r="61">
          <cell r="C61">
            <v>3</v>
          </cell>
        </row>
        <row r="62">
          <cell r="C62">
            <v>4</v>
          </cell>
        </row>
        <row r="63">
          <cell r="C63">
            <v>3</v>
          </cell>
        </row>
        <row r="74">
          <cell r="B74">
            <v>0.56363636363636371</v>
          </cell>
          <cell r="C74">
            <v>0.56363636363636371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D75">
            <v>0</v>
          </cell>
          <cell r="AF75">
            <v>0</v>
          </cell>
        </row>
        <row r="76">
          <cell r="B76">
            <v>0.4642857142857143</v>
          </cell>
          <cell r="C76">
            <v>0.4642857142857143</v>
          </cell>
        </row>
        <row r="77">
          <cell r="B77">
            <v>0.45833333333333331</v>
          </cell>
          <cell r="C77">
            <v>0.3571428571428571</v>
          </cell>
        </row>
        <row r="78">
          <cell r="B78">
            <v>0.35714285714285715</v>
          </cell>
          <cell r="C78">
            <v>0.35714285714285715</v>
          </cell>
        </row>
        <row r="80">
          <cell r="C80">
            <v>944</v>
          </cell>
        </row>
        <row r="81">
          <cell r="C81">
            <v>25</v>
          </cell>
        </row>
        <row r="82">
          <cell r="C82">
            <v>2</v>
          </cell>
        </row>
        <row r="83">
          <cell r="C83">
            <v>2</v>
          </cell>
        </row>
        <row r="84">
          <cell r="C84">
            <v>2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0.2583333333333333</v>
          </cell>
          <cell r="C96">
            <v>0.2583333333333333</v>
          </cell>
        </row>
        <row r="97">
          <cell r="B97">
            <v>0.54074074074074074</v>
          </cell>
          <cell r="C97">
            <v>0.54074074074074074</v>
          </cell>
          <cell r="AR97">
            <v>1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0.61111111111111105</v>
          </cell>
          <cell r="C99">
            <v>0.37806637806637805</v>
          </cell>
        </row>
        <row r="100">
          <cell r="B100">
            <v>0.3436507936507936</v>
          </cell>
          <cell r="C100">
            <v>0.3436507936507936</v>
          </cell>
        </row>
        <row r="102">
          <cell r="C102">
            <v>646</v>
          </cell>
        </row>
        <row r="103">
          <cell r="C103">
            <v>30</v>
          </cell>
        </row>
        <row r="104">
          <cell r="C104">
            <v>4</v>
          </cell>
        </row>
        <row r="105">
          <cell r="C105">
            <v>2</v>
          </cell>
        </row>
        <row r="106">
          <cell r="C106">
            <v>3</v>
          </cell>
        </row>
        <row r="107">
          <cell r="C107">
            <v>2</v>
          </cell>
        </row>
      </sheetData>
      <sheetData sheetId="1" refreshError="1"/>
      <sheetData sheetId="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M_079</v>
          </cell>
          <cell r="C2" t="str">
            <v>mSTAT only</v>
          </cell>
          <cell r="D2" t="str">
            <v>n/a</v>
          </cell>
          <cell r="E2" t="str">
            <v>A</v>
          </cell>
          <cell r="F2">
            <v>45419</v>
          </cell>
        </row>
        <row r="3">
          <cell r="D3"/>
        </row>
        <row r="5">
          <cell r="D5">
            <v>0.60168650793650791</v>
          </cell>
          <cell r="E5">
            <v>0.57227474323062555</v>
          </cell>
        </row>
        <row r="6">
          <cell r="D6">
            <v>0.32371933621933618</v>
          </cell>
          <cell r="E6">
            <v>0.35348124098124095</v>
          </cell>
        </row>
        <row r="7">
          <cell r="D7">
            <v>0.5174603174603174</v>
          </cell>
          <cell r="E7">
            <v>0.47440476190476188</v>
          </cell>
        </row>
        <row r="8">
          <cell r="D8">
            <v>0.65301587301587305</v>
          </cell>
          <cell r="E8">
            <v>0.65539682539682542</v>
          </cell>
        </row>
        <row r="9">
          <cell r="D9">
            <v>0.52397050865800865</v>
          </cell>
          <cell r="E9">
            <v>0.51388939287836344</v>
          </cell>
        </row>
        <row r="12">
          <cell r="B12">
            <v>27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5</v>
          </cell>
        </row>
        <row r="14">
          <cell r="B14" t="str">
            <v>10/18</v>
          </cell>
          <cell r="I14">
            <v>4</v>
          </cell>
          <cell r="L14">
            <v>4</v>
          </cell>
          <cell r="O14">
            <v>4</v>
          </cell>
        </row>
        <row r="15">
          <cell r="B15" t="str">
            <v>2/19</v>
          </cell>
          <cell r="I15">
            <v>4</v>
          </cell>
          <cell r="L15">
            <v>4</v>
          </cell>
          <cell r="O15">
            <v>2</v>
          </cell>
        </row>
        <row r="16">
          <cell r="B16">
            <v>72</v>
          </cell>
          <cell r="I16">
            <v>4</v>
          </cell>
          <cell r="L16">
            <v>2</v>
          </cell>
          <cell r="O16">
            <v>4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5</v>
          </cell>
        </row>
        <row r="18">
          <cell r="B18"/>
          <cell r="I18">
            <v>3</v>
          </cell>
          <cell r="L18">
            <v>4</v>
          </cell>
          <cell r="O18">
            <v>3</v>
          </cell>
        </row>
        <row r="19">
          <cell r="B19">
            <v>1</v>
          </cell>
          <cell r="I19">
            <v>4</v>
          </cell>
          <cell r="L19">
            <v>5</v>
          </cell>
          <cell r="O19">
            <v>1</v>
          </cell>
        </row>
        <row r="20">
          <cell r="B20">
            <v>1</v>
          </cell>
          <cell r="I20">
            <v>2</v>
          </cell>
          <cell r="L20">
            <v>2</v>
          </cell>
          <cell r="O20">
            <v>4</v>
          </cell>
        </row>
        <row r="21">
          <cell r="B21">
            <v>0</v>
          </cell>
          <cell r="I21">
            <v>4</v>
          </cell>
          <cell r="L21">
            <v>3</v>
          </cell>
          <cell r="O21">
            <v>2</v>
          </cell>
        </row>
        <row r="22">
          <cell r="B22">
            <v>1</v>
          </cell>
          <cell r="I22">
            <v>3</v>
          </cell>
          <cell r="L22">
            <v>3</v>
          </cell>
          <cell r="O22">
            <v>4</v>
          </cell>
        </row>
        <row r="23">
          <cell r="I23">
            <v>5</v>
          </cell>
          <cell r="L23">
            <v>5</v>
          </cell>
          <cell r="O23">
            <v>2</v>
          </cell>
        </row>
        <row r="24">
          <cell r="I24">
            <v>0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1</v>
          </cell>
        </row>
        <row r="31">
          <cell r="B31">
            <v>0.41666666666666663</v>
          </cell>
          <cell r="C31">
            <v>0.41666666666666663</v>
          </cell>
        </row>
        <row r="32">
          <cell r="B32">
            <v>0.875</v>
          </cell>
          <cell r="C32">
            <v>0.75735294117647056</v>
          </cell>
        </row>
        <row r="33">
          <cell r="B33">
            <v>0.72619047619047616</v>
          </cell>
          <cell r="C33">
            <v>0.72619047619047616</v>
          </cell>
        </row>
        <row r="52">
          <cell r="B52">
            <v>0.75</v>
          </cell>
          <cell r="C52">
            <v>0.58333333333333337</v>
          </cell>
        </row>
        <row r="53">
          <cell r="B53">
            <v>0.57777777777777783</v>
          </cell>
          <cell r="C53">
            <v>0.57777777777777783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0.19444444444444442</v>
          </cell>
          <cell r="C55">
            <v>0.14583333333333334</v>
          </cell>
        </row>
        <row r="56">
          <cell r="B56">
            <v>0.56507936507936507</v>
          </cell>
          <cell r="C56">
            <v>0.56507936507936507</v>
          </cell>
        </row>
        <row r="58">
          <cell r="C58">
            <v>1200</v>
          </cell>
        </row>
        <row r="59">
          <cell r="C59">
            <v>40</v>
          </cell>
        </row>
        <row r="60">
          <cell r="C60">
            <v>3</v>
          </cell>
        </row>
        <row r="61">
          <cell r="C61">
            <v>3</v>
          </cell>
        </row>
        <row r="62">
          <cell r="C62">
            <v>3</v>
          </cell>
        </row>
        <row r="63">
          <cell r="C63">
            <v>3</v>
          </cell>
        </row>
        <row r="74">
          <cell r="B74">
            <v>0.29090909090909089</v>
          </cell>
          <cell r="C74">
            <v>0.29090909090909089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0.4642857142857143</v>
          </cell>
          <cell r="C76">
            <v>0.4642857142857143</v>
          </cell>
        </row>
        <row r="77">
          <cell r="B77">
            <v>0.33333333333333331</v>
          </cell>
          <cell r="C77">
            <v>0.45238095238095233</v>
          </cell>
        </row>
        <row r="78">
          <cell r="B78">
            <v>0.20634920634920637</v>
          </cell>
          <cell r="C78">
            <v>0.20634920634920637</v>
          </cell>
        </row>
        <row r="80">
          <cell r="C80">
            <v>1200</v>
          </cell>
        </row>
        <row r="81">
          <cell r="C81">
            <v>10</v>
          </cell>
        </row>
        <row r="82">
          <cell r="C82">
            <v>2</v>
          </cell>
        </row>
        <row r="83">
          <cell r="C83">
            <v>1</v>
          </cell>
        </row>
        <row r="84">
          <cell r="C84">
            <v>3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0.66666666666666663</v>
          </cell>
          <cell r="C96">
            <v>0.66666666666666663</v>
          </cell>
        </row>
        <row r="97">
          <cell r="B97">
            <v>0.57777777777777783</v>
          </cell>
          <cell r="C97">
            <v>0.57777777777777783</v>
          </cell>
          <cell r="AR97">
            <v>1</v>
          </cell>
          <cell r="AS97">
            <v>1</v>
          </cell>
          <cell r="AZ97">
            <v>1</v>
          </cell>
          <cell r="BB97">
            <v>1</v>
          </cell>
        </row>
        <row r="98">
          <cell r="B98">
            <v>0.5</v>
          </cell>
          <cell r="C98">
            <v>0.5</v>
          </cell>
        </row>
        <row r="99">
          <cell r="B99">
            <v>0.80555555555555547</v>
          </cell>
          <cell r="C99">
            <v>0.81746031746031733</v>
          </cell>
        </row>
        <row r="100">
          <cell r="B100">
            <v>0.7150793650793652</v>
          </cell>
          <cell r="C100">
            <v>0.7150793650793652</v>
          </cell>
        </row>
        <row r="102">
          <cell r="C102">
            <v>1266</v>
          </cell>
        </row>
        <row r="103">
          <cell r="C103">
            <v>60</v>
          </cell>
        </row>
        <row r="104">
          <cell r="C104">
            <v>4</v>
          </cell>
        </row>
        <row r="105">
          <cell r="C105">
            <v>3</v>
          </cell>
        </row>
        <row r="106">
          <cell r="C106">
            <v>3</v>
          </cell>
        </row>
        <row r="107">
          <cell r="C107">
            <v>3</v>
          </cell>
        </row>
      </sheetData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M_082</v>
          </cell>
          <cell r="C2" t="str">
            <v>mSTAT only</v>
          </cell>
          <cell r="D2" t="str">
            <v>n/a</v>
          </cell>
          <cell r="E2" t="str">
            <v>A</v>
          </cell>
          <cell r="F2">
            <v>45387</v>
          </cell>
        </row>
        <row r="3">
          <cell r="D3"/>
        </row>
        <row r="5">
          <cell r="D5">
            <v>0.50471230158730152</v>
          </cell>
          <cell r="E5">
            <v>0.48357259570494859</v>
          </cell>
        </row>
        <row r="6">
          <cell r="D6">
            <v>0.50643939393939397</v>
          </cell>
          <cell r="E6">
            <v>0.46030844155844158</v>
          </cell>
        </row>
        <row r="7">
          <cell r="D7">
            <v>0.58746031746031746</v>
          </cell>
          <cell r="E7">
            <v>0.5749603174603175</v>
          </cell>
        </row>
        <row r="8">
          <cell r="D8">
            <v>0.62817460317460316</v>
          </cell>
          <cell r="E8">
            <v>0.58778329513623628</v>
          </cell>
        </row>
        <row r="9">
          <cell r="D9">
            <v>0.55669665404040403</v>
          </cell>
          <cell r="E9">
            <v>0.52665616246498592</v>
          </cell>
        </row>
        <row r="12">
          <cell r="B12">
            <v>37</v>
          </cell>
        </row>
        <row r="13">
          <cell r="B13">
            <v>1</v>
          </cell>
          <cell r="I13">
            <v>1</v>
          </cell>
          <cell r="L13">
            <v>5</v>
          </cell>
          <cell r="O13">
            <v>5</v>
          </cell>
        </row>
        <row r="14">
          <cell r="B14" t="str">
            <v>7/21</v>
          </cell>
          <cell r="I14">
            <v>4</v>
          </cell>
          <cell r="L14">
            <v>4</v>
          </cell>
          <cell r="O14">
            <v>3</v>
          </cell>
        </row>
        <row r="15">
          <cell r="B15" t="str">
            <v>7/21</v>
          </cell>
          <cell r="I15">
            <v>4</v>
          </cell>
          <cell r="L15">
            <v>4</v>
          </cell>
          <cell r="O15">
            <v>2</v>
          </cell>
        </row>
        <row r="16">
          <cell r="B16">
            <v>36</v>
          </cell>
          <cell r="I16">
            <v>4</v>
          </cell>
          <cell r="L16">
            <v>4</v>
          </cell>
          <cell r="O16">
            <v>2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5</v>
          </cell>
        </row>
        <row r="18">
          <cell r="B18"/>
          <cell r="I18">
            <v>3</v>
          </cell>
          <cell r="L18">
            <v>3</v>
          </cell>
          <cell r="O18">
            <v>2</v>
          </cell>
        </row>
        <row r="19">
          <cell r="B19">
            <v>1</v>
          </cell>
          <cell r="I19">
            <v>5</v>
          </cell>
          <cell r="L19">
            <v>5</v>
          </cell>
          <cell r="O19"/>
        </row>
        <row r="20">
          <cell r="B20">
            <v>2</v>
          </cell>
          <cell r="I20">
            <v>4</v>
          </cell>
          <cell r="L20">
            <v>4</v>
          </cell>
          <cell r="O20">
            <v>3</v>
          </cell>
        </row>
        <row r="21">
          <cell r="B21">
            <v>1</v>
          </cell>
          <cell r="I21">
            <v>5</v>
          </cell>
          <cell r="L21">
            <v>4</v>
          </cell>
          <cell r="O21">
            <v>1</v>
          </cell>
        </row>
        <row r="22">
          <cell r="B22">
            <v>0</v>
          </cell>
          <cell r="I22">
            <v>5</v>
          </cell>
          <cell r="L22">
            <v>4</v>
          </cell>
          <cell r="O22">
            <v>1</v>
          </cell>
        </row>
        <row r="23">
          <cell r="I23">
            <v>5</v>
          </cell>
          <cell r="L23">
            <v>5</v>
          </cell>
          <cell r="O23">
            <v>1</v>
          </cell>
        </row>
        <row r="24">
          <cell r="I24">
            <v>0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0.5</v>
          </cell>
          <cell r="C31">
            <v>0.5</v>
          </cell>
        </row>
        <row r="32">
          <cell r="B32">
            <v>0.4375</v>
          </cell>
          <cell r="C32">
            <v>0.35294117647058826</v>
          </cell>
        </row>
        <row r="33">
          <cell r="B33">
            <v>0.69246031746031733</v>
          </cell>
          <cell r="C33">
            <v>0.69246031746031733</v>
          </cell>
        </row>
        <row r="52">
          <cell r="B52">
            <v>0.75</v>
          </cell>
          <cell r="C52">
            <v>0.75</v>
          </cell>
        </row>
        <row r="53">
          <cell r="B53">
            <v>0.57777777777777783</v>
          </cell>
          <cell r="C53">
            <v>0.57777777777777783</v>
          </cell>
          <cell r="AU53">
            <v>1</v>
          </cell>
          <cell r="AV53">
            <v>1</v>
          </cell>
          <cell r="AX53">
            <v>0.5</v>
          </cell>
          <cell r="AY53">
            <v>1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0.33333333333333331</v>
          </cell>
          <cell r="C55">
            <v>0.27083333333333331</v>
          </cell>
        </row>
        <row r="56">
          <cell r="B56">
            <v>0.7761904761904761</v>
          </cell>
          <cell r="C56">
            <v>0.7761904761904761</v>
          </cell>
        </row>
        <row r="58">
          <cell r="C58">
            <v>1200</v>
          </cell>
        </row>
        <row r="59">
          <cell r="C59">
            <v>62.5</v>
          </cell>
        </row>
        <row r="60">
          <cell r="C60">
            <v>4</v>
          </cell>
        </row>
        <row r="61">
          <cell r="C61">
            <v>3</v>
          </cell>
        </row>
        <row r="62">
          <cell r="C62">
            <v>4</v>
          </cell>
        </row>
        <row r="63">
          <cell r="C63">
            <v>3.5</v>
          </cell>
        </row>
        <row r="74">
          <cell r="B74">
            <v>0.60909090909090913</v>
          </cell>
          <cell r="C74">
            <v>0.60909090909090913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0.5357142857142857</v>
          </cell>
          <cell r="C76">
            <v>0.5357142857142857</v>
          </cell>
        </row>
        <row r="77">
          <cell r="B77">
            <v>0.375</v>
          </cell>
          <cell r="C77">
            <v>0.19047619047619047</v>
          </cell>
        </row>
        <row r="78">
          <cell r="B78">
            <v>0.50595238095238093</v>
          </cell>
          <cell r="C78">
            <v>0.50595238095238093</v>
          </cell>
        </row>
        <row r="80">
          <cell r="C80">
            <v>637</v>
          </cell>
        </row>
        <row r="81">
          <cell r="C81">
            <v>27.5</v>
          </cell>
        </row>
        <row r="82">
          <cell r="C82">
            <v>3.5</v>
          </cell>
        </row>
        <row r="83">
          <cell r="C83">
            <v>2.5</v>
          </cell>
        </row>
        <row r="84">
          <cell r="C84">
            <v>3</v>
          </cell>
        </row>
        <row r="85">
          <cell r="C85">
            <v>1.5</v>
          </cell>
        </row>
        <row r="89">
          <cell r="C89">
            <v>0</v>
          </cell>
        </row>
        <row r="96">
          <cell r="B96">
            <v>0.75</v>
          </cell>
          <cell r="C96">
            <v>0.75</v>
          </cell>
        </row>
        <row r="97">
          <cell r="B97">
            <v>0.57777777777777783</v>
          </cell>
          <cell r="C97">
            <v>0.57777777777777783</v>
          </cell>
          <cell r="AR97">
            <v>0</v>
          </cell>
          <cell r="AS97">
            <v>1</v>
          </cell>
          <cell r="AZ97">
            <v>1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0.75</v>
          </cell>
          <cell r="C99">
            <v>0.5480434598081656</v>
          </cell>
        </row>
        <row r="100">
          <cell r="B100">
            <v>0.56309523809523798</v>
          </cell>
          <cell r="C100">
            <v>0.56309523809523798</v>
          </cell>
        </row>
        <row r="102">
          <cell r="C102">
            <v>1140</v>
          </cell>
        </row>
        <row r="103">
          <cell r="C103">
            <v>60</v>
          </cell>
        </row>
        <row r="104">
          <cell r="C104">
            <v>4</v>
          </cell>
        </row>
        <row r="105">
          <cell r="C105">
            <v>3</v>
          </cell>
        </row>
        <row r="106">
          <cell r="C106">
            <v>4</v>
          </cell>
        </row>
        <row r="107">
          <cell r="C107">
            <v>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M_081</v>
          </cell>
          <cell r="C2" t="str">
            <v>mSTAT only</v>
          </cell>
          <cell r="D2" t="str">
            <v>n/a</v>
          </cell>
          <cell r="E2" t="str">
            <v>B</v>
          </cell>
          <cell r="F2">
            <v>45387</v>
          </cell>
        </row>
        <row r="3">
          <cell r="D3"/>
        </row>
        <row r="5">
          <cell r="D5">
            <v>0.59399801587301582</v>
          </cell>
          <cell r="E5">
            <v>0.5728583099906629</v>
          </cell>
        </row>
        <row r="6">
          <cell r="D6">
            <v>0.58043831168831161</v>
          </cell>
          <cell r="E6">
            <v>0.53281926406926405</v>
          </cell>
        </row>
        <row r="7">
          <cell r="D7">
            <v>0.48867724867724871</v>
          </cell>
          <cell r="E7">
            <v>0.46807539682539678</v>
          </cell>
        </row>
        <row r="8">
          <cell r="D8">
            <v>0.66238095238095229</v>
          </cell>
          <cell r="E8">
            <v>0.66238095238095229</v>
          </cell>
        </row>
        <row r="9">
          <cell r="D9">
            <v>0.58137363215488214</v>
          </cell>
          <cell r="E9">
            <v>0.55903348081656901</v>
          </cell>
        </row>
        <row r="12">
          <cell r="B12">
            <v>20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3/23</v>
          </cell>
          <cell r="I14">
            <v>4</v>
          </cell>
          <cell r="L14">
            <v>5</v>
          </cell>
          <cell r="O14">
            <v>4</v>
          </cell>
        </row>
        <row r="15">
          <cell r="B15" t="str">
            <v>6/23</v>
          </cell>
          <cell r="I15">
            <v>4</v>
          </cell>
          <cell r="L15">
            <v>4</v>
          </cell>
          <cell r="O15">
            <v>1</v>
          </cell>
        </row>
        <row r="16">
          <cell r="B16">
            <v>12</v>
          </cell>
          <cell r="I16">
            <v>4</v>
          </cell>
          <cell r="L16">
            <v>5</v>
          </cell>
          <cell r="O16">
            <v>3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4</v>
          </cell>
        </row>
        <row r="18">
          <cell r="B18"/>
          <cell r="I18">
            <v>3</v>
          </cell>
          <cell r="L18">
            <v>4</v>
          </cell>
          <cell r="O18">
            <v>2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1</v>
          </cell>
        </row>
        <row r="20">
          <cell r="B20"/>
          <cell r="I20">
            <v>2</v>
          </cell>
          <cell r="L20">
            <v>4</v>
          </cell>
          <cell r="O20">
            <v>3</v>
          </cell>
        </row>
        <row r="21">
          <cell r="B21"/>
          <cell r="I21">
            <v>3</v>
          </cell>
          <cell r="L21">
            <v>4</v>
          </cell>
          <cell r="O21">
            <v>1</v>
          </cell>
        </row>
        <row r="22">
          <cell r="B22">
            <v>1</v>
          </cell>
          <cell r="I22">
            <v>4</v>
          </cell>
          <cell r="L22">
            <v>4</v>
          </cell>
          <cell r="O22">
            <v>1</v>
          </cell>
        </row>
        <row r="23">
          <cell r="I23">
            <v>4</v>
          </cell>
          <cell r="L23">
            <v>5</v>
          </cell>
          <cell r="O23">
            <v>4</v>
          </cell>
        </row>
        <row r="24">
          <cell r="I24">
            <v>0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0.58333333333333326</v>
          </cell>
          <cell r="C31">
            <v>0.58333333333333326</v>
          </cell>
        </row>
        <row r="32">
          <cell r="B32">
            <v>0.6875</v>
          </cell>
          <cell r="C32">
            <v>0.60294117647058831</v>
          </cell>
        </row>
        <row r="33">
          <cell r="B33">
            <v>0.71626984126984128</v>
          </cell>
          <cell r="C33">
            <v>0.71626984126984128</v>
          </cell>
        </row>
        <row r="52">
          <cell r="B52">
            <v>0.75</v>
          </cell>
          <cell r="C52">
            <v>0.75</v>
          </cell>
        </row>
        <row r="53">
          <cell r="B53">
            <v>0.27777777777777779</v>
          </cell>
          <cell r="C53">
            <v>0.27777777777777779</v>
          </cell>
          <cell r="AU53">
            <v>1</v>
          </cell>
          <cell r="AV53">
            <v>0.5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0.34259259259259256</v>
          </cell>
          <cell r="C55">
            <v>0.23958333333333334</v>
          </cell>
        </row>
        <row r="56">
          <cell r="B56">
            <v>0.57301587301587309</v>
          </cell>
          <cell r="C56">
            <v>0.57301587301587309</v>
          </cell>
        </row>
        <row r="58">
          <cell r="C58">
            <v>1200</v>
          </cell>
        </row>
        <row r="59">
          <cell r="C59">
            <v>42.5</v>
          </cell>
        </row>
        <row r="60">
          <cell r="C60">
            <v>2.5</v>
          </cell>
        </row>
        <row r="61">
          <cell r="C61">
            <v>2.5</v>
          </cell>
        </row>
        <row r="62">
          <cell r="C62">
            <v>3</v>
          </cell>
        </row>
        <row r="63">
          <cell r="C63">
            <v>2.5</v>
          </cell>
        </row>
        <row r="74">
          <cell r="B74">
            <v>0.51818181818181819</v>
          </cell>
          <cell r="C74">
            <v>0.51818181818181819</v>
          </cell>
        </row>
        <row r="75">
          <cell r="B75" t="str">
            <v>n/a</v>
          </cell>
          <cell r="C75" t="str">
            <v>n/a</v>
          </cell>
          <cell r="AB75">
            <v>1</v>
          </cell>
          <cell r="AF75">
            <v>0</v>
          </cell>
        </row>
        <row r="76">
          <cell r="B76">
            <v>0.4642857142857143</v>
          </cell>
          <cell r="C76">
            <v>0.4642857142857143</v>
          </cell>
        </row>
        <row r="77">
          <cell r="B77">
            <v>0.83333333333333326</v>
          </cell>
          <cell r="C77">
            <v>0.64285714285714279</v>
          </cell>
        </row>
        <row r="78">
          <cell r="B78">
            <v>0.50595238095238093</v>
          </cell>
          <cell r="C78">
            <v>0.50595238095238093</v>
          </cell>
        </row>
        <row r="80">
          <cell r="C80">
            <v>1200</v>
          </cell>
        </row>
        <row r="81">
          <cell r="C81">
            <v>30</v>
          </cell>
        </row>
        <row r="82">
          <cell r="C82">
            <v>3</v>
          </cell>
        </row>
        <row r="83">
          <cell r="C83">
            <v>3</v>
          </cell>
        </row>
        <row r="84">
          <cell r="C84">
            <v>2</v>
          </cell>
        </row>
        <row r="85">
          <cell r="C85">
            <v>2</v>
          </cell>
        </row>
        <row r="89">
          <cell r="C89">
            <v>1</v>
          </cell>
        </row>
        <row r="96">
          <cell r="B96">
            <v>0.75</v>
          </cell>
          <cell r="C96">
            <v>0.75</v>
          </cell>
        </row>
        <row r="97">
          <cell r="B97">
            <v>0.27777777777777779</v>
          </cell>
          <cell r="C97">
            <v>0.27777777777777779</v>
          </cell>
          <cell r="AR97">
            <v>1</v>
          </cell>
          <cell r="AS97">
            <v>1</v>
          </cell>
          <cell r="AZ97">
            <v>1</v>
          </cell>
          <cell r="BB97">
            <v>1</v>
          </cell>
        </row>
        <row r="98">
          <cell r="B98">
            <v>0.5</v>
          </cell>
          <cell r="C98">
            <v>0.5</v>
          </cell>
        </row>
        <row r="99">
          <cell r="B99">
            <v>0.88888888888888884</v>
          </cell>
          <cell r="C99">
            <v>0.88888888888888884</v>
          </cell>
        </row>
        <row r="100">
          <cell r="B100">
            <v>0.89523809523809517</v>
          </cell>
          <cell r="C100">
            <v>0.89523809523809517</v>
          </cell>
        </row>
        <row r="102">
          <cell r="C102">
            <v>1149</v>
          </cell>
        </row>
        <row r="103">
          <cell r="C103">
            <v>65</v>
          </cell>
        </row>
        <row r="104">
          <cell r="C104">
            <v>2.5</v>
          </cell>
        </row>
        <row r="105">
          <cell r="C105">
            <v>3.5</v>
          </cell>
        </row>
        <row r="106">
          <cell r="C106">
            <v>4.5</v>
          </cell>
        </row>
        <row r="107">
          <cell r="C107">
            <v>4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M_078</v>
          </cell>
          <cell r="C2" t="str">
            <v>mSTAT only</v>
          </cell>
          <cell r="D2" t="str">
            <v>n/a</v>
          </cell>
          <cell r="E2" t="str">
            <v>A</v>
          </cell>
          <cell r="F2">
            <v>45441</v>
          </cell>
        </row>
        <row r="3">
          <cell r="D3"/>
        </row>
        <row r="5">
          <cell r="D5">
            <v>0.5200892857142857</v>
          </cell>
          <cell r="E5">
            <v>0.5136554621848739</v>
          </cell>
        </row>
        <row r="6">
          <cell r="D6">
            <v>0.41837121212121209</v>
          </cell>
          <cell r="E6">
            <v>0.36033549783549779</v>
          </cell>
        </row>
        <row r="7">
          <cell r="D7">
            <v>0.63756613756613745</v>
          </cell>
          <cell r="E7">
            <v>0.63571428571428568</v>
          </cell>
        </row>
        <row r="8">
          <cell r="D8">
            <v>0.54047619047619044</v>
          </cell>
          <cell r="E8">
            <v>0.54047619047619044</v>
          </cell>
        </row>
        <row r="9">
          <cell r="D9">
            <v>0.52912570646945645</v>
          </cell>
          <cell r="E9">
            <v>0.51254535905271192</v>
          </cell>
        </row>
        <row r="12">
          <cell r="B12">
            <v>22</v>
          </cell>
        </row>
        <row r="13">
          <cell r="B13">
            <v>2</v>
          </cell>
          <cell r="I13">
            <v>5</v>
          </cell>
          <cell r="L13">
            <v>4</v>
          </cell>
          <cell r="O13">
            <v>4</v>
          </cell>
        </row>
        <row r="14">
          <cell r="B14" t="str">
            <v>3/21</v>
          </cell>
          <cell r="I14">
            <v>5</v>
          </cell>
          <cell r="L14">
            <v>4</v>
          </cell>
          <cell r="O14">
            <v>4</v>
          </cell>
        </row>
        <row r="15">
          <cell r="B15" t="str">
            <v>6/21</v>
          </cell>
          <cell r="I15">
            <v>4</v>
          </cell>
          <cell r="L15">
            <v>4</v>
          </cell>
          <cell r="O15">
            <v>4</v>
          </cell>
        </row>
        <row r="16">
          <cell r="B16">
            <v>42</v>
          </cell>
          <cell r="I16">
            <v>5</v>
          </cell>
          <cell r="L16">
            <v>4</v>
          </cell>
          <cell r="O16">
            <v>4</v>
          </cell>
        </row>
        <row r="17">
          <cell r="B17">
            <v>0</v>
          </cell>
          <cell r="I17">
            <v>5</v>
          </cell>
          <cell r="L17">
            <v>4</v>
          </cell>
          <cell r="O17">
            <v>5</v>
          </cell>
        </row>
        <row r="18">
          <cell r="B18"/>
          <cell r="I18">
            <v>4</v>
          </cell>
          <cell r="L18">
            <v>3</v>
          </cell>
          <cell r="O18">
            <v>4</v>
          </cell>
        </row>
        <row r="19">
          <cell r="B19">
            <v>0</v>
          </cell>
          <cell r="I19">
            <v>5</v>
          </cell>
          <cell r="L19">
            <v>4</v>
          </cell>
          <cell r="O19">
            <v>2</v>
          </cell>
        </row>
        <row r="20">
          <cell r="B20"/>
          <cell r="I20">
            <v>5</v>
          </cell>
          <cell r="L20">
            <v>3</v>
          </cell>
          <cell r="O20">
            <v>4</v>
          </cell>
        </row>
        <row r="21">
          <cell r="B21"/>
          <cell r="I21">
            <v>4</v>
          </cell>
          <cell r="L21">
            <v>3</v>
          </cell>
          <cell r="O21">
            <v>3</v>
          </cell>
        </row>
        <row r="22">
          <cell r="B22">
            <v>1</v>
          </cell>
          <cell r="I22">
            <v>5</v>
          </cell>
          <cell r="L22">
            <v>4</v>
          </cell>
          <cell r="O22">
            <v>3</v>
          </cell>
        </row>
        <row r="23">
          <cell r="I23">
            <v>5</v>
          </cell>
          <cell r="L23">
            <v>4</v>
          </cell>
          <cell r="O23">
            <v>3</v>
          </cell>
        </row>
        <row r="24">
          <cell r="I24">
            <v>0</v>
          </cell>
        </row>
        <row r="29">
          <cell r="B29">
            <v>0.33333333333333331</v>
          </cell>
          <cell r="C29">
            <v>0.33333333333333331</v>
          </cell>
        </row>
        <row r="30">
          <cell r="B30" t="str">
            <v>n/a</v>
          </cell>
          <cell r="C30" t="str">
            <v>n/a</v>
          </cell>
          <cell r="Z30">
            <v>1</v>
          </cell>
        </row>
        <row r="31">
          <cell r="B31">
            <v>0.58333333333333326</v>
          </cell>
          <cell r="C31">
            <v>0.58333333333333326</v>
          </cell>
        </row>
        <row r="32">
          <cell r="B32">
            <v>0.6875</v>
          </cell>
          <cell r="C32">
            <v>0.66176470588235303</v>
          </cell>
        </row>
        <row r="33">
          <cell r="B33">
            <v>0.47619047619047611</v>
          </cell>
          <cell r="C33">
            <v>0.47619047619047611</v>
          </cell>
        </row>
        <row r="52">
          <cell r="B52">
            <v>0.75</v>
          </cell>
          <cell r="C52">
            <v>0.75</v>
          </cell>
        </row>
        <row r="53">
          <cell r="B53">
            <v>0.51111111111111107</v>
          </cell>
          <cell r="C53">
            <v>0.51111111111111107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>
            <v>0</v>
          </cell>
          <cell r="BF53">
            <v>1</v>
          </cell>
        </row>
        <row r="54">
          <cell r="B54">
            <v>0.5</v>
          </cell>
          <cell r="C54">
            <v>0.5</v>
          </cell>
        </row>
        <row r="55">
          <cell r="B55">
            <v>0.75925925925925919</v>
          </cell>
          <cell r="C55">
            <v>0.75</v>
          </cell>
        </row>
        <row r="56">
          <cell r="B56">
            <v>0.66746031746031742</v>
          </cell>
          <cell r="C56">
            <v>0.66746031746031742</v>
          </cell>
        </row>
        <row r="58">
          <cell r="C58">
            <v>1015</v>
          </cell>
        </row>
        <row r="59">
          <cell r="C59">
            <v>25</v>
          </cell>
        </row>
        <row r="60">
          <cell r="C60">
            <v>2</v>
          </cell>
        </row>
        <row r="61">
          <cell r="C61">
            <v>2</v>
          </cell>
        </row>
        <row r="62">
          <cell r="C62">
            <v>2</v>
          </cell>
        </row>
        <row r="63">
          <cell r="C63">
            <v>2</v>
          </cell>
        </row>
        <row r="74">
          <cell r="B74">
            <v>0.38181818181818183</v>
          </cell>
          <cell r="C74">
            <v>0.38181818181818183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0.3214285714285714</v>
          </cell>
          <cell r="C76">
            <v>0.3214285714285714</v>
          </cell>
        </row>
        <row r="77">
          <cell r="B77">
            <v>0.70833333333333326</v>
          </cell>
          <cell r="C77">
            <v>0.47619047619047616</v>
          </cell>
        </row>
        <row r="78">
          <cell r="B78">
            <v>0.26190476190476192</v>
          </cell>
          <cell r="C78">
            <v>0.26190476190476192</v>
          </cell>
        </row>
        <row r="80">
          <cell r="C80">
            <v>950</v>
          </cell>
        </row>
        <row r="81">
          <cell r="C81">
            <v>25</v>
          </cell>
        </row>
        <row r="82">
          <cell r="C82">
            <v>2</v>
          </cell>
        </row>
        <row r="83">
          <cell r="C83">
            <v>1</v>
          </cell>
        </row>
        <row r="84">
          <cell r="C84">
            <v>2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0.66666666666666663</v>
          </cell>
          <cell r="C96">
            <v>0.66666666666666663</v>
          </cell>
        </row>
        <row r="97">
          <cell r="B97">
            <v>0.51111111111111107</v>
          </cell>
          <cell r="C97">
            <v>0.51111111111111107</v>
          </cell>
          <cell r="AR97">
            <v>1</v>
          </cell>
          <cell r="AS97">
            <v>1</v>
          </cell>
          <cell r="AZ97">
            <v>1</v>
          </cell>
          <cell r="BB97">
            <v>1</v>
          </cell>
        </row>
        <row r="98">
          <cell r="B98">
            <v>0</v>
          </cell>
          <cell r="C98">
            <v>0</v>
          </cell>
        </row>
        <row r="99">
          <cell r="B99">
            <v>0.88888888888888884</v>
          </cell>
          <cell r="C99">
            <v>0.88888888888888884</v>
          </cell>
        </row>
        <row r="100">
          <cell r="B100">
            <v>0.63571428571428579</v>
          </cell>
          <cell r="C100">
            <v>0.63571428571428579</v>
          </cell>
        </row>
        <row r="102">
          <cell r="C102">
            <v>711</v>
          </cell>
        </row>
        <row r="103">
          <cell r="C103">
            <v>45</v>
          </cell>
        </row>
        <row r="104">
          <cell r="C104">
            <v>3</v>
          </cell>
        </row>
        <row r="105">
          <cell r="C105">
            <v>2</v>
          </cell>
        </row>
        <row r="106">
          <cell r="C106">
            <v>3</v>
          </cell>
        </row>
        <row r="107">
          <cell r="C107">
            <v>2</v>
          </cell>
        </row>
      </sheetData>
      <sheetData sheetId="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M_077</v>
          </cell>
          <cell r="C2" t="str">
            <v>mSTAT only</v>
          </cell>
          <cell r="D2" t="str">
            <v>n/a</v>
          </cell>
          <cell r="E2" t="str">
            <v>B</v>
          </cell>
          <cell r="F2">
            <v>45441</v>
          </cell>
        </row>
        <row r="3">
          <cell r="D3"/>
        </row>
        <row r="5">
          <cell r="D5">
            <v>0.39856150793650791</v>
          </cell>
          <cell r="E5">
            <v>0.36271591970121381</v>
          </cell>
        </row>
        <row r="6">
          <cell r="D6">
            <v>0.14168470418470419</v>
          </cell>
          <cell r="E6">
            <v>0.14614898989898989</v>
          </cell>
        </row>
        <row r="7">
          <cell r="D7">
            <v>0.48531746031746037</v>
          </cell>
          <cell r="E7">
            <v>0.433234126984127</v>
          </cell>
        </row>
        <row r="8">
          <cell r="D8">
            <v>0.36873015873015869</v>
          </cell>
          <cell r="E8">
            <v>0.33705627705627705</v>
          </cell>
        </row>
        <row r="9">
          <cell r="D9">
            <v>0.34857345779220783</v>
          </cell>
          <cell r="E9">
            <v>0.31978882841015194</v>
          </cell>
        </row>
        <row r="12">
          <cell r="B12">
            <v>24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12/22</v>
          </cell>
          <cell r="I14">
            <v>4</v>
          </cell>
          <cell r="L14">
            <v>4</v>
          </cell>
          <cell r="O14">
            <v>4</v>
          </cell>
        </row>
        <row r="15">
          <cell r="B15" t="str">
            <v>4/23</v>
          </cell>
          <cell r="I15">
            <v>4</v>
          </cell>
          <cell r="L15">
            <v>4</v>
          </cell>
          <cell r="O15">
            <v>3</v>
          </cell>
        </row>
        <row r="16">
          <cell r="B16">
            <v>12</v>
          </cell>
          <cell r="I16">
            <v>4</v>
          </cell>
          <cell r="L16">
            <v>3</v>
          </cell>
          <cell r="O16">
            <v>3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4</v>
          </cell>
        </row>
        <row r="18">
          <cell r="B18"/>
          <cell r="I18">
            <v>4</v>
          </cell>
          <cell r="L18">
            <v>3</v>
          </cell>
          <cell r="O18">
            <v>4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4</v>
          </cell>
        </row>
        <row r="20">
          <cell r="B20"/>
          <cell r="I20"/>
          <cell r="L20">
            <v>4</v>
          </cell>
          <cell r="O20">
            <v>3</v>
          </cell>
        </row>
        <row r="21">
          <cell r="B21"/>
          <cell r="I21">
            <v>3</v>
          </cell>
          <cell r="L21">
            <v>4</v>
          </cell>
          <cell r="O21">
            <v>3</v>
          </cell>
        </row>
        <row r="22">
          <cell r="B22">
            <v>1</v>
          </cell>
          <cell r="I22">
            <v>3</v>
          </cell>
          <cell r="L22">
            <v>4</v>
          </cell>
          <cell r="O22">
            <v>3</v>
          </cell>
        </row>
        <row r="23">
          <cell r="I23">
            <v>4</v>
          </cell>
          <cell r="L23">
            <v>4</v>
          </cell>
          <cell r="O23">
            <v>3</v>
          </cell>
        </row>
        <row r="24">
          <cell r="I24">
            <v>1</v>
          </cell>
        </row>
        <row r="29">
          <cell r="B29">
            <v>0.22222222222222221</v>
          </cell>
          <cell r="C29">
            <v>0.22222222222222221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0.29166666666666663</v>
          </cell>
          <cell r="C31">
            <v>0.29166666666666663</v>
          </cell>
        </row>
        <row r="32">
          <cell r="B32">
            <v>0.6875</v>
          </cell>
          <cell r="C32">
            <v>0.54411764705882359</v>
          </cell>
        </row>
        <row r="33">
          <cell r="B33">
            <v>0.39285714285714279</v>
          </cell>
          <cell r="C33">
            <v>0.39285714285714279</v>
          </cell>
        </row>
        <row r="52">
          <cell r="B52">
            <v>0.59444444444444455</v>
          </cell>
          <cell r="C52">
            <v>0.42777777777777781</v>
          </cell>
        </row>
        <row r="53">
          <cell r="B53">
            <v>0.3</v>
          </cell>
          <cell r="C53">
            <v>0.3</v>
          </cell>
          <cell r="AU53">
            <v>1</v>
          </cell>
          <cell r="AV53">
            <v>0.5</v>
          </cell>
          <cell r="AX53">
            <v>1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0.58333333333333337</v>
          </cell>
          <cell r="C55">
            <v>0.48958333333333331</v>
          </cell>
        </row>
        <row r="56">
          <cell r="B56">
            <v>0.44880952380952382</v>
          </cell>
          <cell r="C56">
            <v>0.44880952380952382</v>
          </cell>
        </row>
        <row r="58">
          <cell r="C58">
            <v>1200</v>
          </cell>
        </row>
        <row r="59">
          <cell r="C59">
            <v>45</v>
          </cell>
        </row>
        <row r="60">
          <cell r="C60">
            <v>1.5</v>
          </cell>
        </row>
        <row r="61">
          <cell r="C61">
            <v>1.5</v>
          </cell>
        </row>
        <row r="62">
          <cell r="C62">
            <v>2.5</v>
          </cell>
        </row>
        <row r="63">
          <cell r="C63">
            <v>2.5</v>
          </cell>
        </row>
        <row r="74">
          <cell r="B74">
            <v>0.18181818181818182</v>
          </cell>
          <cell r="C74">
            <v>0.18181818181818182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7.1428571428571425E-2</v>
          </cell>
          <cell r="C76">
            <v>7.1428571428571425E-2</v>
          </cell>
        </row>
        <row r="77">
          <cell r="B77">
            <v>0.125</v>
          </cell>
          <cell r="C77">
            <v>0.14285714285714285</v>
          </cell>
        </row>
        <row r="78">
          <cell r="B78">
            <v>0.18849206349206349</v>
          </cell>
          <cell r="C78">
            <v>0.18849206349206349</v>
          </cell>
        </row>
        <row r="80">
          <cell r="C80">
            <v>1063</v>
          </cell>
        </row>
        <row r="81">
          <cell r="C81">
            <v>10</v>
          </cell>
        </row>
        <row r="82">
          <cell r="C82">
            <v>2</v>
          </cell>
        </row>
        <row r="83">
          <cell r="C83">
            <v>1</v>
          </cell>
        </row>
        <row r="84">
          <cell r="C84">
            <v>2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0.45833333333333331</v>
          </cell>
          <cell r="C96">
            <v>0.45833333333333331</v>
          </cell>
        </row>
        <row r="97">
          <cell r="B97">
            <v>0.3</v>
          </cell>
          <cell r="C97">
            <v>0.3</v>
          </cell>
          <cell r="AR97">
            <v>0</v>
          </cell>
          <cell r="AS97">
            <v>0</v>
          </cell>
          <cell r="AZ97">
            <v>1</v>
          </cell>
          <cell r="BB97">
            <v>1</v>
          </cell>
        </row>
        <row r="98">
          <cell r="B98">
            <v>0</v>
          </cell>
          <cell r="C98">
            <v>0</v>
          </cell>
        </row>
        <row r="99">
          <cell r="B99">
            <v>0.69444444444444431</v>
          </cell>
          <cell r="C99">
            <v>0.53607503607503604</v>
          </cell>
        </row>
        <row r="100">
          <cell r="B100">
            <v>0.39087301587301587</v>
          </cell>
          <cell r="C100">
            <v>0.39087301587301587</v>
          </cell>
        </row>
        <row r="102">
          <cell r="C102">
            <v>1200</v>
          </cell>
        </row>
        <row r="103">
          <cell r="C103">
            <v>35</v>
          </cell>
        </row>
        <row r="104">
          <cell r="C104">
            <v>1.5</v>
          </cell>
        </row>
        <row r="105">
          <cell r="C105">
            <v>1.5</v>
          </cell>
        </row>
        <row r="106">
          <cell r="C106">
            <v>2</v>
          </cell>
        </row>
        <row r="107">
          <cell r="C107">
            <v>2</v>
          </cell>
        </row>
      </sheetData>
      <sheetData sheetId="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M_076</v>
          </cell>
          <cell r="C2" t="str">
            <v>mSTAT only</v>
          </cell>
          <cell r="D2" t="str">
            <v>n/a</v>
          </cell>
          <cell r="E2" t="str">
            <v>A</v>
          </cell>
          <cell r="F2">
            <v>45443</v>
          </cell>
        </row>
        <row r="3">
          <cell r="D3"/>
        </row>
        <row r="5">
          <cell r="D5">
            <v>0.32936507936507936</v>
          </cell>
          <cell r="E5">
            <v>0.34131360877684402</v>
          </cell>
        </row>
        <row r="6">
          <cell r="D6">
            <v>0.40948773448773446</v>
          </cell>
          <cell r="E6">
            <v>0.41395202020202015</v>
          </cell>
        </row>
        <row r="7">
          <cell r="D7">
            <v>0.4811375661375662</v>
          </cell>
          <cell r="E7">
            <v>0.46817460317460319</v>
          </cell>
        </row>
        <row r="8">
          <cell r="D8">
            <v>0.58063492063492073</v>
          </cell>
          <cell r="E8">
            <v>0.50357864357864357</v>
          </cell>
        </row>
        <row r="9">
          <cell r="D9">
            <v>0.4501563251563252</v>
          </cell>
          <cell r="E9">
            <v>0.43175471893302775</v>
          </cell>
        </row>
        <row r="12">
          <cell r="B12">
            <v>20</v>
          </cell>
        </row>
        <row r="13">
          <cell r="B13">
            <v>2</v>
          </cell>
          <cell r="I13">
            <v>5</v>
          </cell>
          <cell r="L13">
            <v>4</v>
          </cell>
          <cell r="O13">
            <v>4</v>
          </cell>
        </row>
        <row r="14">
          <cell r="B14" t="str">
            <v>9/22</v>
          </cell>
          <cell r="I14">
            <v>4</v>
          </cell>
          <cell r="L14">
            <v>3</v>
          </cell>
          <cell r="O14">
            <v>1</v>
          </cell>
        </row>
        <row r="15">
          <cell r="B15" t="str">
            <v>1/23</v>
          </cell>
          <cell r="I15">
            <v>3</v>
          </cell>
          <cell r="L15">
            <v>4</v>
          </cell>
          <cell r="O15">
            <v>1</v>
          </cell>
        </row>
        <row r="16">
          <cell r="B16">
            <v>16</v>
          </cell>
          <cell r="I16">
            <v>2</v>
          </cell>
          <cell r="L16">
            <v>3</v>
          </cell>
          <cell r="O16">
            <v>2</v>
          </cell>
        </row>
        <row r="17">
          <cell r="B17">
            <v>0</v>
          </cell>
          <cell r="I17">
            <v>3</v>
          </cell>
          <cell r="L17">
            <v>3</v>
          </cell>
          <cell r="O17">
            <v>5</v>
          </cell>
        </row>
        <row r="18">
          <cell r="B18"/>
          <cell r="I18">
            <v>2</v>
          </cell>
          <cell r="L18">
            <v>1</v>
          </cell>
          <cell r="O18">
            <v>1</v>
          </cell>
        </row>
        <row r="19">
          <cell r="B19">
            <v>0</v>
          </cell>
          <cell r="I19">
            <v>5</v>
          </cell>
          <cell r="L19">
            <v>4</v>
          </cell>
          <cell r="O19">
            <v>1</v>
          </cell>
        </row>
        <row r="20">
          <cell r="B20"/>
          <cell r="I20">
            <v>1</v>
          </cell>
          <cell r="L20">
            <v>3</v>
          </cell>
          <cell r="O20">
            <v>2</v>
          </cell>
        </row>
        <row r="21">
          <cell r="B21"/>
          <cell r="I21">
            <v>3</v>
          </cell>
          <cell r="L21">
            <v>3</v>
          </cell>
          <cell r="O21">
            <v>1</v>
          </cell>
        </row>
        <row r="22">
          <cell r="B22">
            <v>0</v>
          </cell>
          <cell r="I22">
            <v>3</v>
          </cell>
          <cell r="L22">
            <v>4</v>
          </cell>
          <cell r="O22">
            <v>2</v>
          </cell>
        </row>
        <row r="23">
          <cell r="I23">
            <v>3</v>
          </cell>
          <cell r="L23">
            <v>3</v>
          </cell>
          <cell r="O23">
            <v>2</v>
          </cell>
        </row>
        <row r="24">
          <cell r="I24">
            <v>0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0.33333333333333331</v>
          </cell>
          <cell r="C31">
            <v>0.33333333333333331</v>
          </cell>
        </row>
        <row r="32">
          <cell r="B32">
            <v>0.25</v>
          </cell>
          <cell r="C32">
            <v>0.29779411764705882</v>
          </cell>
        </row>
        <row r="33">
          <cell r="B33">
            <v>0.34523809523809518</v>
          </cell>
          <cell r="C33">
            <v>0.34523809523809518</v>
          </cell>
        </row>
        <row r="52">
          <cell r="B52">
            <v>0.75</v>
          </cell>
          <cell r="C52">
            <v>0.75</v>
          </cell>
        </row>
        <row r="53">
          <cell r="B53">
            <v>0.41111111111111115</v>
          </cell>
          <cell r="C53">
            <v>0.41111111111111115</v>
          </cell>
          <cell r="AU53">
            <v>0.5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0.31481481481481483</v>
          </cell>
          <cell r="C55">
            <v>0.25</v>
          </cell>
        </row>
        <row r="56">
          <cell r="B56">
            <v>0.42976190476190473</v>
          </cell>
          <cell r="C56">
            <v>0.42976190476190473</v>
          </cell>
        </row>
        <row r="58">
          <cell r="C58">
            <v>1200</v>
          </cell>
        </row>
        <row r="59">
          <cell r="C59">
            <v>22.5</v>
          </cell>
        </row>
        <row r="60">
          <cell r="C60">
            <v>2</v>
          </cell>
        </row>
        <row r="61">
          <cell r="C61">
            <v>1.5</v>
          </cell>
        </row>
        <row r="62">
          <cell r="C62">
            <v>1.5</v>
          </cell>
        </row>
        <row r="63">
          <cell r="C63">
            <v>1.5</v>
          </cell>
        </row>
        <row r="74">
          <cell r="B74">
            <v>0.33636363636363636</v>
          </cell>
          <cell r="C74">
            <v>0.33636363636363636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0.4642857142857143</v>
          </cell>
          <cell r="C76">
            <v>0.4642857142857143</v>
          </cell>
        </row>
        <row r="77">
          <cell r="B77">
            <v>0.45833333333333331</v>
          </cell>
          <cell r="C77">
            <v>0.47619047619047616</v>
          </cell>
        </row>
        <row r="78">
          <cell r="B78">
            <v>0.37896825396825395</v>
          </cell>
          <cell r="C78">
            <v>0.37896825396825395</v>
          </cell>
        </row>
        <row r="80">
          <cell r="C80">
            <v>1164</v>
          </cell>
        </row>
        <row r="81">
          <cell r="C81">
            <v>21</v>
          </cell>
        </row>
        <row r="82">
          <cell r="C82">
            <v>2</v>
          </cell>
        </row>
        <row r="83">
          <cell r="C83">
            <v>1</v>
          </cell>
        </row>
        <row r="84">
          <cell r="C84">
            <v>2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0.75</v>
          </cell>
          <cell r="C96">
            <v>0.75</v>
          </cell>
        </row>
        <row r="97">
          <cell r="B97">
            <v>0.41111111111111115</v>
          </cell>
          <cell r="C97">
            <v>0.41111111111111115</v>
          </cell>
          <cell r="AR97">
            <v>1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0.66666666666666663</v>
          </cell>
          <cell r="C99">
            <v>0.28138528138528135</v>
          </cell>
        </row>
        <row r="100">
          <cell r="B100">
            <v>0.57539682539682546</v>
          </cell>
          <cell r="C100">
            <v>0.57539682539682546</v>
          </cell>
        </row>
        <row r="102">
          <cell r="C102">
            <v>1200</v>
          </cell>
        </row>
        <row r="103">
          <cell r="C103">
            <v>25</v>
          </cell>
        </row>
        <row r="104">
          <cell r="C104">
            <v>2</v>
          </cell>
        </row>
        <row r="105">
          <cell r="C105">
            <v>1</v>
          </cell>
        </row>
        <row r="106">
          <cell r="C106">
            <v>2</v>
          </cell>
        </row>
        <row r="107">
          <cell r="C107">
            <v>1</v>
          </cell>
        </row>
      </sheetData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M_075</v>
          </cell>
          <cell r="C2" t="str">
            <v>mSTAT only</v>
          </cell>
          <cell r="D2" t="str">
            <v>n/a</v>
          </cell>
          <cell r="E2" t="str">
            <v>B</v>
          </cell>
          <cell r="F2">
            <v>45447</v>
          </cell>
        </row>
        <row r="3">
          <cell r="D3"/>
        </row>
        <row r="5">
          <cell r="D5">
            <v>0.61557539682539675</v>
          </cell>
          <cell r="E5">
            <v>0.60781395891690004</v>
          </cell>
        </row>
        <row r="6">
          <cell r="D6">
            <v>0.45543831168831161</v>
          </cell>
          <cell r="E6">
            <v>0.40261093073593068</v>
          </cell>
        </row>
        <row r="7">
          <cell r="D7">
            <v>0.54544973544973541</v>
          </cell>
          <cell r="E7">
            <v>0.52276455026455027</v>
          </cell>
        </row>
        <row r="8">
          <cell r="D8">
            <v>0.6456613756613756</v>
          </cell>
          <cell r="E8">
            <v>0.60237133237133234</v>
          </cell>
        </row>
        <row r="9">
          <cell r="D9">
            <v>0.5655312049062049</v>
          </cell>
          <cell r="E9">
            <v>0.53389019307217833</v>
          </cell>
        </row>
        <row r="12">
          <cell r="B12">
            <v>26</v>
          </cell>
        </row>
        <row r="13">
          <cell r="B13">
            <v>1</v>
          </cell>
          <cell r="I13">
            <v>4</v>
          </cell>
          <cell r="L13">
            <v>3</v>
          </cell>
          <cell r="O13">
            <v>5</v>
          </cell>
        </row>
        <row r="14">
          <cell r="B14" t="str">
            <v>11/18</v>
          </cell>
          <cell r="I14">
            <v>4</v>
          </cell>
          <cell r="L14">
            <v>3</v>
          </cell>
          <cell r="O14">
            <v>4</v>
          </cell>
        </row>
        <row r="15">
          <cell r="B15" t="str">
            <v>5/19</v>
          </cell>
          <cell r="I15">
            <v>4</v>
          </cell>
          <cell r="L15">
            <v>4</v>
          </cell>
          <cell r="O15">
            <v>2</v>
          </cell>
        </row>
        <row r="16">
          <cell r="B16">
            <v>60</v>
          </cell>
          <cell r="I16">
            <v>4</v>
          </cell>
          <cell r="L16">
            <v>3</v>
          </cell>
          <cell r="O16">
            <v>2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5</v>
          </cell>
        </row>
        <row r="18">
          <cell r="B18"/>
          <cell r="I18">
            <v>4</v>
          </cell>
          <cell r="L18">
            <v>3</v>
          </cell>
          <cell r="O18">
            <v>1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1</v>
          </cell>
        </row>
        <row r="20">
          <cell r="B20"/>
          <cell r="I20">
            <v>4</v>
          </cell>
          <cell r="L20">
            <v>4</v>
          </cell>
          <cell r="O20">
            <v>4</v>
          </cell>
        </row>
        <row r="21">
          <cell r="B21"/>
          <cell r="I21">
            <v>4</v>
          </cell>
          <cell r="L21">
            <v>3</v>
          </cell>
          <cell r="O21">
            <v>1</v>
          </cell>
        </row>
        <row r="22">
          <cell r="B22">
            <v>1</v>
          </cell>
          <cell r="I22">
            <v>4</v>
          </cell>
          <cell r="L22">
            <v>5</v>
          </cell>
          <cell r="O22">
            <v>1</v>
          </cell>
        </row>
        <row r="23">
          <cell r="I23">
            <v>5</v>
          </cell>
          <cell r="L23">
            <v>5</v>
          </cell>
          <cell r="O23">
            <v>1</v>
          </cell>
        </row>
        <row r="24">
          <cell r="I24">
            <v>1</v>
          </cell>
        </row>
        <row r="29">
          <cell r="B29">
            <v>0.5</v>
          </cell>
          <cell r="C29">
            <v>0.5</v>
          </cell>
        </row>
        <row r="30">
          <cell r="B30" t="str">
            <v>n/a</v>
          </cell>
          <cell r="C30" t="str">
            <v>n/a</v>
          </cell>
          <cell r="Z30">
            <v>1</v>
          </cell>
        </row>
        <row r="31">
          <cell r="B31">
            <v>0.16666666666666666</v>
          </cell>
          <cell r="C31">
            <v>0.16666666666666666</v>
          </cell>
        </row>
        <row r="32">
          <cell r="B32">
            <v>0.875</v>
          </cell>
          <cell r="C32">
            <v>0.84395424836601318</v>
          </cell>
        </row>
        <row r="33">
          <cell r="B33">
            <v>0.92063492063492058</v>
          </cell>
          <cell r="C33">
            <v>0.92063492063492058</v>
          </cell>
        </row>
        <row r="52">
          <cell r="B52">
            <v>0.75</v>
          </cell>
          <cell r="C52">
            <v>0.75</v>
          </cell>
        </row>
        <row r="53">
          <cell r="B53">
            <v>0.74814814814814812</v>
          </cell>
          <cell r="C53">
            <v>0.74814814814814812</v>
          </cell>
          <cell r="AU53">
            <v>1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</v>
          </cell>
          <cell r="C54">
            <v>0</v>
          </cell>
        </row>
        <row r="55">
          <cell r="B55">
            <v>0.50925925925925919</v>
          </cell>
          <cell r="C55">
            <v>0.39583333333333331</v>
          </cell>
        </row>
        <row r="56">
          <cell r="B56">
            <v>0.71984126984126995</v>
          </cell>
          <cell r="C56">
            <v>0.71984126984126995</v>
          </cell>
        </row>
        <row r="58">
          <cell r="C58">
            <v>1200</v>
          </cell>
        </row>
        <row r="59">
          <cell r="C59">
            <v>70</v>
          </cell>
        </row>
        <row r="60">
          <cell r="C60">
            <v>3</v>
          </cell>
        </row>
        <row r="61">
          <cell r="C61">
            <v>4</v>
          </cell>
        </row>
        <row r="62">
          <cell r="C62">
            <v>4</v>
          </cell>
        </row>
        <row r="63">
          <cell r="C63">
            <v>4</v>
          </cell>
        </row>
        <row r="74">
          <cell r="B74">
            <v>0.51818181818181819</v>
          </cell>
          <cell r="C74">
            <v>0.51818181818181819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7.1428571428571425E-2</v>
          </cell>
          <cell r="C76">
            <v>7.1428571428571425E-2</v>
          </cell>
        </row>
        <row r="77">
          <cell r="B77">
            <v>0.70833333333333326</v>
          </cell>
          <cell r="C77">
            <v>0.49702380952380953</v>
          </cell>
        </row>
        <row r="78">
          <cell r="B78">
            <v>0.52380952380952384</v>
          </cell>
          <cell r="C78">
            <v>0.52380952380952384</v>
          </cell>
        </row>
        <row r="80">
          <cell r="C80">
            <v>1200</v>
          </cell>
        </row>
        <row r="81">
          <cell r="C81">
            <v>30</v>
          </cell>
        </row>
        <row r="82">
          <cell r="C82">
            <v>3</v>
          </cell>
        </row>
        <row r="83">
          <cell r="C83">
            <v>2</v>
          </cell>
        </row>
        <row r="84">
          <cell r="C84">
            <v>3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0.75</v>
          </cell>
          <cell r="C96">
            <v>0.75</v>
          </cell>
        </row>
        <row r="97">
          <cell r="B97">
            <v>0.74814814814814812</v>
          </cell>
          <cell r="C97">
            <v>0.74814814814814812</v>
          </cell>
          <cell r="AR97">
            <v>1</v>
          </cell>
          <cell r="AS97">
            <v>0</v>
          </cell>
          <cell r="AZ97">
            <v>1</v>
          </cell>
          <cell r="BB97">
            <v>0</v>
          </cell>
        </row>
        <row r="98">
          <cell r="B98">
            <v>0</v>
          </cell>
          <cell r="C98">
            <v>0</v>
          </cell>
        </row>
        <row r="99">
          <cell r="B99">
            <v>0.88888888888888884</v>
          </cell>
          <cell r="C99">
            <v>0.67243867243867239</v>
          </cell>
        </row>
        <row r="100">
          <cell r="B100">
            <v>0.84126984126984128</v>
          </cell>
          <cell r="C100">
            <v>0.84126984126984128</v>
          </cell>
        </row>
        <row r="102">
          <cell r="C102">
            <v>1279</v>
          </cell>
        </row>
        <row r="103">
          <cell r="C103">
            <v>70</v>
          </cell>
        </row>
        <row r="104">
          <cell r="C104">
            <v>4</v>
          </cell>
        </row>
        <row r="105">
          <cell r="C105">
            <v>3</v>
          </cell>
        </row>
        <row r="106">
          <cell r="C106">
            <v>4</v>
          </cell>
        </row>
        <row r="107">
          <cell r="C107">
            <v>4</v>
          </cell>
        </row>
      </sheetData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M_074</v>
          </cell>
          <cell r="C2" t="str">
            <v>mSTAT only</v>
          </cell>
          <cell r="D2" t="str">
            <v>n/a</v>
          </cell>
          <cell r="E2" t="str">
            <v>B</v>
          </cell>
          <cell r="F2">
            <v>45454</v>
          </cell>
        </row>
        <row r="3">
          <cell r="D3"/>
        </row>
        <row r="5">
          <cell r="D5">
            <v>0.47296626984126988</v>
          </cell>
          <cell r="E5">
            <v>0.46837068160597572</v>
          </cell>
        </row>
        <row r="6">
          <cell r="D6">
            <v>0.51333874458874451</v>
          </cell>
          <cell r="E6">
            <v>0.42702922077922079</v>
          </cell>
        </row>
        <row r="7">
          <cell r="D7">
            <v>0.29812169312169312</v>
          </cell>
          <cell r="E7">
            <v>0.29511243386243385</v>
          </cell>
        </row>
        <row r="8">
          <cell r="D8">
            <v>0.52195767195767195</v>
          </cell>
          <cell r="E8">
            <v>0.48891293891293885</v>
          </cell>
        </row>
        <row r="9">
          <cell r="D9">
            <v>0.45159609487734487</v>
          </cell>
          <cell r="E9">
            <v>0.41985631879014229</v>
          </cell>
        </row>
        <row r="12">
          <cell r="B12">
            <v>24</v>
          </cell>
        </row>
        <row r="13">
          <cell r="B13">
            <v>2</v>
          </cell>
          <cell r="I13">
            <v>4</v>
          </cell>
          <cell r="L13">
            <v>2</v>
          </cell>
          <cell r="O13">
            <v>4</v>
          </cell>
        </row>
        <row r="14">
          <cell r="B14" t="str">
            <v>12/22</v>
          </cell>
          <cell r="I14">
            <v>3</v>
          </cell>
          <cell r="L14">
            <v>3</v>
          </cell>
          <cell r="O14">
            <v>2</v>
          </cell>
        </row>
        <row r="15">
          <cell r="B15" t="str">
            <v>4/23</v>
          </cell>
          <cell r="I15">
            <v>3</v>
          </cell>
          <cell r="L15">
            <v>3</v>
          </cell>
          <cell r="O15">
            <v>2</v>
          </cell>
        </row>
        <row r="16">
          <cell r="B16">
            <v>18</v>
          </cell>
          <cell r="I16">
            <v>3</v>
          </cell>
          <cell r="L16">
            <v>4</v>
          </cell>
          <cell r="O16">
            <v>2</v>
          </cell>
        </row>
        <row r="17">
          <cell r="B17">
            <v>0</v>
          </cell>
          <cell r="I17">
            <v>3</v>
          </cell>
          <cell r="L17">
            <v>2</v>
          </cell>
          <cell r="O17">
            <v>2</v>
          </cell>
        </row>
        <row r="18">
          <cell r="B18"/>
          <cell r="I18">
            <v>3</v>
          </cell>
          <cell r="L18">
            <v>2</v>
          </cell>
          <cell r="O18">
            <v>1</v>
          </cell>
        </row>
        <row r="19">
          <cell r="B19">
            <v>0</v>
          </cell>
          <cell r="I19">
            <v>5</v>
          </cell>
          <cell r="L19">
            <v>4</v>
          </cell>
          <cell r="O19">
            <v>1</v>
          </cell>
        </row>
        <row r="20">
          <cell r="B20"/>
          <cell r="I20">
            <v>3</v>
          </cell>
          <cell r="L20">
            <v>3</v>
          </cell>
          <cell r="O20">
            <v>3</v>
          </cell>
        </row>
        <row r="21">
          <cell r="B21"/>
          <cell r="I21">
            <v>2</v>
          </cell>
          <cell r="L21">
            <v>3</v>
          </cell>
          <cell r="O21">
            <v>1</v>
          </cell>
        </row>
        <row r="22">
          <cell r="B22">
            <v>0</v>
          </cell>
          <cell r="I22">
            <v>3</v>
          </cell>
          <cell r="L22">
            <v>4</v>
          </cell>
          <cell r="O22">
            <v>2</v>
          </cell>
        </row>
        <row r="23">
          <cell r="I23">
            <v>4</v>
          </cell>
          <cell r="L23">
            <v>4</v>
          </cell>
          <cell r="O23">
            <v>4</v>
          </cell>
        </row>
        <row r="24">
          <cell r="I24">
            <v>0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0.41666666666666663</v>
          </cell>
          <cell r="C31">
            <v>0.41666666666666663</v>
          </cell>
        </row>
        <row r="32">
          <cell r="B32">
            <v>0.5625</v>
          </cell>
          <cell r="C32">
            <v>0.54411764705882359</v>
          </cell>
        </row>
        <row r="33">
          <cell r="B33">
            <v>0.52380952380952384</v>
          </cell>
          <cell r="C33">
            <v>0.52380952380952384</v>
          </cell>
        </row>
        <row r="52">
          <cell r="B52">
            <v>0.34722222222222221</v>
          </cell>
          <cell r="C52">
            <v>0.34722222222222221</v>
          </cell>
        </row>
        <row r="53">
          <cell r="B53">
            <v>0.27407407407407408</v>
          </cell>
          <cell r="C53">
            <v>0.27407407407407408</v>
          </cell>
          <cell r="AU53">
            <v>0.5</v>
          </cell>
          <cell r="AV53">
            <v>0</v>
          </cell>
          <cell r="AX53">
            <v>0.5</v>
          </cell>
          <cell r="AY53">
            <v>0.5</v>
          </cell>
          <cell r="AZ53">
            <v>0</v>
          </cell>
          <cell r="BF53">
            <v>0</v>
          </cell>
        </row>
        <row r="54">
          <cell r="B54">
            <v>0</v>
          </cell>
          <cell r="C54">
            <v>0</v>
          </cell>
        </row>
        <row r="55">
          <cell r="B55">
            <v>0.29629629629629628</v>
          </cell>
          <cell r="C55">
            <v>0.28125</v>
          </cell>
        </row>
        <row r="56">
          <cell r="B56">
            <v>0.57301587301587309</v>
          </cell>
          <cell r="C56">
            <v>0.57301587301587309</v>
          </cell>
        </row>
        <row r="58">
          <cell r="C58">
            <v>1200</v>
          </cell>
        </row>
        <row r="59">
          <cell r="C59">
            <v>35</v>
          </cell>
        </row>
        <row r="60">
          <cell r="C60">
            <v>2.5</v>
          </cell>
        </row>
        <row r="61">
          <cell r="C61">
            <v>2.5</v>
          </cell>
        </row>
        <row r="62">
          <cell r="C62">
            <v>2</v>
          </cell>
        </row>
        <row r="63">
          <cell r="C63">
            <v>2</v>
          </cell>
        </row>
        <row r="74">
          <cell r="B74">
            <v>0.65454545454545454</v>
          </cell>
          <cell r="C74">
            <v>0.65454545454545454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7.1428571428571425E-2</v>
          </cell>
          <cell r="C76">
            <v>7.1428571428571425E-2</v>
          </cell>
        </row>
        <row r="77">
          <cell r="B77">
            <v>0.83333333333333326</v>
          </cell>
          <cell r="C77">
            <v>0.48809523809523808</v>
          </cell>
        </row>
        <row r="78">
          <cell r="B78">
            <v>0.49404761904761901</v>
          </cell>
          <cell r="C78">
            <v>0.49404761904761901</v>
          </cell>
        </row>
        <row r="80">
          <cell r="C80">
            <v>1200</v>
          </cell>
        </row>
        <row r="81">
          <cell r="C81">
            <v>30</v>
          </cell>
        </row>
        <row r="82">
          <cell r="C82">
            <v>1.5</v>
          </cell>
        </row>
        <row r="83">
          <cell r="C83">
            <v>2.5</v>
          </cell>
        </row>
        <row r="84">
          <cell r="C84">
            <v>1.5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0.75</v>
          </cell>
          <cell r="C96">
            <v>0.75</v>
          </cell>
        </row>
        <row r="97">
          <cell r="B97">
            <v>0.27407407407407408</v>
          </cell>
          <cell r="C97">
            <v>0.27407407407407408</v>
          </cell>
          <cell r="AR97">
            <v>1</v>
          </cell>
          <cell r="AS97">
            <v>1</v>
          </cell>
          <cell r="AZ97">
            <v>0.5</v>
          </cell>
          <cell r="BB97">
            <v>0</v>
          </cell>
        </row>
        <row r="98">
          <cell r="B98">
            <v>0</v>
          </cell>
          <cell r="C98">
            <v>0</v>
          </cell>
        </row>
        <row r="99">
          <cell r="B99">
            <v>0.83333333333333337</v>
          </cell>
          <cell r="C99">
            <v>0.66810966810966799</v>
          </cell>
        </row>
        <row r="100">
          <cell r="B100">
            <v>0.75238095238095237</v>
          </cell>
          <cell r="C100">
            <v>0.75238095238095237</v>
          </cell>
        </row>
        <row r="102">
          <cell r="C102">
            <v>1200</v>
          </cell>
        </row>
        <row r="103">
          <cell r="C103">
            <v>50</v>
          </cell>
        </row>
        <row r="104">
          <cell r="C104">
            <v>2.5</v>
          </cell>
        </row>
        <row r="105">
          <cell r="C105">
            <v>3</v>
          </cell>
        </row>
        <row r="106">
          <cell r="C106">
            <v>2</v>
          </cell>
        </row>
        <row r="107">
          <cell r="C107">
            <v>2.5</v>
          </cell>
        </row>
      </sheetData>
      <sheetData sheetId="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M_073</v>
          </cell>
          <cell r="C2" t="str">
            <v>mSTAT only</v>
          </cell>
          <cell r="D2" t="str">
            <v>n/a</v>
          </cell>
          <cell r="E2" t="str">
            <v>A</v>
          </cell>
          <cell r="F2">
            <v>45454</v>
          </cell>
        </row>
        <row r="3">
          <cell r="D3"/>
        </row>
        <row r="5">
          <cell r="D5">
            <v>0.69766865079365081</v>
          </cell>
          <cell r="E5">
            <v>0.66917600373482722</v>
          </cell>
        </row>
        <row r="6">
          <cell r="D6">
            <v>0.54488185425685431</v>
          </cell>
          <cell r="E6">
            <v>0.53669733044733048</v>
          </cell>
        </row>
        <row r="7">
          <cell r="D7">
            <v>0.42253968253968255</v>
          </cell>
          <cell r="E7">
            <v>0.40498015873015875</v>
          </cell>
        </row>
        <row r="8">
          <cell r="D8">
            <v>0.60515873015873001</v>
          </cell>
          <cell r="E8">
            <v>0.56078643578643572</v>
          </cell>
        </row>
        <row r="9">
          <cell r="D9">
            <v>0.56756222943722934</v>
          </cell>
          <cell r="E9">
            <v>0.542909982174688</v>
          </cell>
        </row>
        <row r="12">
          <cell r="B12">
            <v>37</v>
          </cell>
        </row>
        <row r="13">
          <cell r="B13">
            <v>2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1/17</v>
          </cell>
          <cell r="I14">
            <v>4</v>
          </cell>
          <cell r="L14">
            <v>4</v>
          </cell>
          <cell r="O14">
            <v>4</v>
          </cell>
        </row>
        <row r="15">
          <cell r="B15" t="str">
            <v>3/17</v>
          </cell>
          <cell r="I15">
            <v>4</v>
          </cell>
          <cell r="L15">
            <v>4</v>
          </cell>
          <cell r="O15">
            <v>3</v>
          </cell>
        </row>
        <row r="16">
          <cell r="B16">
            <v>168</v>
          </cell>
          <cell r="I16">
            <v>4</v>
          </cell>
          <cell r="L16">
            <v>4</v>
          </cell>
          <cell r="O16">
            <v>4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4</v>
          </cell>
        </row>
        <row r="18">
          <cell r="B18"/>
          <cell r="I18">
            <v>3</v>
          </cell>
          <cell r="L18">
            <v>4</v>
          </cell>
          <cell r="O18">
            <v>2</v>
          </cell>
        </row>
        <row r="19">
          <cell r="B19">
            <v>1</v>
          </cell>
          <cell r="I19">
            <v>5</v>
          </cell>
          <cell r="L19">
            <v>5</v>
          </cell>
          <cell r="O19">
            <v>2</v>
          </cell>
        </row>
        <row r="20">
          <cell r="B20">
            <v>2</v>
          </cell>
          <cell r="I20">
            <v>3</v>
          </cell>
          <cell r="L20">
            <v>4</v>
          </cell>
          <cell r="O20">
            <v>4</v>
          </cell>
        </row>
        <row r="21">
          <cell r="B21">
            <v>1</v>
          </cell>
          <cell r="I21">
            <v>4</v>
          </cell>
          <cell r="L21">
            <v>4</v>
          </cell>
          <cell r="O21">
            <v>2</v>
          </cell>
        </row>
        <row r="22">
          <cell r="B22">
            <v>0</v>
          </cell>
          <cell r="I22">
            <v>3</v>
          </cell>
          <cell r="L22">
            <v>4</v>
          </cell>
          <cell r="O22">
            <v>3</v>
          </cell>
        </row>
        <row r="23">
          <cell r="I23">
            <v>5</v>
          </cell>
          <cell r="L23">
            <v>5</v>
          </cell>
          <cell r="O23">
            <v>4</v>
          </cell>
        </row>
        <row r="24">
          <cell r="I24">
            <v>1</v>
          </cell>
        </row>
        <row r="29">
          <cell r="B29">
            <v>0.88888888888888884</v>
          </cell>
          <cell r="C29">
            <v>0.88888888888888884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0.58333333333333326</v>
          </cell>
          <cell r="C31">
            <v>0.58333333333333326</v>
          </cell>
        </row>
        <row r="32">
          <cell r="B32">
            <v>0.6875</v>
          </cell>
          <cell r="C32">
            <v>0.57352941176470584</v>
          </cell>
        </row>
        <row r="33">
          <cell r="B33">
            <v>0.63095238095238093</v>
          </cell>
          <cell r="C33">
            <v>0.63095238095238093</v>
          </cell>
        </row>
        <row r="52">
          <cell r="B52">
            <v>0.59722222222222232</v>
          </cell>
          <cell r="C52">
            <v>0.59722222222222232</v>
          </cell>
        </row>
        <row r="53">
          <cell r="B53">
            <v>0.37777777777777777</v>
          </cell>
          <cell r="C53">
            <v>0.37777777777777777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0.25</v>
          </cell>
          <cell r="C55">
            <v>0.16220238095238096</v>
          </cell>
        </row>
        <row r="56">
          <cell r="B56">
            <v>0.38769841269841271</v>
          </cell>
          <cell r="C56">
            <v>0.38769841269841271</v>
          </cell>
        </row>
        <row r="58">
          <cell r="C58">
            <v>1200</v>
          </cell>
        </row>
        <row r="59">
          <cell r="C59">
            <v>37.5</v>
          </cell>
        </row>
        <row r="60">
          <cell r="C60">
            <v>2.5</v>
          </cell>
        </row>
        <row r="61">
          <cell r="C61">
            <v>2</v>
          </cell>
        </row>
        <row r="62">
          <cell r="C62">
            <v>3</v>
          </cell>
        </row>
        <row r="63">
          <cell r="C63">
            <v>1.5</v>
          </cell>
        </row>
        <row r="74">
          <cell r="B74">
            <v>0.60909090909090913</v>
          </cell>
          <cell r="C74">
            <v>0.60909090909090913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0.5357142857142857</v>
          </cell>
          <cell r="C76">
            <v>0.5357142857142857</v>
          </cell>
        </row>
        <row r="77">
          <cell r="B77">
            <v>0.52083333333333326</v>
          </cell>
          <cell r="C77">
            <v>0.48809523809523803</v>
          </cell>
        </row>
        <row r="78">
          <cell r="B78">
            <v>0.51388888888888884</v>
          </cell>
          <cell r="C78">
            <v>0.51388888888888884</v>
          </cell>
        </row>
        <row r="80">
          <cell r="C80">
            <v>1064</v>
          </cell>
        </row>
        <row r="81">
          <cell r="C81">
            <v>45</v>
          </cell>
        </row>
        <row r="82">
          <cell r="C82">
            <v>3</v>
          </cell>
        </row>
        <row r="83">
          <cell r="C83">
            <v>2</v>
          </cell>
        </row>
        <row r="84">
          <cell r="C84">
            <v>3.5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0.66666666666666663</v>
          </cell>
          <cell r="C96">
            <v>0.66666666666666663</v>
          </cell>
        </row>
        <row r="97">
          <cell r="B97">
            <v>0.37777777777777777</v>
          </cell>
          <cell r="C97">
            <v>0.37777777777777777</v>
          </cell>
          <cell r="AR97">
            <v>0</v>
          </cell>
          <cell r="AS97">
            <v>1</v>
          </cell>
          <cell r="AZ97">
            <v>1</v>
          </cell>
          <cell r="BB97">
            <v>1</v>
          </cell>
        </row>
        <row r="98">
          <cell r="B98">
            <v>0.5</v>
          </cell>
          <cell r="C98">
            <v>0.5</v>
          </cell>
        </row>
        <row r="99">
          <cell r="B99">
            <v>0.80555555555555547</v>
          </cell>
          <cell r="C99">
            <v>0.58369408369408371</v>
          </cell>
        </row>
        <row r="100">
          <cell r="B100">
            <v>0.67579365079365072</v>
          </cell>
          <cell r="C100">
            <v>0.67579365079365072</v>
          </cell>
        </row>
        <row r="102">
          <cell r="C102">
            <v>1082</v>
          </cell>
        </row>
        <row r="103">
          <cell r="C103">
            <v>50</v>
          </cell>
        </row>
        <row r="104">
          <cell r="C104">
            <v>2.5</v>
          </cell>
        </row>
        <row r="105">
          <cell r="C105">
            <v>2.5</v>
          </cell>
        </row>
        <row r="106">
          <cell r="C106">
            <v>3</v>
          </cell>
        </row>
        <row r="107">
          <cell r="C107">
            <v>2.5</v>
          </cell>
        </row>
      </sheetData>
      <sheetData sheetId="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M_072</v>
          </cell>
          <cell r="C2" t="str">
            <v>mSTAT only</v>
          </cell>
          <cell r="D2" t="str">
            <v>n/a</v>
          </cell>
          <cell r="E2" t="str">
            <v>A</v>
          </cell>
          <cell r="F2">
            <v>45457</v>
          </cell>
        </row>
        <row r="3">
          <cell r="D3"/>
        </row>
        <row r="5">
          <cell r="D5">
            <v>0.43477182539682535</v>
          </cell>
          <cell r="E5">
            <v>0.43017623716153131</v>
          </cell>
        </row>
        <row r="6">
          <cell r="D6">
            <v>0.53768939393939386</v>
          </cell>
          <cell r="E6">
            <v>0.49155844155844153</v>
          </cell>
        </row>
        <row r="7">
          <cell r="D7">
            <v>0.34608465608465611</v>
          </cell>
          <cell r="E7">
            <v>0.32988095238095239</v>
          </cell>
        </row>
        <row r="8">
          <cell r="D8">
            <v>0.49476190476190479</v>
          </cell>
          <cell r="E8">
            <v>0.42030303030303029</v>
          </cell>
        </row>
        <row r="9">
          <cell r="D9">
            <v>0.45332694504569498</v>
          </cell>
          <cell r="E9">
            <v>0.41797966535098885</v>
          </cell>
        </row>
        <row r="12">
          <cell r="B12">
            <v>20</v>
          </cell>
        </row>
        <row r="13">
          <cell r="B13">
            <v>2</v>
          </cell>
          <cell r="I13">
            <v>5</v>
          </cell>
          <cell r="L13">
            <v>5</v>
          </cell>
          <cell r="O13">
            <v>3</v>
          </cell>
        </row>
        <row r="14">
          <cell r="B14" t="str">
            <v>9/22</v>
          </cell>
          <cell r="I14">
            <v>5</v>
          </cell>
          <cell r="L14">
            <v>4</v>
          </cell>
          <cell r="O14">
            <v>3</v>
          </cell>
        </row>
        <row r="15">
          <cell r="B15" t="str">
            <v>2/23</v>
          </cell>
          <cell r="I15">
            <v>4</v>
          </cell>
          <cell r="L15">
            <v>4</v>
          </cell>
          <cell r="O15">
            <v>2</v>
          </cell>
        </row>
        <row r="16">
          <cell r="B16">
            <v>24</v>
          </cell>
          <cell r="I16">
            <v>5</v>
          </cell>
          <cell r="L16">
            <v>4</v>
          </cell>
          <cell r="O16">
            <v>4</v>
          </cell>
        </row>
        <row r="17">
          <cell r="B17">
            <v>0</v>
          </cell>
          <cell r="I17">
            <v>4</v>
          </cell>
          <cell r="L17">
            <v>3</v>
          </cell>
          <cell r="O17"/>
        </row>
        <row r="18">
          <cell r="B18"/>
          <cell r="I18">
            <v>5</v>
          </cell>
          <cell r="L18">
            <v>4</v>
          </cell>
          <cell r="O18">
            <v>3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2</v>
          </cell>
        </row>
        <row r="20">
          <cell r="B20"/>
          <cell r="I20">
            <v>4</v>
          </cell>
          <cell r="L20">
            <v>5</v>
          </cell>
          <cell r="O20">
            <v>3</v>
          </cell>
        </row>
        <row r="21">
          <cell r="B21"/>
          <cell r="I21">
            <v>3</v>
          </cell>
          <cell r="L21">
            <v>3</v>
          </cell>
          <cell r="O21">
            <v>3</v>
          </cell>
        </row>
        <row r="22">
          <cell r="B22">
            <v>0</v>
          </cell>
          <cell r="I22">
            <v>3</v>
          </cell>
          <cell r="L22">
            <v>3</v>
          </cell>
          <cell r="O22">
            <v>3</v>
          </cell>
        </row>
        <row r="23">
          <cell r="I23">
            <v>4</v>
          </cell>
          <cell r="L23">
            <v>4</v>
          </cell>
          <cell r="O23">
            <v>3</v>
          </cell>
        </row>
        <row r="24">
          <cell r="I24">
            <v>1.5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</v>
          </cell>
          <cell r="C31">
            <v>0</v>
          </cell>
        </row>
        <row r="32">
          <cell r="B32">
            <v>0.6875</v>
          </cell>
          <cell r="C32">
            <v>0.66911764705882359</v>
          </cell>
        </row>
        <row r="33">
          <cell r="B33">
            <v>0.66269841269841268</v>
          </cell>
          <cell r="C33">
            <v>0.66269841269841268</v>
          </cell>
        </row>
        <row r="52">
          <cell r="B52">
            <v>0.47222222222222221</v>
          </cell>
          <cell r="C52">
            <v>0.47222222222222221</v>
          </cell>
        </row>
        <row r="53">
          <cell r="B53">
            <v>0.26666666666666666</v>
          </cell>
          <cell r="C53">
            <v>0.26666666666666666</v>
          </cell>
          <cell r="AU53">
            <v>1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</v>
          </cell>
          <cell r="C54">
            <v>0</v>
          </cell>
        </row>
        <row r="55">
          <cell r="B55">
            <v>0.1851851851851852</v>
          </cell>
          <cell r="C55">
            <v>0.10416666666666667</v>
          </cell>
        </row>
        <row r="56">
          <cell r="B56">
            <v>0.80634920634920648</v>
          </cell>
          <cell r="C56">
            <v>0.80634920634920648</v>
          </cell>
        </row>
        <row r="58">
          <cell r="C58">
            <v>1200</v>
          </cell>
        </row>
        <row r="59">
          <cell r="C59">
            <v>60</v>
          </cell>
        </row>
        <row r="60">
          <cell r="C60">
            <v>2</v>
          </cell>
        </row>
        <row r="61">
          <cell r="C61">
            <v>2</v>
          </cell>
        </row>
        <row r="62">
          <cell r="C62">
            <v>3</v>
          </cell>
        </row>
        <row r="63">
          <cell r="C63">
            <v>2</v>
          </cell>
        </row>
        <row r="74">
          <cell r="B74">
            <v>0.60909090909090913</v>
          </cell>
          <cell r="C74">
            <v>0.60909090909090913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7.1428571428571425E-2</v>
          </cell>
          <cell r="C76">
            <v>7.1428571428571425E-2</v>
          </cell>
        </row>
        <row r="77">
          <cell r="B77">
            <v>0.70833333333333326</v>
          </cell>
          <cell r="C77">
            <v>0.52380952380952372</v>
          </cell>
        </row>
        <row r="78">
          <cell r="B78">
            <v>0.76190476190476186</v>
          </cell>
          <cell r="C78">
            <v>0.76190476190476186</v>
          </cell>
        </row>
        <row r="80">
          <cell r="C80">
            <v>748</v>
          </cell>
        </row>
        <row r="81">
          <cell r="C81">
            <v>40</v>
          </cell>
        </row>
        <row r="82">
          <cell r="C82">
            <v>3</v>
          </cell>
        </row>
        <row r="83">
          <cell r="C83">
            <v>2</v>
          </cell>
        </row>
        <row r="84">
          <cell r="C84">
            <v>3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0.5</v>
          </cell>
          <cell r="C96">
            <v>0.5</v>
          </cell>
        </row>
        <row r="97">
          <cell r="B97">
            <v>0.26666666666666666</v>
          </cell>
          <cell r="C97">
            <v>0.26666666666666666</v>
          </cell>
          <cell r="AR97">
            <v>1</v>
          </cell>
          <cell r="AS97">
            <v>0</v>
          </cell>
          <cell r="AZ97">
            <v>1</v>
          </cell>
          <cell r="BB97">
            <v>0</v>
          </cell>
        </row>
        <row r="98">
          <cell r="B98">
            <v>0</v>
          </cell>
          <cell r="C98">
            <v>0</v>
          </cell>
        </row>
        <row r="99">
          <cell r="B99">
            <v>0.88888888888888884</v>
          </cell>
          <cell r="C99">
            <v>0.51659451659451661</v>
          </cell>
        </row>
        <row r="100">
          <cell r="B100">
            <v>0.81825396825396834</v>
          </cell>
          <cell r="C100">
            <v>0.81825396825396834</v>
          </cell>
        </row>
        <row r="102">
          <cell r="C102">
            <v>1074</v>
          </cell>
        </row>
        <row r="103">
          <cell r="C103">
            <v>60</v>
          </cell>
        </row>
        <row r="104">
          <cell r="C104">
            <v>2</v>
          </cell>
        </row>
        <row r="105">
          <cell r="C105">
            <v>2</v>
          </cell>
        </row>
        <row r="106">
          <cell r="C106">
            <v>3</v>
          </cell>
        </row>
        <row r="107">
          <cell r="C107">
            <v>2</v>
          </cell>
        </row>
      </sheetData>
      <sheetData sheetId="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M_071</v>
          </cell>
          <cell r="C2" t="str">
            <v>mSTAT only</v>
          </cell>
          <cell r="D2" t="str">
            <v>n/a</v>
          </cell>
          <cell r="E2" t="str">
            <v>B</v>
          </cell>
          <cell r="F2">
            <v>45457</v>
          </cell>
        </row>
        <row r="3">
          <cell r="D3"/>
        </row>
        <row r="5">
          <cell r="D5">
            <v>0.64360119047619047</v>
          </cell>
          <cell r="E5">
            <v>0.60775560224089631</v>
          </cell>
        </row>
        <row r="6">
          <cell r="D6">
            <v>0.29896284271284274</v>
          </cell>
          <cell r="E6">
            <v>0.3153318903318903</v>
          </cell>
        </row>
        <row r="7">
          <cell r="D7">
            <v>0.50455026455026453</v>
          </cell>
          <cell r="E7">
            <v>0.48834656084656086</v>
          </cell>
        </row>
        <row r="8">
          <cell r="D8">
            <v>0.49195767195767193</v>
          </cell>
          <cell r="E8">
            <v>0.45386243386243386</v>
          </cell>
        </row>
        <row r="9">
          <cell r="D9">
            <v>0.4847679924242424</v>
          </cell>
          <cell r="E9">
            <v>0.46632412182044536</v>
          </cell>
        </row>
        <row r="12">
          <cell r="B12">
            <v>21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11/23</v>
          </cell>
          <cell r="I14">
            <v>4</v>
          </cell>
          <cell r="L14">
            <v>4</v>
          </cell>
          <cell r="O14">
            <v>3</v>
          </cell>
        </row>
        <row r="15">
          <cell r="B15" t="str">
            <v>3/24</v>
          </cell>
          <cell r="I15">
            <v>5</v>
          </cell>
          <cell r="L15">
            <v>3</v>
          </cell>
          <cell r="O15">
            <v>4</v>
          </cell>
        </row>
        <row r="16">
          <cell r="B16">
            <v>3</v>
          </cell>
          <cell r="I16">
            <v>4</v>
          </cell>
          <cell r="L16">
            <v>4</v>
          </cell>
          <cell r="O16">
            <v>4</v>
          </cell>
        </row>
        <row r="17">
          <cell r="B17">
            <v>0</v>
          </cell>
          <cell r="I17">
            <v>5</v>
          </cell>
          <cell r="L17">
            <v>4</v>
          </cell>
          <cell r="O17">
            <v>4</v>
          </cell>
        </row>
        <row r="18">
          <cell r="B18"/>
          <cell r="I18">
            <v>3</v>
          </cell>
          <cell r="L18">
            <v>4</v>
          </cell>
          <cell r="O18">
            <v>2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2</v>
          </cell>
        </row>
        <row r="20">
          <cell r="B20"/>
          <cell r="I20">
            <v>3</v>
          </cell>
          <cell r="L20">
            <v>3</v>
          </cell>
          <cell r="O20">
            <v>3</v>
          </cell>
        </row>
        <row r="21">
          <cell r="B21"/>
          <cell r="I21">
            <v>3</v>
          </cell>
          <cell r="L21">
            <v>3</v>
          </cell>
          <cell r="O21">
            <v>3</v>
          </cell>
        </row>
        <row r="22">
          <cell r="B22">
            <v>0</v>
          </cell>
          <cell r="I22">
            <v>4</v>
          </cell>
          <cell r="L22">
            <v>5</v>
          </cell>
          <cell r="O22">
            <v>3</v>
          </cell>
        </row>
        <row r="23">
          <cell r="I23">
            <v>5</v>
          </cell>
          <cell r="L23">
            <v>5</v>
          </cell>
          <cell r="O23">
            <v>4</v>
          </cell>
        </row>
        <row r="24">
          <cell r="I24">
            <v>0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0.75</v>
          </cell>
          <cell r="C31">
            <v>0.75</v>
          </cell>
        </row>
        <row r="32">
          <cell r="B32">
            <v>0.8125</v>
          </cell>
          <cell r="C32">
            <v>0.66911764705882359</v>
          </cell>
        </row>
        <row r="33">
          <cell r="B33">
            <v>0.62301587301587302</v>
          </cell>
          <cell r="C33">
            <v>0.62301587301587302</v>
          </cell>
        </row>
        <row r="52">
          <cell r="B52">
            <v>0.7</v>
          </cell>
          <cell r="C52">
            <v>0.7</v>
          </cell>
        </row>
        <row r="53">
          <cell r="B53">
            <v>0.25185185185185183</v>
          </cell>
          <cell r="C53">
            <v>0.25185185185185183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0.43518518518518517</v>
          </cell>
          <cell r="C55">
            <v>0.35416666666666669</v>
          </cell>
        </row>
        <row r="56">
          <cell r="B56">
            <v>0.63571428571428579</v>
          </cell>
          <cell r="C56">
            <v>0.63571428571428579</v>
          </cell>
        </row>
        <row r="58">
          <cell r="C58">
            <v>1200</v>
          </cell>
        </row>
        <row r="59">
          <cell r="C59">
            <v>50</v>
          </cell>
        </row>
        <row r="60">
          <cell r="C60">
            <v>2</v>
          </cell>
        </row>
        <row r="61">
          <cell r="C61">
            <v>3</v>
          </cell>
        </row>
        <row r="62">
          <cell r="C62">
            <v>3</v>
          </cell>
        </row>
        <row r="63">
          <cell r="C63">
            <v>3</v>
          </cell>
        </row>
        <row r="74">
          <cell r="B74">
            <v>0.24545454545454548</v>
          </cell>
          <cell r="C74">
            <v>0.24545454545454548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7.1428571428571425E-2</v>
          </cell>
          <cell r="C76">
            <v>7.1428571428571425E-2</v>
          </cell>
        </row>
        <row r="77">
          <cell r="B77">
            <v>0.45833333333333331</v>
          </cell>
          <cell r="C77">
            <v>0.52380952380952372</v>
          </cell>
        </row>
        <row r="78">
          <cell r="B78">
            <v>0.42063492063492064</v>
          </cell>
          <cell r="C78">
            <v>0.42063492063492064</v>
          </cell>
        </row>
        <row r="80">
          <cell r="C80">
            <v>1200</v>
          </cell>
        </row>
        <row r="81">
          <cell r="C81">
            <v>30</v>
          </cell>
        </row>
        <row r="82">
          <cell r="C82">
            <v>3</v>
          </cell>
        </row>
        <row r="83">
          <cell r="C83">
            <v>1</v>
          </cell>
        </row>
        <row r="84">
          <cell r="C84">
            <v>3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0.75</v>
          </cell>
          <cell r="C96">
            <v>0.75</v>
          </cell>
        </row>
        <row r="97">
          <cell r="B97">
            <v>0.25185185185185183</v>
          </cell>
          <cell r="C97">
            <v>0.25185185185185183</v>
          </cell>
          <cell r="AR97">
            <v>0</v>
          </cell>
          <cell r="AS97">
            <v>1</v>
          </cell>
          <cell r="AZ97">
            <v>1</v>
          </cell>
          <cell r="BB97">
            <v>1</v>
          </cell>
        </row>
        <row r="98">
          <cell r="B98">
            <v>0</v>
          </cell>
          <cell r="C98">
            <v>0</v>
          </cell>
        </row>
        <row r="99">
          <cell r="B99">
            <v>0.88888888888888884</v>
          </cell>
          <cell r="C99">
            <v>0.69841269841269826</v>
          </cell>
        </row>
        <row r="100">
          <cell r="B100">
            <v>0.56904761904761914</v>
          </cell>
          <cell r="C100">
            <v>0.56904761904761914</v>
          </cell>
        </row>
        <row r="102">
          <cell r="C102">
            <v>1397</v>
          </cell>
        </row>
        <row r="103">
          <cell r="C103">
            <v>50</v>
          </cell>
        </row>
        <row r="104">
          <cell r="C104">
            <v>3</v>
          </cell>
        </row>
        <row r="105">
          <cell r="C105">
            <v>3</v>
          </cell>
        </row>
        <row r="106">
          <cell r="C106">
            <v>4</v>
          </cell>
        </row>
        <row r="107">
          <cell r="C107">
            <v>3</v>
          </cell>
        </row>
      </sheetData>
      <sheetData sheetId="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M_070</v>
          </cell>
          <cell r="C2" t="str">
            <v>mSTAT only</v>
          </cell>
          <cell r="D2" t="str">
            <v>n/a</v>
          </cell>
          <cell r="E2" t="str">
            <v>A</v>
          </cell>
          <cell r="F2">
            <v>45461</v>
          </cell>
        </row>
        <row r="3">
          <cell r="D3"/>
        </row>
        <row r="5">
          <cell r="D5">
            <v>0.54985119047619047</v>
          </cell>
          <cell r="E5">
            <v>0.53790266106442575</v>
          </cell>
        </row>
        <row r="6">
          <cell r="D6">
            <v>0.41963383838383839</v>
          </cell>
          <cell r="E6">
            <v>0.42409812409812409</v>
          </cell>
        </row>
        <row r="7">
          <cell r="D7">
            <v>0.39645502645502645</v>
          </cell>
          <cell r="E7">
            <v>0.38997354497354497</v>
          </cell>
        </row>
        <row r="8">
          <cell r="D8">
            <v>0.28338624338624341</v>
          </cell>
          <cell r="E8">
            <v>0.30243386243386244</v>
          </cell>
        </row>
        <row r="9">
          <cell r="D9">
            <v>0.41233157467532466</v>
          </cell>
          <cell r="E9">
            <v>0.4136020481424893</v>
          </cell>
        </row>
        <row r="12">
          <cell r="B12">
            <v>20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11/21</v>
          </cell>
          <cell r="I14">
            <v>4</v>
          </cell>
          <cell r="L14">
            <v>4</v>
          </cell>
          <cell r="O14">
            <v>2</v>
          </cell>
        </row>
        <row r="15">
          <cell r="B15" t="str">
            <v>3/22</v>
          </cell>
          <cell r="I15">
            <v>4</v>
          </cell>
          <cell r="L15">
            <v>5</v>
          </cell>
          <cell r="O15">
            <v>1</v>
          </cell>
        </row>
        <row r="16">
          <cell r="B16">
            <v>24</v>
          </cell>
          <cell r="I16">
            <v>2</v>
          </cell>
          <cell r="L16">
            <v>3</v>
          </cell>
          <cell r="O16">
            <v>2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1</v>
          </cell>
        </row>
        <row r="18">
          <cell r="B18"/>
          <cell r="I18">
            <v>3</v>
          </cell>
          <cell r="L18">
            <v>2</v>
          </cell>
          <cell r="O18">
            <v>2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1</v>
          </cell>
        </row>
        <row r="20">
          <cell r="B20"/>
          <cell r="I20">
            <v>4</v>
          </cell>
          <cell r="L20">
            <v>4</v>
          </cell>
          <cell r="O20">
            <v>3</v>
          </cell>
        </row>
        <row r="21">
          <cell r="B21"/>
          <cell r="I21">
            <v>3</v>
          </cell>
          <cell r="L21">
            <v>5</v>
          </cell>
          <cell r="O21">
            <v>2</v>
          </cell>
        </row>
        <row r="22">
          <cell r="B22">
            <v>1</v>
          </cell>
          <cell r="I22">
            <v>2</v>
          </cell>
          <cell r="L22">
            <v>3</v>
          </cell>
          <cell r="O22">
            <v>1</v>
          </cell>
        </row>
        <row r="23">
          <cell r="I23">
            <v>4</v>
          </cell>
          <cell r="L23">
            <v>4</v>
          </cell>
          <cell r="O23">
            <v>1</v>
          </cell>
        </row>
        <row r="24">
          <cell r="I24">
            <v>2</v>
          </cell>
        </row>
        <row r="29">
          <cell r="B29">
            <v>0.88888888888888884</v>
          </cell>
          <cell r="C29">
            <v>0.88888888888888884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0.25</v>
          </cell>
          <cell r="C31">
            <v>0.25</v>
          </cell>
        </row>
        <row r="32">
          <cell r="B32">
            <v>0.6875</v>
          </cell>
          <cell r="C32">
            <v>0.63970588235294112</v>
          </cell>
        </row>
        <row r="33">
          <cell r="B33">
            <v>0.37301587301587302</v>
          </cell>
          <cell r="C33">
            <v>0.37301587301587302</v>
          </cell>
        </row>
        <row r="52">
          <cell r="B52">
            <v>0.75</v>
          </cell>
          <cell r="C52">
            <v>0.75</v>
          </cell>
        </row>
        <row r="53">
          <cell r="B53">
            <v>0.2074074074074074</v>
          </cell>
          <cell r="C53">
            <v>0.2074074074074074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0.24074074074074073</v>
          </cell>
          <cell r="C55">
            <v>0.20833333333333334</v>
          </cell>
        </row>
        <row r="56">
          <cell r="B56">
            <v>0.28412698412698412</v>
          </cell>
          <cell r="C56">
            <v>0.28412698412698412</v>
          </cell>
        </row>
        <row r="58">
          <cell r="C58">
            <v>1295</v>
          </cell>
        </row>
        <row r="59">
          <cell r="C59">
            <v>10</v>
          </cell>
        </row>
        <row r="60">
          <cell r="C60">
            <v>1</v>
          </cell>
        </row>
        <row r="61">
          <cell r="C61">
            <v>1</v>
          </cell>
        </row>
        <row r="62">
          <cell r="C62">
            <v>2</v>
          </cell>
        </row>
        <row r="63">
          <cell r="C63">
            <v>1</v>
          </cell>
        </row>
        <row r="74">
          <cell r="B74">
            <v>0.60909090909090913</v>
          </cell>
          <cell r="C74">
            <v>0.60909090909090913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0.25</v>
          </cell>
          <cell r="C76">
            <v>0.25</v>
          </cell>
        </row>
        <row r="77">
          <cell r="B77">
            <v>0.45833333333333331</v>
          </cell>
          <cell r="C77">
            <v>0.47619047619047616</v>
          </cell>
        </row>
        <row r="78">
          <cell r="B78">
            <v>0.3611111111111111</v>
          </cell>
          <cell r="C78">
            <v>0.3611111111111111</v>
          </cell>
        </row>
        <row r="80">
          <cell r="C80">
            <v>1156</v>
          </cell>
        </row>
        <row r="81">
          <cell r="C81">
            <v>10</v>
          </cell>
        </row>
        <row r="82">
          <cell r="C82">
            <v>1</v>
          </cell>
        </row>
        <row r="83">
          <cell r="C83">
            <v>1</v>
          </cell>
        </row>
        <row r="84">
          <cell r="C84">
            <v>2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0.25</v>
          </cell>
          <cell r="C96">
            <v>0.25</v>
          </cell>
        </row>
        <row r="97">
          <cell r="B97">
            <v>0.2074074074074074</v>
          </cell>
          <cell r="C97">
            <v>0.2074074074074074</v>
          </cell>
          <cell r="AR97">
            <v>1</v>
          </cell>
          <cell r="AS97">
            <v>0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0.22222222222222221</v>
          </cell>
          <cell r="C99">
            <v>0.31746031746031744</v>
          </cell>
        </row>
        <row r="100">
          <cell r="B100">
            <v>0.23730158730158726</v>
          </cell>
          <cell r="C100">
            <v>0.23730158730158726</v>
          </cell>
        </row>
        <row r="102">
          <cell r="C102">
            <v>1364</v>
          </cell>
        </row>
        <row r="103">
          <cell r="C103">
            <v>15</v>
          </cell>
        </row>
        <row r="104">
          <cell r="C104">
            <v>2</v>
          </cell>
        </row>
        <row r="105">
          <cell r="C105">
            <v>1</v>
          </cell>
        </row>
        <row r="106">
          <cell r="C106">
            <v>2</v>
          </cell>
        </row>
        <row r="107">
          <cell r="C107">
            <v>1</v>
          </cell>
        </row>
      </sheetData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M_069</v>
          </cell>
          <cell r="C2" t="str">
            <v>mSTAT only</v>
          </cell>
          <cell r="D2" t="str">
            <v>n/a</v>
          </cell>
          <cell r="E2" t="str">
            <v>B</v>
          </cell>
          <cell r="F2">
            <v>45461</v>
          </cell>
        </row>
        <row r="3">
          <cell r="D3"/>
        </row>
        <row r="5">
          <cell r="D5">
            <v>0.46775793650793646</v>
          </cell>
          <cell r="E5">
            <v>0.4695961718020541</v>
          </cell>
        </row>
        <row r="6">
          <cell r="D6">
            <v>0.37178932178932178</v>
          </cell>
          <cell r="E6">
            <v>0.40155122655122655</v>
          </cell>
        </row>
        <row r="7">
          <cell r="D7">
            <v>0.43783068783068779</v>
          </cell>
          <cell r="E7">
            <v>0.42949735449735449</v>
          </cell>
        </row>
        <row r="8">
          <cell r="D8">
            <v>0.33243386243386241</v>
          </cell>
          <cell r="E8">
            <v>0.33430976430976433</v>
          </cell>
        </row>
        <row r="9">
          <cell r="D9">
            <v>0.40245295214045218</v>
          </cell>
          <cell r="E9">
            <v>0.40873862929009991</v>
          </cell>
        </row>
        <row r="12">
          <cell r="B12">
            <v>23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8/19</v>
          </cell>
          <cell r="I14">
            <v>4</v>
          </cell>
          <cell r="L14">
            <v>3</v>
          </cell>
          <cell r="O14">
            <v>3</v>
          </cell>
        </row>
        <row r="15">
          <cell r="B15" t="str">
            <v>3/23</v>
          </cell>
          <cell r="I15">
            <v>4</v>
          </cell>
          <cell r="L15">
            <v>4</v>
          </cell>
          <cell r="O15">
            <v>3</v>
          </cell>
        </row>
        <row r="16">
          <cell r="B16">
            <v>12</v>
          </cell>
          <cell r="I16">
            <v>4</v>
          </cell>
          <cell r="L16">
            <v>2</v>
          </cell>
          <cell r="O16">
            <v>2</v>
          </cell>
        </row>
        <row r="17">
          <cell r="B17">
            <v>0</v>
          </cell>
          <cell r="I17">
            <v>4</v>
          </cell>
          <cell r="L17">
            <v>3</v>
          </cell>
          <cell r="O17">
            <v>4</v>
          </cell>
        </row>
        <row r="18">
          <cell r="B18"/>
          <cell r="I18">
            <v>4</v>
          </cell>
          <cell r="L18">
            <v>3</v>
          </cell>
          <cell r="O18">
            <v>2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3</v>
          </cell>
        </row>
        <row r="20">
          <cell r="B20"/>
          <cell r="I20">
            <v>4</v>
          </cell>
          <cell r="L20">
            <v>3</v>
          </cell>
          <cell r="O20">
            <v>3</v>
          </cell>
        </row>
        <row r="21">
          <cell r="B21"/>
          <cell r="I21">
            <v>3</v>
          </cell>
          <cell r="L21">
            <v>2</v>
          </cell>
          <cell r="O21">
            <v>2</v>
          </cell>
        </row>
        <row r="22">
          <cell r="B22">
            <v>0</v>
          </cell>
          <cell r="I22">
            <v>3</v>
          </cell>
          <cell r="L22">
            <v>3</v>
          </cell>
          <cell r="O22">
            <v>2</v>
          </cell>
        </row>
        <row r="23">
          <cell r="I23">
            <v>4</v>
          </cell>
          <cell r="L23">
            <v>4</v>
          </cell>
          <cell r="O23">
            <v>2</v>
          </cell>
        </row>
        <row r="24">
          <cell r="I24">
            <v>1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1</v>
          </cell>
        </row>
        <row r="31">
          <cell r="B31">
            <v>0.58333333333333326</v>
          </cell>
          <cell r="C31">
            <v>0.58333333333333326</v>
          </cell>
        </row>
        <row r="32">
          <cell r="B32">
            <v>0.625</v>
          </cell>
          <cell r="C32">
            <v>0.63235294117647056</v>
          </cell>
        </row>
        <row r="33">
          <cell r="B33">
            <v>0.27380952380952378</v>
          </cell>
          <cell r="C33">
            <v>0.27380952380952378</v>
          </cell>
        </row>
        <row r="52">
          <cell r="B52">
            <v>0.65</v>
          </cell>
          <cell r="C52">
            <v>0.65</v>
          </cell>
        </row>
        <row r="53">
          <cell r="B53">
            <v>0.27407407407407408</v>
          </cell>
          <cell r="C53">
            <v>0.27407407407407408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0.33333333333333331</v>
          </cell>
          <cell r="C55">
            <v>0.29166666666666669</v>
          </cell>
        </row>
        <row r="56">
          <cell r="B56">
            <v>0.43174603174603171</v>
          </cell>
          <cell r="C56">
            <v>0.43174603174603171</v>
          </cell>
        </row>
        <row r="58">
          <cell r="C58"/>
        </row>
        <row r="59">
          <cell r="C59">
            <v>20</v>
          </cell>
        </row>
        <row r="60">
          <cell r="C60">
            <v>2</v>
          </cell>
        </row>
        <row r="61">
          <cell r="C61">
            <v>2</v>
          </cell>
        </row>
        <row r="62">
          <cell r="C62">
            <v>2</v>
          </cell>
        </row>
        <row r="63">
          <cell r="C63">
            <v>1</v>
          </cell>
        </row>
        <row r="74">
          <cell r="B74">
            <v>0.33636363636363636</v>
          </cell>
          <cell r="C74">
            <v>0.33636363636363636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0.3214285714285714</v>
          </cell>
          <cell r="C76">
            <v>0.3214285714285714</v>
          </cell>
        </row>
        <row r="77">
          <cell r="B77">
            <v>0.33333333333333331</v>
          </cell>
          <cell r="C77">
            <v>0.45238095238095233</v>
          </cell>
        </row>
        <row r="78">
          <cell r="B78">
            <v>0.49603174603174605</v>
          </cell>
          <cell r="C78">
            <v>0.49603174603174605</v>
          </cell>
        </row>
        <row r="80">
          <cell r="C80">
            <v>1200</v>
          </cell>
        </row>
        <row r="81">
          <cell r="C81">
            <v>15</v>
          </cell>
        </row>
        <row r="82">
          <cell r="C82">
            <v>2</v>
          </cell>
        </row>
        <row r="83">
          <cell r="C83">
            <v>1</v>
          </cell>
        </row>
        <row r="84">
          <cell r="C84">
            <v>1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0.75</v>
          </cell>
          <cell r="C96">
            <v>0.75</v>
          </cell>
        </row>
        <row r="97">
          <cell r="B97">
            <v>0.27407407407407408</v>
          </cell>
          <cell r="C97">
            <v>0.27407407407407408</v>
          </cell>
          <cell r="AR97">
            <v>1</v>
          </cell>
          <cell r="AS97">
            <v>0</v>
          </cell>
          <cell r="AZ97">
            <v>1</v>
          </cell>
          <cell r="BB97">
            <v>1</v>
          </cell>
        </row>
        <row r="98">
          <cell r="B98">
            <v>0</v>
          </cell>
          <cell r="C98">
            <v>0</v>
          </cell>
        </row>
        <row r="99">
          <cell r="B99">
            <v>0.38888888888888884</v>
          </cell>
          <cell r="C99">
            <v>0.39826839826839827</v>
          </cell>
        </row>
        <row r="100">
          <cell r="B100">
            <v>0.24920634920634921</v>
          </cell>
          <cell r="C100">
            <v>0.24920634920634921</v>
          </cell>
        </row>
        <row r="102">
          <cell r="C102">
            <v>1320</v>
          </cell>
        </row>
        <row r="103">
          <cell r="C103">
            <v>17</v>
          </cell>
        </row>
        <row r="104">
          <cell r="C104">
            <v>2</v>
          </cell>
        </row>
        <row r="105">
          <cell r="C105">
            <v>1</v>
          </cell>
        </row>
        <row r="106">
          <cell r="C106">
            <v>1</v>
          </cell>
        </row>
        <row r="107">
          <cell r="C107">
            <v>1</v>
          </cell>
        </row>
      </sheetData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M_068</v>
          </cell>
          <cell r="C2" t="str">
            <v>mSTAT only</v>
          </cell>
          <cell r="D2" t="str">
            <v>n/a</v>
          </cell>
          <cell r="E2" t="str">
            <v>A</v>
          </cell>
          <cell r="F2">
            <v>45464</v>
          </cell>
        </row>
        <row r="3">
          <cell r="D3"/>
        </row>
        <row r="5">
          <cell r="D5">
            <v>0.50917658730158732</v>
          </cell>
          <cell r="E5">
            <v>0.4880368814192344</v>
          </cell>
        </row>
        <row r="6">
          <cell r="D6">
            <v>0.57728174603174598</v>
          </cell>
          <cell r="E6">
            <v>0.58174603174603168</v>
          </cell>
        </row>
        <row r="7">
          <cell r="D7">
            <v>0.37682539682539684</v>
          </cell>
          <cell r="E7">
            <v>0.38376984126984126</v>
          </cell>
        </row>
        <row r="8">
          <cell r="D8">
            <v>0.65380952380952384</v>
          </cell>
          <cell r="E8">
            <v>0.58887445887445888</v>
          </cell>
        </row>
        <row r="9">
          <cell r="D9">
            <v>0.52927331349206352</v>
          </cell>
          <cell r="E9">
            <v>0.51060680332739161</v>
          </cell>
        </row>
        <row r="12">
          <cell r="B12">
            <v>21</v>
          </cell>
        </row>
        <row r="13">
          <cell r="B13">
            <v>2</v>
          </cell>
          <cell r="I13">
            <v>5</v>
          </cell>
          <cell r="L13">
            <v>3</v>
          </cell>
          <cell r="O13">
            <v>3</v>
          </cell>
        </row>
        <row r="14">
          <cell r="B14" t="str">
            <v>9/20</v>
          </cell>
          <cell r="I14">
            <v>5</v>
          </cell>
          <cell r="L14">
            <v>2</v>
          </cell>
          <cell r="O14">
            <v>1</v>
          </cell>
        </row>
        <row r="15">
          <cell r="B15" t="str">
            <v>10/21</v>
          </cell>
          <cell r="I15">
            <v>4</v>
          </cell>
          <cell r="L15">
            <v>2</v>
          </cell>
          <cell r="O15">
            <v>1</v>
          </cell>
        </row>
        <row r="16">
          <cell r="B16">
            <v>48</v>
          </cell>
          <cell r="I16">
            <v>4</v>
          </cell>
          <cell r="L16">
            <v>3</v>
          </cell>
          <cell r="O16">
            <v>1</v>
          </cell>
        </row>
        <row r="17">
          <cell r="B17">
            <v>0</v>
          </cell>
          <cell r="I17">
            <v>4</v>
          </cell>
          <cell r="L17">
            <v>3</v>
          </cell>
          <cell r="O17">
            <v>5</v>
          </cell>
        </row>
        <row r="18">
          <cell r="B18"/>
          <cell r="I18">
            <v>3</v>
          </cell>
          <cell r="L18">
            <v>2</v>
          </cell>
          <cell r="O18">
            <v>1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1</v>
          </cell>
        </row>
        <row r="20">
          <cell r="B20"/>
          <cell r="I20">
            <v>1</v>
          </cell>
          <cell r="L20">
            <v>4</v>
          </cell>
          <cell r="O20">
            <v>3</v>
          </cell>
        </row>
        <row r="21">
          <cell r="B21"/>
          <cell r="I21">
            <v>4</v>
          </cell>
          <cell r="L21">
            <v>2</v>
          </cell>
          <cell r="O21">
            <v>1</v>
          </cell>
        </row>
        <row r="22">
          <cell r="B22">
            <v>1</v>
          </cell>
          <cell r="I22">
            <v>3</v>
          </cell>
          <cell r="L22">
            <v>2</v>
          </cell>
          <cell r="O22">
            <v>1</v>
          </cell>
        </row>
        <row r="23">
          <cell r="I23">
            <v>5</v>
          </cell>
          <cell r="L23">
            <v>5</v>
          </cell>
          <cell r="O23">
            <v>1</v>
          </cell>
        </row>
        <row r="24">
          <cell r="I24">
            <v>0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0.16666666666666666</v>
          </cell>
          <cell r="C31">
            <v>0.16666666666666666</v>
          </cell>
        </row>
        <row r="32">
          <cell r="B32">
            <v>0.6875</v>
          </cell>
          <cell r="C32">
            <v>0.60294117647058831</v>
          </cell>
        </row>
        <row r="33">
          <cell r="B33">
            <v>0.79365079365079361</v>
          </cell>
          <cell r="C33">
            <v>0.79365079365079361</v>
          </cell>
        </row>
        <row r="52">
          <cell r="B52">
            <v>0.47222222222222221</v>
          </cell>
          <cell r="C52">
            <v>0.55555555555555558</v>
          </cell>
        </row>
        <row r="53">
          <cell r="B53">
            <v>0.24444444444444446</v>
          </cell>
          <cell r="C53">
            <v>0.24444444444444446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</v>
          </cell>
          <cell r="C54">
            <v>0</v>
          </cell>
        </row>
        <row r="55">
          <cell r="B55">
            <v>0.3611111111111111</v>
          </cell>
          <cell r="C55">
            <v>0.3125</v>
          </cell>
        </row>
        <row r="56">
          <cell r="B56">
            <v>0.80634920634920648</v>
          </cell>
          <cell r="C56">
            <v>0.80634920634920648</v>
          </cell>
        </row>
        <row r="58">
          <cell r="C58">
            <v>1200</v>
          </cell>
        </row>
        <row r="59">
          <cell r="C59">
            <v>60</v>
          </cell>
        </row>
        <row r="60">
          <cell r="C60">
            <v>3</v>
          </cell>
        </row>
        <row r="61">
          <cell r="C61">
            <v>2</v>
          </cell>
        </row>
        <row r="62">
          <cell r="C62">
            <v>4</v>
          </cell>
        </row>
        <row r="63">
          <cell r="C63">
            <v>2</v>
          </cell>
        </row>
        <row r="74">
          <cell r="B74">
            <v>0.7</v>
          </cell>
          <cell r="C74">
            <v>0.7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0.3214285714285714</v>
          </cell>
          <cell r="C76">
            <v>0.3214285714285714</v>
          </cell>
        </row>
        <row r="77">
          <cell r="B77">
            <v>0.45833333333333331</v>
          </cell>
          <cell r="C77">
            <v>0.47619047619047616</v>
          </cell>
        </row>
        <row r="78">
          <cell r="B78">
            <v>0.82936507936507919</v>
          </cell>
          <cell r="C78">
            <v>0.82936507936507919</v>
          </cell>
        </row>
        <row r="80">
          <cell r="C80">
            <v>1200</v>
          </cell>
        </row>
        <row r="81">
          <cell r="C81">
            <v>50</v>
          </cell>
        </row>
        <row r="82">
          <cell r="C82">
            <v>3</v>
          </cell>
        </row>
        <row r="83">
          <cell r="C83">
            <v>3</v>
          </cell>
        </row>
        <row r="84">
          <cell r="C84">
            <v>4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0.75</v>
          </cell>
          <cell r="C96">
            <v>0.75</v>
          </cell>
        </row>
        <row r="97">
          <cell r="B97">
            <v>0.24444444444444446</v>
          </cell>
          <cell r="C97">
            <v>0.24444444444444446</v>
          </cell>
          <cell r="AR97">
            <v>1</v>
          </cell>
          <cell r="AS97">
            <v>1</v>
          </cell>
          <cell r="AZ97">
            <v>1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0.88888888888888884</v>
          </cell>
          <cell r="C99">
            <v>0.56421356421356428</v>
          </cell>
        </row>
        <row r="100">
          <cell r="B100">
            <v>0.88571428571428568</v>
          </cell>
          <cell r="C100">
            <v>0.88571428571428568</v>
          </cell>
        </row>
        <row r="102">
          <cell r="C102">
            <v>1200</v>
          </cell>
        </row>
        <row r="103">
          <cell r="C103">
            <v>65</v>
          </cell>
        </row>
        <row r="104">
          <cell r="C104">
            <v>3</v>
          </cell>
        </row>
        <row r="105">
          <cell r="C105">
            <v>2</v>
          </cell>
        </row>
        <row r="106">
          <cell r="C106">
            <v>4</v>
          </cell>
        </row>
        <row r="107">
          <cell r="C107">
            <v>3</v>
          </cell>
        </row>
      </sheetData>
      <sheetData sheetId="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M_067</v>
          </cell>
          <cell r="C2" t="str">
            <v>mSTAT only</v>
          </cell>
          <cell r="D2" t="str">
            <v>n/a</v>
          </cell>
          <cell r="E2" t="str">
            <v>B</v>
          </cell>
          <cell r="F2">
            <v>45463</v>
          </cell>
        </row>
        <row r="3">
          <cell r="D3"/>
        </row>
        <row r="5">
          <cell r="D5">
            <v>0.44816468253968256</v>
          </cell>
          <cell r="E5">
            <v>0.42886321195144728</v>
          </cell>
        </row>
        <row r="6">
          <cell r="D6">
            <v>0.30605158730158727</v>
          </cell>
          <cell r="E6">
            <v>0.31051587301587302</v>
          </cell>
        </row>
        <row r="7">
          <cell r="D7">
            <v>0.67280423280423274</v>
          </cell>
          <cell r="E7">
            <v>0.66447089947089943</v>
          </cell>
        </row>
        <row r="8">
          <cell r="D8">
            <v>0.60316137566137562</v>
          </cell>
          <cell r="E8">
            <v>0.55987133237133224</v>
          </cell>
        </row>
        <row r="9">
          <cell r="D9">
            <v>0.50754546957671953</v>
          </cell>
          <cell r="E9">
            <v>0.49093032920238799</v>
          </cell>
        </row>
        <row r="12">
          <cell r="B12">
            <v>19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10/22</v>
          </cell>
          <cell r="I14">
            <v>4</v>
          </cell>
          <cell r="L14">
            <v>4</v>
          </cell>
          <cell r="O14">
            <v>2</v>
          </cell>
        </row>
        <row r="15">
          <cell r="B15" t="str">
            <v>5/23</v>
          </cell>
          <cell r="I15">
            <v>4</v>
          </cell>
          <cell r="L15">
            <v>4</v>
          </cell>
          <cell r="O15">
            <v>2</v>
          </cell>
        </row>
        <row r="16">
          <cell r="B16">
            <v>12</v>
          </cell>
          <cell r="I16">
            <v>2</v>
          </cell>
          <cell r="L16">
            <v>4</v>
          </cell>
          <cell r="O16">
            <v>3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4</v>
          </cell>
        </row>
        <row r="18">
          <cell r="B18"/>
          <cell r="I18">
            <v>2</v>
          </cell>
          <cell r="L18">
            <v>2</v>
          </cell>
          <cell r="O18">
            <v>3</v>
          </cell>
        </row>
        <row r="19">
          <cell r="B19">
            <v>0</v>
          </cell>
          <cell r="I19">
            <v>4</v>
          </cell>
          <cell r="L19">
            <v>4</v>
          </cell>
          <cell r="O19">
            <v>2</v>
          </cell>
        </row>
        <row r="20">
          <cell r="B20"/>
          <cell r="I20">
            <v>2</v>
          </cell>
          <cell r="L20">
            <v>2</v>
          </cell>
          <cell r="O20">
            <v>3</v>
          </cell>
        </row>
        <row r="21">
          <cell r="B21"/>
          <cell r="I21">
            <v>2</v>
          </cell>
          <cell r="L21">
            <v>2</v>
          </cell>
          <cell r="O21">
            <v>2</v>
          </cell>
        </row>
        <row r="22">
          <cell r="B22">
            <v>1</v>
          </cell>
          <cell r="I22">
            <v>2</v>
          </cell>
          <cell r="L22">
            <v>3</v>
          </cell>
          <cell r="O22">
            <v>2</v>
          </cell>
        </row>
        <row r="23">
          <cell r="I23">
            <v>4</v>
          </cell>
          <cell r="L23">
            <v>4</v>
          </cell>
          <cell r="O23">
            <v>2</v>
          </cell>
        </row>
        <row r="24">
          <cell r="I24">
            <v>1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0.41666666666666663</v>
          </cell>
          <cell r="C31">
            <v>0.41666666666666663</v>
          </cell>
        </row>
        <row r="32">
          <cell r="B32">
            <v>0.5625</v>
          </cell>
          <cell r="C32">
            <v>0.48529411764705882</v>
          </cell>
        </row>
        <row r="33">
          <cell r="B33">
            <v>0.42460317460317459</v>
          </cell>
          <cell r="C33">
            <v>0.42460317460317459</v>
          </cell>
        </row>
        <row r="52">
          <cell r="B52">
            <v>0.75</v>
          </cell>
          <cell r="C52">
            <v>0.75</v>
          </cell>
        </row>
        <row r="53">
          <cell r="B53">
            <v>0.4148148148148148</v>
          </cell>
          <cell r="C53">
            <v>0.4148148148148148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>
            <v>0</v>
          </cell>
          <cell r="BF53">
            <v>1</v>
          </cell>
        </row>
        <row r="54">
          <cell r="B54">
            <v>0.5</v>
          </cell>
          <cell r="C54">
            <v>0.5</v>
          </cell>
        </row>
        <row r="55">
          <cell r="B55">
            <v>0.83333333333333337</v>
          </cell>
          <cell r="C55">
            <v>0.79166666666666663</v>
          </cell>
        </row>
        <row r="56">
          <cell r="B56">
            <v>0.86587301587301579</v>
          </cell>
          <cell r="C56">
            <v>0.86587301587301579</v>
          </cell>
        </row>
        <row r="58">
          <cell r="C58">
            <v>1029</v>
          </cell>
        </row>
        <row r="59">
          <cell r="C59">
            <v>70</v>
          </cell>
        </row>
        <row r="60">
          <cell r="C60">
            <v>2</v>
          </cell>
        </row>
        <row r="61">
          <cell r="C61">
            <v>3</v>
          </cell>
        </row>
        <row r="62">
          <cell r="C62">
            <v>4</v>
          </cell>
        </row>
        <row r="63">
          <cell r="C63">
            <v>4</v>
          </cell>
        </row>
        <row r="74">
          <cell r="B74">
            <v>0</v>
          </cell>
          <cell r="C74">
            <v>0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0.3214285714285714</v>
          </cell>
          <cell r="C76">
            <v>0.3214285714285714</v>
          </cell>
        </row>
        <row r="77">
          <cell r="B77">
            <v>0.45833333333333331</v>
          </cell>
          <cell r="C77">
            <v>0.47619047619047616</v>
          </cell>
        </row>
        <row r="78">
          <cell r="B78">
            <v>0.44444444444444442</v>
          </cell>
          <cell r="C78">
            <v>0.44444444444444442</v>
          </cell>
        </row>
        <row r="80">
          <cell r="C80">
            <v>961</v>
          </cell>
        </row>
        <row r="81">
          <cell r="C81">
            <v>20</v>
          </cell>
        </row>
        <row r="82">
          <cell r="C82">
            <v>2</v>
          </cell>
        </row>
        <row r="83">
          <cell r="C83">
            <v>1</v>
          </cell>
        </row>
        <row r="84">
          <cell r="C84">
            <v>2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0.4375</v>
          </cell>
          <cell r="C96">
            <v>0.4375</v>
          </cell>
        </row>
        <row r="97">
          <cell r="B97">
            <v>0.4148148148148148</v>
          </cell>
          <cell r="C97">
            <v>0.4148148148148148</v>
          </cell>
          <cell r="AR97">
            <v>1</v>
          </cell>
          <cell r="AS97">
            <v>1</v>
          </cell>
          <cell r="AZ97">
            <v>1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0.88888888888888884</v>
          </cell>
          <cell r="C99">
            <v>0.67243867243867239</v>
          </cell>
        </row>
        <row r="100">
          <cell r="B100">
            <v>0.77460317460317452</v>
          </cell>
          <cell r="C100">
            <v>0.77460317460317452</v>
          </cell>
        </row>
        <row r="102">
          <cell r="C102">
            <v>878</v>
          </cell>
        </row>
        <row r="103">
          <cell r="C103">
            <v>40</v>
          </cell>
        </row>
        <row r="104">
          <cell r="C104">
            <v>2</v>
          </cell>
        </row>
        <row r="105">
          <cell r="C105">
            <v>2</v>
          </cell>
        </row>
        <row r="106">
          <cell r="C106">
            <v>3</v>
          </cell>
        </row>
        <row r="107">
          <cell r="C107">
            <v>3</v>
          </cell>
        </row>
      </sheetData>
      <sheetData sheetId="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M_066</v>
          </cell>
          <cell r="C2" t="str">
            <v>mSTAT only</v>
          </cell>
          <cell r="D2" t="str">
            <v>n/a</v>
          </cell>
          <cell r="E2" t="str">
            <v>A</v>
          </cell>
          <cell r="F2">
            <v>45496</v>
          </cell>
        </row>
        <row r="3">
          <cell r="D3"/>
        </row>
        <row r="5">
          <cell r="D5">
            <v>0.37301587301587302</v>
          </cell>
          <cell r="E5">
            <v>0.36014822595704948</v>
          </cell>
        </row>
        <row r="6">
          <cell r="D6">
            <v>0.40946518759018757</v>
          </cell>
          <cell r="E6">
            <v>0.42062590187590188</v>
          </cell>
        </row>
        <row r="7">
          <cell r="D7">
            <v>0.61883597883597885</v>
          </cell>
          <cell r="E7">
            <v>0.57941798941798939</v>
          </cell>
        </row>
        <row r="8">
          <cell r="D8">
            <v>0.56703703703703701</v>
          </cell>
          <cell r="E8">
            <v>0.5561063011063011</v>
          </cell>
        </row>
        <row r="9">
          <cell r="D9">
            <v>0.49208851911976914</v>
          </cell>
          <cell r="E9">
            <v>0.4790746045893105</v>
          </cell>
        </row>
        <row r="12">
          <cell r="B12">
            <v>20</v>
          </cell>
        </row>
        <row r="13">
          <cell r="B13">
            <v>1</v>
          </cell>
          <cell r="I13">
            <v>5</v>
          </cell>
          <cell r="L13">
            <v>5</v>
          </cell>
          <cell r="O13">
            <v>5</v>
          </cell>
        </row>
        <row r="14">
          <cell r="B14" t="str">
            <v>10/23</v>
          </cell>
          <cell r="I14">
            <v>5</v>
          </cell>
          <cell r="L14">
            <v>5</v>
          </cell>
          <cell r="O14">
            <v>1</v>
          </cell>
        </row>
        <row r="15">
          <cell r="B15" t="str">
            <v>3/24</v>
          </cell>
          <cell r="I15">
            <v>4</v>
          </cell>
          <cell r="L15">
            <v>2</v>
          </cell>
          <cell r="O15">
            <v>1</v>
          </cell>
        </row>
        <row r="16">
          <cell r="B16">
            <v>12</v>
          </cell>
          <cell r="I16">
            <v>4</v>
          </cell>
          <cell r="L16">
            <v>3</v>
          </cell>
          <cell r="O16">
            <v>3</v>
          </cell>
        </row>
        <row r="17">
          <cell r="B17">
            <v>0</v>
          </cell>
          <cell r="I17">
            <v>5</v>
          </cell>
          <cell r="L17">
            <v>4</v>
          </cell>
          <cell r="O17">
            <v>5</v>
          </cell>
        </row>
        <row r="18">
          <cell r="B18"/>
          <cell r="I18">
            <v>3</v>
          </cell>
          <cell r="L18">
            <v>4</v>
          </cell>
          <cell r="O18">
            <v>1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1</v>
          </cell>
        </row>
        <row r="20">
          <cell r="B20"/>
          <cell r="I20">
            <v>3</v>
          </cell>
          <cell r="L20">
            <v>2</v>
          </cell>
          <cell r="O20">
            <v>3</v>
          </cell>
        </row>
        <row r="21">
          <cell r="B21"/>
          <cell r="I21">
            <v>4</v>
          </cell>
          <cell r="L21">
            <v>4</v>
          </cell>
          <cell r="O21">
            <v>1</v>
          </cell>
        </row>
        <row r="22">
          <cell r="B22">
            <v>0</v>
          </cell>
          <cell r="I22">
            <v>4</v>
          </cell>
          <cell r="L22">
            <v>5</v>
          </cell>
          <cell r="O22">
            <v>1</v>
          </cell>
        </row>
        <row r="23">
          <cell r="I23">
            <v>5</v>
          </cell>
          <cell r="L23">
            <v>5</v>
          </cell>
          <cell r="O23">
            <v>1</v>
          </cell>
        </row>
        <row r="24">
          <cell r="I24">
            <v>0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</v>
          </cell>
          <cell r="C31">
            <v>0</v>
          </cell>
        </row>
        <row r="32">
          <cell r="B32">
            <v>0.625</v>
          </cell>
          <cell r="C32">
            <v>0.57352941176470584</v>
          </cell>
        </row>
        <row r="33">
          <cell r="B33">
            <v>0.4781746031746032</v>
          </cell>
          <cell r="C33">
            <v>0.4781746031746032</v>
          </cell>
        </row>
        <row r="52">
          <cell r="B52">
            <v>0.72499999999999998</v>
          </cell>
          <cell r="C52">
            <v>0.68333333333333335</v>
          </cell>
        </row>
        <row r="53">
          <cell r="B53">
            <v>0.54074074074074074</v>
          </cell>
          <cell r="C53">
            <v>0.54074074074074074</v>
          </cell>
          <cell r="AU53">
            <v>0</v>
          </cell>
          <cell r="AV53">
            <v>1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0.51851851851851849</v>
          </cell>
          <cell r="C55">
            <v>0.36309523809523808</v>
          </cell>
        </row>
        <row r="56">
          <cell r="B56">
            <v>0.80992063492063482</v>
          </cell>
          <cell r="C56">
            <v>0.80992063492063482</v>
          </cell>
        </row>
        <row r="58">
          <cell r="C58">
            <v>1200</v>
          </cell>
        </row>
        <row r="59">
          <cell r="C59">
            <v>50</v>
          </cell>
        </row>
        <row r="60">
          <cell r="C60">
            <v>2.5</v>
          </cell>
        </row>
        <row r="61">
          <cell r="C61">
            <v>2</v>
          </cell>
        </row>
        <row r="62">
          <cell r="C62">
            <v>2.5</v>
          </cell>
        </row>
        <row r="63">
          <cell r="C63">
            <v>2.5</v>
          </cell>
        </row>
        <row r="74">
          <cell r="B74">
            <v>0.35909090909090913</v>
          </cell>
          <cell r="C74">
            <v>0.35909090909090913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0.2857142857142857</v>
          </cell>
          <cell r="C76">
            <v>0.2857142857142857</v>
          </cell>
        </row>
        <row r="77">
          <cell r="B77">
            <v>0.39583333333333331</v>
          </cell>
          <cell r="C77">
            <v>0.44047619047619047</v>
          </cell>
        </row>
        <row r="78">
          <cell r="B78">
            <v>0.59722222222222221</v>
          </cell>
          <cell r="C78">
            <v>0.59722222222222221</v>
          </cell>
        </row>
        <row r="80">
          <cell r="C80">
            <v>995</v>
          </cell>
        </row>
        <row r="81">
          <cell r="C81">
            <v>30</v>
          </cell>
        </row>
        <row r="82">
          <cell r="C82">
            <v>2</v>
          </cell>
        </row>
        <row r="83">
          <cell r="C83">
            <v>1.5</v>
          </cell>
        </row>
        <row r="84">
          <cell r="C84">
            <v>2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0.66666666666666663</v>
          </cell>
          <cell r="C96">
            <v>0.66666666666666663</v>
          </cell>
        </row>
        <row r="97">
          <cell r="B97">
            <v>0.54074074074074074</v>
          </cell>
          <cell r="C97">
            <v>0.54074074074074074</v>
          </cell>
          <cell r="AR97">
            <v>0</v>
          </cell>
          <cell r="AS97">
            <v>1</v>
          </cell>
          <cell r="AZ97">
            <v>1</v>
          </cell>
          <cell r="BB97">
            <v>1</v>
          </cell>
        </row>
        <row r="98">
          <cell r="B98">
            <v>0.5</v>
          </cell>
          <cell r="C98">
            <v>0.5</v>
          </cell>
        </row>
        <row r="99">
          <cell r="B99">
            <v>0.45833333333333331</v>
          </cell>
          <cell r="C99">
            <v>0.40367965367965364</v>
          </cell>
        </row>
        <row r="100">
          <cell r="B100">
            <v>0.6694444444444444</v>
          </cell>
          <cell r="C100">
            <v>0.6694444444444444</v>
          </cell>
        </row>
        <row r="102">
          <cell r="C102">
            <v>1275</v>
          </cell>
        </row>
        <row r="103">
          <cell r="C103">
            <v>35</v>
          </cell>
        </row>
        <row r="104">
          <cell r="C104">
            <v>2</v>
          </cell>
        </row>
        <row r="105">
          <cell r="C105">
            <v>2</v>
          </cell>
        </row>
        <row r="106">
          <cell r="C106">
            <v>2</v>
          </cell>
        </row>
        <row r="107">
          <cell r="C107">
            <v>2</v>
          </cell>
        </row>
      </sheetData>
      <sheetData sheetId="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M_065</v>
          </cell>
          <cell r="C2" t="str">
            <v>mSTAT only</v>
          </cell>
          <cell r="D2" t="str">
            <v>n/a</v>
          </cell>
          <cell r="E2" t="str">
            <v>B</v>
          </cell>
          <cell r="F2">
            <v>45496</v>
          </cell>
        </row>
        <row r="3">
          <cell r="D3"/>
        </row>
        <row r="5">
          <cell r="D5">
            <v>0.52777777777777779</v>
          </cell>
          <cell r="E5">
            <v>0.50531045751633985</v>
          </cell>
        </row>
        <row r="6">
          <cell r="D6">
            <v>0.30784632034632031</v>
          </cell>
          <cell r="E6">
            <v>0.33760822510822508</v>
          </cell>
        </row>
        <row r="7">
          <cell r="D7">
            <v>0.55275132275132277</v>
          </cell>
          <cell r="E7">
            <v>0.54441798941798947</v>
          </cell>
        </row>
        <row r="8">
          <cell r="D8">
            <v>0.64132275132275141</v>
          </cell>
          <cell r="E8">
            <v>0.58591149591149594</v>
          </cell>
        </row>
        <row r="9">
          <cell r="D9">
            <v>0.5074245430495431</v>
          </cell>
          <cell r="E9">
            <v>0.49331204198851258</v>
          </cell>
        </row>
        <row r="12">
          <cell r="B12">
            <v>22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5/23</v>
          </cell>
          <cell r="I14">
            <v>4</v>
          </cell>
          <cell r="L14">
            <v>4</v>
          </cell>
          <cell r="O14">
            <v>3</v>
          </cell>
        </row>
        <row r="15">
          <cell r="B15" t="str">
            <v>9/23</v>
          </cell>
          <cell r="I15">
            <v>3</v>
          </cell>
          <cell r="L15">
            <v>3</v>
          </cell>
          <cell r="O15">
            <v>2</v>
          </cell>
        </row>
        <row r="16">
          <cell r="B16">
            <v>12</v>
          </cell>
          <cell r="I16">
            <v>4</v>
          </cell>
          <cell r="L16">
            <v>3</v>
          </cell>
          <cell r="O16">
            <v>4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5</v>
          </cell>
        </row>
        <row r="18">
          <cell r="B18"/>
          <cell r="I18">
            <v>4</v>
          </cell>
          <cell r="L18">
            <v>4</v>
          </cell>
          <cell r="O18">
            <v>4</v>
          </cell>
        </row>
        <row r="19">
          <cell r="B19">
            <v>0</v>
          </cell>
          <cell r="I19">
            <v>5</v>
          </cell>
          <cell r="L19">
            <v>5</v>
          </cell>
          <cell r="O19">
            <v>1</v>
          </cell>
        </row>
        <row r="20">
          <cell r="B20"/>
          <cell r="I20">
            <v>3</v>
          </cell>
          <cell r="L20">
            <v>4</v>
          </cell>
          <cell r="O20">
            <v>2</v>
          </cell>
        </row>
        <row r="21">
          <cell r="B21"/>
          <cell r="I21">
            <v>4</v>
          </cell>
          <cell r="L21">
            <v>3</v>
          </cell>
          <cell r="O21">
            <v>2</v>
          </cell>
        </row>
        <row r="22">
          <cell r="B22">
            <v>0</v>
          </cell>
          <cell r="I22">
            <v>3</v>
          </cell>
          <cell r="L22">
            <v>4</v>
          </cell>
          <cell r="O22">
            <v>3</v>
          </cell>
        </row>
        <row r="23">
          <cell r="I23">
            <v>4</v>
          </cell>
          <cell r="L23">
            <v>5</v>
          </cell>
          <cell r="O23">
            <v>3</v>
          </cell>
        </row>
        <row r="24">
          <cell r="I24">
            <v>0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1</v>
          </cell>
        </row>
        <row r="31">
          <cell r="B31">
            <v>0.16666666666666666</v>
          </cell>
          <cell r="C31">
            <v>0.16666666666666666</v>
          </cell>
        </row>
        <row r="32">
          <cell r="B32">
            <v>0.75</v>
          </cell>
          <cell r="C32">
            <v>0.66013071895424846</v>
          </cell>
        </row>
        <row r="33">
          <cell r="B33">
            <v>0.80555555555555547</v>
          </cell>
          <cell r="C33">
            <v>0.80555555555555547</v>
          </cell>
        </row>
        <row r="52">
          <cell r="B52">
            <v>0.75</v>
          </cell>
          <cell r="C52">
            <v>0.75</v>
          </cell>
        </row>
        <row r="53">
          <cell r="B53">
            <v>0.71851851851851867</v>
          </cell>
          <cell r="C53">
            <v>0.71851851851851867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>
            <v>0</v>
          </cell>
          <cell r="BF53">
            <v>0</v>
          </cell>
        </row>
        <row r="54">
          <cell r="B54">
            <v>0</v>
          </cell>
          <cell r="C54">
            <v>0</v>
          </cell>
        </row>
        <row r="55">
          <cell r="B55">
            <v>0.5</v>
          </cell>
          <cell r="C55">
            <v>0.45833333333333331</v>
          </cell>
        </row>
        <row r="56">
          <cell r="B56">
            <v>0.79523809523809519</v>
          </cell>
          <cell r="C56">
            <v>0.79523809523809519</v>
          </cell>
        </row>
        <row r="58">
          <cell r="C58">
            <v>1200</v>
          </cell>
        </row>
        <row r="59">
          <cell r="C59">
            <v>80</v>
          </cell>
        </row>
        <row r="60">
          <cell r="C60">
            <v>4</v>
          </cell>
        </row>
        <row r="61">
          <cell r="C61">
            <v>4</v>
          </cell>
        </row>
        <row r="62">
          <cell r="C62">
            <v>4</v>
          </cell>
        </row>
        <row r="63">
          <cell r="C63">
            <v>4</v>
          </cell>
        </row>
        <row r="74">
          <cell r="B74">
            <v>0.29090909090909089</v>
          </cell>
          <cell r="C74">
            <v>0.29090909090909089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0.3214285714285714</v>
          </cell>
          <cell r="C76">
            <v>0.3214285714285714</v>
          </cell>
        </row>
        <row r="77">
          <cell r="B77">
            <v>0.33333333333333331</v>
          </cell>
          <cell r="C77">
            <v>0.45238095238095233</v>
          </cell>
        </row>
        <row r="78">
          <cell r="B78">
            <v>0.2857142857142857</v>
          </cell>
          <cell r="C78">
            <v>0.2857142857142857</v>
          </cell>
        </row>
        <row r="80">
          <cell r="C80">
            <v>1200</v>
          </cell>
        </row>
        <row r="81">
          <cell r="C81">
            <v>20</v>
          </cell>
        </row>
        <row r="82">
          <cell r="C82">
            <v>2</v>
          </cell>
        </row>
        <row r="83">
          <cell r="C83">
            <v>1</v>
          </cell>
        </row>
        <row r="84">
          <cell r="C84">
            <v>2</v>
          </cell>
        </row>
        <row r="85">
          <cell r="C85">
            <v>1</v>
          </cell>
        </row>
        <row r="89">
          <cell r="C89">
            <v>0</v>
          </cell>
        </row>
        <row r="96">
          <cell r="B96">
            <v>0.75</v>
          </cell>
          <cell r="C96">
            <v>0.75</v>
          </cell>
        </row>
        <row r="97">
          <cell r="B97">
            <v>0.71851851851851867</v>
          </cell>
          <cell r="C97">
            <v>0.71851851851851867</v>
          </cell>
          <cell r="AR97">
            <v>1</v>
          </cell>
          <cell r="AS97">
            <v>1</v>
          </cell>
          <cell r="AZ97">
            <v>0</v>
          </cell>
          <cell r="BB97">
            <v>0</v>
          </cell>
        </row>
        <row r="98">
          <cell r="B98">
            <v>0</v>
          </cell>
          <cell r="C98">
            <v>0</v>
          </cell>
        </row>
        <row r="99">
          <cell r="B99">
            <v>0.88888888888888884</v>
          </cell>
          <cell r="C99">
            <v>0.61183261183261184</v>
          </cell>
        </row>
        <row r="100">
          <cell r="B100">
            <v>0.84920634920634919</v>
          </cell>
          <cell r="C100">
            <v>0.84920634920634919</v>
          </cell>
        </row>
        <row r="102">
          <cell r="C102">
            <v>1200</v>
          </cell>
        </row>
        <row r="103">
          <cell r="C103">
            <v>70</v>
          </cell>
        </row>
        <row r="104">
          <cell r="C104">
            <v>4</v>
          </cell>
        </row>
        <row r="105">
          <cell r="C105">
            <v>3</v>
          </cell>
        </row>
        <row r="106">
          <cell r="C106">
            <v>4</v>
          </cell>
        </row>
        <row r="107">
          <cell r="C107">
            <v>4</v>
          </cell>
        </row>
      </sheetData>
      <sheetData sheetId="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M_064</v>
          </cell>
          <cell r="C2" t="str">
            <v>mSTAT only</v>
          </cell>
          <cell r="D2" t="str">
            <v>n/a</v>
          </cell>
          <cell r="E2" t="str">
            <v>A</v>
          </cell>
          <cell r="F2">
            <v>45503</v>
          </cell>
        </row>
        <row r="3">
          <cell r="D3"/>
        </row>
        <row r="5">
          <cell r="D5">
            <v>0.39335317460317459</v>
          </cell>
          <cell r="E5">
            <v>0.37497082166199813</v>
          </cell>
        </row>
        <row r="6">
          <cell r="D6">
            <v>0.45706168831168831</v>
          </cell>
          <cell r="E6">
            <v>0.43622835497835494</v>
          </cell>
        </row>
        <row r="7">
          <cell r="D7">
            <v>0.46335978835978836</v>
          </cell>
          <cell r="E7">
            <v>0.44715608465608464</v>
          </cell>
        </row>
        <row r="8">
          <cell r="D8">
            <v>0.55584656084656081</v>
          </cell>
          <cell r="E8">
            <v>0.48449013949013953</v>
          </cell>
        </row>
        <row r="9">
          <cell r="D9">
            <v>0.46740530303030303</v>
          </cell>
          <cell r="E9">
            <v>0.43571135019664431</v>
          </cell>
        </row>
        <row r="12">
          <cell r="B12">
            <v>22</v>
          </cell>
        </row>
        <row r="13">
          <cell r="B13">
            <v>1</v>
          </cell>
          <cell r="I13">
            <v>4</v>
          </cell>
          <cell r="L13">
            <v>4</v>
          </cell>
          <cell r="O13">
            <v>4</v>
          </cell>
        </row>
        <row r="14">
          <cell r="B14" t="str">
            <v>4/24</v>
          </cell>
          <cell r="I14">
            <v>4</v>
          </cell>
          <cell r="L14">
            <v>3</v>
          </cell>
          <cell r="O14">
            <v>2</v>
          </cell>
        </row>
        <row r="15">
          <cell r="B15" t="str">
            <v>8/24</v>
          </cell>
          <cell r="I15">
            <v>3</v>
          </cell>
          <cell r="L15">
            <v>4</v>
          </cell>
          <cell r="O15">
            <v>2</v>
          </cell>
        </row>
        <row r="16">
          <cell r="B16">
            <v>12</v>
          </cell>
          <cell r="I16">
            <v>4</v>
          </cell>
          <cell r="L16">
            <v>3</v>
          </cell>
          <cell r="O16">
            <v>1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4</v>
          </cell>
        </row>
        <row r="18">
          <cell r="B18"/>
          <cell r="I18">
            <v>3</v>
          </cell>
          <cell r="L18">
            <v>4</v>
          </cell>
          <cell r="O18">
            <v>1</v>
          </cell>
        </row>
        <row r="19">
          <cell r="B19">
            <v>0</v>
          </cell>
          <cell r="I19">
            <v>4</v>
          </cell>
          <cell r="L19">
            <v>5</v>
          </cell>
          <cell r="O19">
            <v>1</v>
          </cell>
        </row>
        <row r="20">
          <cell r="B20"/>
          <cell r="I20">
            <v>4</v>
          </cell>
          <cell r="L20">
            <v>3</v>
          </cell>
          <cell r="O20">
            <v>3</v>
          </cell>
        </row>
        <row r="21">
          <cell r="B21"/>
          <cell r="I21">
            <v>4</v>
          </cell>
          <cell r="L21">
            <v>4</v>
          </cell>
          <cell r="O21">
            <v>1</v>
          </cell>
        </row>
        <row r="22">
          <cell r="B22">
            <v>0</v>
          </cell>
          <cell r="I22">
            <v>3</v>
          </cell>
          <cell r="L22">
            <v>2</v>
          </cell>
          <cell r="O22">
            <v>1</v>
          </cell>
        </row>
        <row r="23">
          <cell r="I23">
            <v>4</v>
          </cell>
          <cell r="L23">
            <v>4</v>
          </cell>
          <cell r="O23">
            <v>3</v>
          </cell>
        </row>
        <row r="24">
          <cell r="I24">
            <v>0</v>
          </cell>
        </row>
        <row r="29">
          <cell r="B29">
            <v>0.3888888888888889</v>
          </cell>
          <cell r="C29">
            <v>0.3888888888888889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0.41666666666666663</v>
          </cell>
          <cell r="C31">
            <v>0.41666666666666663</v>
          </cell>
        </row>
        <row r="32">
          <cell r="B32">
            <v>0.5</v>
          </cell>
          <cell r="C32">
            <v>0.42647058823529416</v>
          </cell>
        </row>
        <row r="33">
          <cell r="B33">
            <v>0.26785714285714285</v>
          </cell>
          <cell r="C33">
            <v>0.26785714285714285</v>
          </cell>
        </row>
        <row r="52">
          <cell r="B52">
            <v>0.72222222222222221</v>
          </cell>
          <cell r="C52">
            <v>0.72222222222222221</v>
          </cell>
        </row>
        <row r="53">
          <cell r="B53">
            <v>0.47407407407407409</v>
          </cell>
          <cell r="C53">
            <v>0.47407407407407409</v>
          </cell>
          <cell r="AU53">
            <v>0</v>
          </cell>
          <cell r="AV53">
            <v>0</v>
          </cell>
          <cell r="AX53">
            <v>0</v>
          </cell>
          <cell r="AY53">
            <v>0</v>
          </cell>
          <cell r="AZ53">
            <v>0</v>
          </cell>
          <cell r="BF53">
            <v>0</v>
          </cell>
        </row>
        <row r="54">
          <cell r="B54">
            <v>0.5</v>
          </cell>
          <cell r="C54">
            <v>0.5</v>
          </cell>
        </row>
        <row r="55">
          <cell r="B55">
            <v>0.26851851851851855</v>
          </cell>
          <cell r="C55">
            <v>0.1875</v>
          </cell>
        </row>
        <row r="56">
          <cell r="B56">
            <v>0.35198412698412701</v>
          </cell>
          <cell r="C56">
            <v>0.35198412698412701</v>
          </cell>
        </row>
        <row r="58">
          <cell r="C58">
            <v>1200</v>
          </cell>
        </row>
        <row r="59">
          <cell r="C59">
            <v>22.5</v>
          </cell>
        </row>
        <row r="60">
          <cell r="C60">
            <v>2</v>
          </cell>
        </row>
        <row r="61">
          <cell r="C61">
            <v>1.5</v>
          </cell>
        </row>
        <row r="62">
          <cell r="C62">
            <v>1.5</v>
          </cell>
        </row>
        <row r="63">
          <cell r="C63">
            <v>1.5</v>
          </cell>
        </row>
        <row r="74">
          <cell r="B74">
            <v>0.63181818181818183</v>
          </cell>
          <cell r="C74">
            <v>0.63181818181818183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0.42857142857142855</v>
          </cell>
          <cell r="C76">
            <v>0.42857142857142855</v>
          </cell>
        </row>
        <row r="77">
          <cell r="B77">
            <v>0.41666666666666663</v>
          </cell>
          <cell r="C77">
            <v>0.33333333333333331</v>
          </cell>
        </row>
        <row r="78">
          <cell r="B78">
            <v>0.35119047619047611</v>
          </cell>
          <cell r="C78">
            <v>0.35119047619047611</v>
          </cell>
        </row>
        <row r="80">
          <cell r="C80">
            <v>1200</v>
          </cell>
        </row>
        <row r="81">
          <cell r="C81">
            <v>22.5</v>
          </cell>
        </row>
        <row r="82">
          <cell r="C82">
            <v>2</v>
          </cell>
        </row>
        <row r="83">
          <cell r="C83">
            <v>1.5</v>
          </cell>
        </row>
        <row r="84">
          <cell r="C84">
            <v>1</v>
          </cell>
        </row>
        <row r="85">
          <cell r="C85">
            <v>1.5</v>
          </cell>
        </row>
        <row r="89">
          <cell r="C89">
            <v>0</v>
          </cell>
        </row>
        <row r="96">
          <cell r="B96">
            <v>0.70833333333333326</v>
          </cell>
          <cell r="C96">
            <v>0.70833333333333326</v>
          </cell>
        </row>
        <row r="97">
          <cell r="B97">
            <v>0.47407407407407409</v>
          </cell>
          <cell r="C97">
            <v>0.47407407407407409</v>
          </cell>
          <cell r="AR97">
            <v>0</v>
          </cell>
          <cell r="AS97">
            <v>0.5</v>
          </cell>
          <cell r="AZ97">
            <v>0</v>
          </cell>
          <cell r="BB97">
            <v>0</v>
          </cell>
        </row>
        <row r="98">
          <cell r="B98">
            <v>0.5</v>
          </cell>
          <cell r="C98">
            <v>0.5</v>
          </cell>
        </row>
        <row r="99">
          <cell r="B99">
            <v>0.52777777777777779</v>
          </cell>
          <cell r="C99">
            <v>0.17099567099567101</v>
          </cell>
        </row>
        <row r="100">
          <cell r="B100">
            <v>0.56904761904761914</v>
          </cell>
          <cell r="C100">
            <v>0.56904761904761914</v>
          </cell>
        </row>
        <row r="102">
          <cell r="C102">
            <v>1181</v>
          </cell>
        </row>
        <row r="103">
          <cell r="C103">
            <v>20</v>
          </cell>
        </row>
        <row r="104">
          <cell r="C104">
            <v>2</v>
          </cell>
        </row>
        <row r="105">
          <cell r="C105">
            <v>1.5</v>
          </cell>
        </row>
        <row r="106">
          <cell r="C106">
            <v>1.5</v>
          </cell>
        </row>
        <row r="107">
          <cell r="C107">
            <v>1.5</v>
          </cell>
        </row>
      </sheetData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"/>
      <sheetName val="Look up_Time"/>
    </sheetNames>
    <sheetDataSet>
      <sheetData sheetId="0" refreshError="1">
        <row r="2">
          <cell r="A2" t="str">
            <v>M_063</v>
          </cell>
          <cell r="C2" t="str">
            <v>mSTAT only</v>
          </cell>
          <cell r="D2" t="str">
            <v>n/a</v>
          </cell>
          <cell r="E2" t="str">
            <v>A</v>
          </cell>
          <cell r="F2">
            <v>45503</v>
          </cell>
        </row>
        <row r="3">
          <cell r="D3"/>
        </row>
        <row r="5">
          <cell r="D5">
            <v>0.42832341269841268</v>
          </cell>
          <cell r="E5">
            <v>0.42372782446311863</v>
          </cell>
        </row>
        <row r="6">
          <cell r="D6">
            <v>0.41877705627705619</v>
          </cell>
          <cell r="E6">
            <v>0.39794372294372293</v>
          </cell>
        </row>
        <row r="7">
          <cell r="D7">
            <v>0.67359788359788353</v>
          </cell>
          <cell r="E7">
            <v>0.66341269841269834</v>
          </cell>
        </row>
        <row r="8">
          <cell r="D8">
            <v>0.59499999999999997</v>
          </cell>
          <cell r="E8">
            <v>0.52054112554112542</v>
          </cell>
        </row>
        <row r="9">
          <cell r="D9">
            <v>0.52892458814333809</v>
          </cell>
          <cell r="E9">
            <v>0.50140634284016627</v>
          </cell>
        </row>
        <row r="12">
          <cell r="B12">
            <v>28</v>
          </cell>
        </row>
        <row r="13">
          <cell r="B13">
            <v>1</v>
          </cell>
          <cell r="I13">
            <v>3</v>
          </cell>
          <cell r="L13">
            <v>3</v>
          </cell>
          <cell r="O13">
            <v>5</v>
          </cell>
        </row>
        <row r="14">
          <cell r="B14" t="str">
            <v>10/13</v>
          </cell>
          <cell r="I14">
            <v>3</v>
          </cell>
          <cell r="L14">
            <v>2</v>
          </cell>
          <cell r="O14">
            <v>1</v>
          </cell>
        </row>
        <row r="15">
          <cell r="B15" t="str">
            <v>5/14</v>
          </cell>
          <cell r="I15">
            <v>4</v>
          </cell>
          <cell r="L15">
            <v>4</v>
          </cell>
          <cell r="O15">
            <v>1</v>
          </cell>
        </row>
        <row r="16">
          <cell r="B16">
            <v>132</v>
          </cell>
          <cell r="I16">
            <v>3</v>
          </cell>
          <cell r="L16">
            <v>3</v>
          </cell>
          <cell r="O16">
            <v>2</v>
          </cell>
        </row>
        <row r="17">
          <cell r="B17">
            <v>0</v>
          </cell>
          <cell r="I17">
            <v>4</v>
          </cell>
          <cell r="L17">
            <v>4</v>
          </cell>
          <cell r="O17">
            <v>5</v>
          </cell>
        </row>
        <row r="18">
          <cell r="B18"/>
          <cell r="I18">
            <v>3</v>
          </cell>
          <cell r="L18">
            <v>1</v>
          </cell>
          <cell r="O18">
            <v>2</v>
          </cell>
        </row>
        <row r="19">
          <cell r="B19">
            <v>1</v>
          </cell>
          <cell r="I19">
            <v>5</v>
          </cell>
          <cell r="L19">
            <v>5</v>
          </cell>
          <cell r="O19">
            <v>1</v>
          </cell>
        </row>
        <row r="20">
          <cell r="B20">
            <v>1</v>
          </cell>
          <cell r="I20">
            <v>4</v>
          </cell>
          <cell r="L20">
            <v>3</v>
          </cell>
          <cell r="O20">
            <v>4</v>
          </cell>
        </row>
        <row r="21">
          <cell r="B21">
            <v>0</v>
          </cell>
          <cell r="I21">
            <v>4</v>
          </cell>
          <cell r="L21">
            <v>3</v>
          </cell>
          <cell r="O21">
            <v>1</v>
          </cell>
        </row>
        <row r="22">
          <cell r="B22">
            <v>0</v>
          </cell>
          <cell r="I22">
            <v>4</v>
          </cell>
          <cell r="L22">
            <v>4</v>
          </cell>
          <cell r="O22">
            <v>1</v>
          </cell>
        </row>
        <row r="23">
          <cell r="I23">
            <v>5</v>
          </cell>
          <cell r="L23">
            <v>5</v>
          </cell>
          <cell r="O23">
            <v>1</v>
          </cell>
        </row>
        <row r="24">
          <cell r="I24">
            <v>0</v>
          </cell>
        </row>
        <row r="29">
          <cell r="B29">
            <v>0.27777777777777779</v>
          </cell>
          <cell r="C29">
            <v>0.27777777777777779</v>
          </cell>
        </row>
        <row r="30">
          <cell r="B30" t="str">
            <v>n/a</v>
          </cell>
          <cell r="C30" t="str">
            <v>n/a</v>
          </cell>
          <cell r="Z30">
            <v>0</v>
          </cell>
        </row>
        <row r="31">
          <cell r="B31">
            <v>8.3333333333333329E-2</v>
          </cell>
          <cell r="C31">
            <v>8.3333333333333329E-2</v>
          </cell>
        </row>
        <row r="32">
          <cell r="B32">
            <v>0.6875</v>
          </cell>
          <cell r="C32">
            <v>0.66911764705882359</v>
          </cell>
        </row>
        <row r="33">
          <cell r="B33">
            <v>0.66468253968253965</v>
          </cell>
          <cell r="C33">
            <v>0.66468253968253965</v>
          </cell>
        </row>
        <row r="52">
          <cell r="B52">
            <v>0.75</v>
          </cell>
          <cell r="C52">
            <v>0.75</v>
          </cell>
        </row>
        <row r="53">
          <cell r="B53">
            <v>0.64444444444444449</v>
          </cell>
          <cell r="C53">
            <v>0.64444444444444449</v>
          </cell>
          <cell r="AU53">
            <v>1</v>
          </cell>
          <cell r="AV53">
            <v>0</v>
          </cell>
          <cell r="AX53">
            <v>0.5</v>
          </cell>
          <cell r="AY53">
            <v>1</v>
          </cell>
          <cell r="AZ53">
            <v>0</v>
          </cell>
          <cell r="BF53">
            <v>0.5</v>
          </cell>
        </row>
        <row r="54">
          <cell r="B54">
            <v>0.5</v>
          </cell>
          <cell r="C54">
            <v>0.5</v>
          </cell>
        </row>
        <row r="55">
          <cell r="B55">
            <v>0.67592592592592593</v>
          </cell>
          <cell r="C55">
            <v>0.625</v>
          </cell>
        </row>
        <row r="56">
          <cell r="B56">
            <v>0.79761904761904756</v>
          </cell>
          <cell r="C56">
            <v>0.79761904761904756</v>
          </cell>
        </row>
        <row r="58">
          <cell r="C58">
            <v>1200</v>
          </cell>
        </row>
        <row r="59">
          <cell r="C59">
            <v>70</v>
          </cell>
        </row>
        <row r="60">
          <cell r="C60">
            <v>3.5</v>
          </cell>
        </row>
        <row r="61">
          <cell r="C61">
            <v>2.5</v>
          </cell>
        </row>
        <row r="62">
          <cell r="C62">
            <v>4</v>
          </cell>
        </row>
        <row r="63">
          <cell r="C63">
            <v>3</v>
          </cell>
        </row>
        <row r="74">
          <cell r="B74">
            <v>0.47272727272727272</v>
          </cell>
          <cell r="C74">
            <v>0.47272727272727272</v>
          </cell>
        </row>
        <row r="75">
          <cell r="B75" t="str">
            <v>n/a</v>
          </cell>
          <cell r="C75" t="str">
            <v>n/a</v>
          </cell>
          <cell r="AB75">
            <v>0</v>
          </cell>
          <cell r="AF75">
            <v>0</v>
          </cell>
        </row>
        <row r="76">
          <cell r="B76">
            <v>7.1428571428571425E-2</v>
          </cell>
          <cell r="C76">
            <v>7.1428571428571425E-2</v>
          </cell>
        </row>
        <row r="77">
          <cell r="B77">
            <v>0.58333333333333326</v>
          </cell>
          <cell r="C77">
            <v>0.5</v>
          </cell>
        </row>
        <row r="78">
          <cell r="B78">
            <v>0.54761904761904756</v>
          </cell>
          <cell r="C78">
            <v>0.54761904761904756</v>
          </cell>
        </row>
        <row r="80">
          <cell r="C80">
            <v>1086</v>
          </cell>
        </row>
        <row r="81">
          <cell r="C81">
            <v>37.5</v>
          </cell>
        </row>
        <row r="82">
          <cell r="C82">
            <v>3</v>
          </cell>
        </row>
        <row r="83">
          <cell r="C83">
            <v>2</v>
          </cell>
        </row>
        <row r="84">
          <cell r="C84">
            <v>2.5</v>
          </cell>
        </row>
        <row r="85">
          <cell r="C85">
            <v>2</v>
          </cell>
        </row>
        <row r="89">
          <cell r="C89">
            <v>0</v>
          </cell>
        </row>
        <row r="96">
          <cell r="B96">
            <v>0.7583333333333333</v>
          </cell>
          <cell r="C96">
            <v>0.7583333333333333</v>
          </cell>
        </row>
        <row r="97">
          <cell r="B97">
            <v>0.64444444444444449</v>
          </cell>
          <cell r="C97">
            <v>0.64444444444444449</v>
          </cell>
          <cell r="AR97">
            <v>0</v>
          </cell>
          <cell r="AS97">
            <v>1</v>
          </cell>
          <cell r="AZ97">
            <v>0.5</v>
          </cell>
          <cell r="BB97">
            <v>0</v>
          </cell>
        </row>
        <row r="98">
          <cell r="B98">
            <v>0</v>
          </cell>
          <cell r="C98">
            <v>0</v>
          </cell>
        </row>
        <row r="99">
          <cell r="B99">
            <v>0.88888888888888884</v>
          </cell>
          <cell r="C99">
            <v>0.51659451659451661</v>
          </cell>
        </row>
        <row r="100">
          <cell r="B100">
            <v>0.68333333333333324</v>
          </cell>
          <cell r="C100">
            <v>0.68333333333333324</v>
          </cell>
        </row>
        <row r="102">
          <cell r="C102">
            <v>791</v>
          </cell>
        </row>
        <row r="103">
          <cell r="C103">
            <v>45</v>
          </cell>
        </row>
        <row r="104">
          <cell r="C104">
            <v>3</v>
          </cell>
        </row>
        <row r="105">
          <cell r="C105">
            <v>2</v>
          </cell>
        </row>
        <row r="106">
          <cell r="C106">
            <v>3.5</v>
          </cell>
        </row>
        <row r="107">
          <cell r="C107">
            <v>2.5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1CDC-2930-42E2-9B28-84E6C980726F}">
  <dimension ref="A1:DX70"/>
  <sheetViews>
    <sheetView workbookViewId="0">
      <selection activeCell="F20" sqref="F20"/>
    </sheetView>
  </sheetViews>
  <sheetFormatPr baseColWidth="10" defaultColWidth="8.83203125" defaultRowHeight="15" x14ac:dyDescent="0.2"/>
  <cols>
    <col min="2" max="2" width="14" bestFit="1" customWidth="1"/>
    <col min="3" max="3" width="1.6640625" customWidth="1"/>
    <col min="4" max="4" width="14" customWidth="1"/>
    <col min="5" max="5" width="1.83203125" customWidth="1"/>
    <col min="6" max="6" width="9.1640625" customWidth="1"/>
    <col min="7" max="7" width="1.83203125" customWidth="1"/>
    <col min="8" max="8" width="10.33203125" customWidth="1"/>
    <col min="9" max="9" width="16.33203125" customWidth="1"/>
    <col min="10" max="10" width="13.33203125" customWidth="1"/>
    <col min="11" max="11" width="11.83203125" customWidth="1"/>
    <col min="12" max="12" width="10.1640625" customWidth="1"/>
    <col min="13" max="13" width="1.83203125" customWidth="1"/>
    <col min="14" max="14" width="8.6640625" customWidth="1"/>
    <col min="15" max="15" width="15.6640625" customWidth="1"/>
    <col min="16" max="16" width="12.33203125" customWidth="1"/>
    <col min="17" max="17" width="10.6640625" customWidth="1"/>
    <col min="18" max="18" width="10.1640625" customWidth="1"/>
    <col min="19" max="19" width="1.83203125" customWidth="1"/>
    <col min="20" max="20" width="8.6640625" customWidth="1"/>
    <col min="21" max="21" width="15.6640625" customWidth="1"/>
    <col min="22" max="22" width="12.33203125" customWidth="1"/>
    <col min="23" max="23" width="10.6640625" customWidth="1"/>
    <col min="24" max="24" width="10.1640625" customWidth="1"/>
    <col min="25" max="25" width="1.83203125" customWidth="1"/>
    <col min="26" max="26" width="8.6640625" customWidth="1"/>
    <col min="27" max="27" width="15.6640625" customWidth="1"/>
    <col min="28" max="28" width="12.33203125" customWidth="1"/>
    <col min="29" max="29" width="10.6640625" customWidth="1"/>
    <col min="30" max="30" width="10.1640625" customWidth="1"/>
    <col min="31" max="31" width="1.83203125" customWidth="1"/>
    <col min="67" max="67" width="10.33203125" bestFit="1" customWidth="1"/>
    <col min="70" max="70" width="9.83203125" bestFit="1" customWidth="1"/>
    <col min="72" max="72" width="10.33203125" bestFit="1" customWidth="1"/>
    <col min="73" max="73" width="13.1640625" bestFit="1" customWidth="1"/>
    <col min="75" max="75" width="13.6640625" bestFit="1" customWidth="1"/>
    <col min="76" max="76" width="14" bestFit="1" customWidth="1"/>
    <col min="77" max="77" width="15.33203125" bestFit="1" customWidth="1"/>
    <col min="78" max="78" width="12.33203125" bestFit="1" customWidth="1"/>
    <col min="79" max="79" width="14" bestFit="1" customWidth="1"/>
    <col min="80" max="80" width="11.1640625" bestFit="1" customWidth="1"/>
    <col min="81" max="81" width="13.1640625" bestFit="1" customWidth="1"/>
    <col min="82" max="82" width="11.6640625" bestFit="1" customWidth="1"/>
    <col min="83" max="83" width="2.33203125" style="5" customWidth="1"/>
    <col min="84" max="84" width="14" bestFit="1" customWidth="1"/>
    <col min="85" max="85" width="16.1640625" bestFit="1" customWidth="1"/>
    <col min="86" max="86" width="15.1640625" bestFit="1" customWidth="1"/>
    <col min="88" max="88" width="16" bestFit="1" customWidth="1"/>
    <col min="89" max="89" width="16.1640625" bestFit="1" customWidth="1"/>
    <col min="90" max="90" width="11.6640625" bestFit="1" customWidth="1"/>
    <col min="91" max="91" width="11.33203125" bestFit="1" customWidth="1"/>
    <col min="92" max="92" width="10.1640625" bestFit="1" customWidth="1"/>
    <col min="93" max="93" width="10.33203125" bestFit="1" customWidth="1"/>
    <col min="94" max="94" width="10.6640625" bestFit="1" customWidth="1"/>
    <col min="95" max="95" width="11.1640625" bestFit="1" customWidth="1"/>
    <col min="97" max="97" width="14.1640625" bestFit="1" customWidth="1"/>
    <col min="98" max="98" width="16.1640625" bestFit="1" customWidth="1"/>
    <col min="99" max="99" width="15.1640625" bestFit="1" customWidth="1"/>
    <col min="101" max="101" width="16" bestFit="1" customWidth="1"/>
    <col min="102" max="102" width="16.1640625" bestFit="1" customWidth="1"/>
    <col min="103" max="103" width="11.6640625" bestFit="1" customWidth="1"/>
    <col min="104" max="104" width="11.33203125" bestFit="1" customWidth="1"/>
    <col min="105" max="105" width="10.1640625" bestFit="1" customWidth="1"/>
    <col min="106" max="106" width="10.33203125" bestFit="1" customWidth="1"/>
    <col min="107" max="107" width="10.6640625" bestFit="1" customWidth="1"/>
    <col min="109" max="109" width="20.33203125" bestFit="1" customWidth="1"/>
    <col min="116" max="116" width="10.33203125" bestFit="1" customWidth="1"/>
    <col min="120" max="120" width="2.33203125" style="5" customWidth="1"/>
    <col min="121" max="121" width="9.33203125" bestFit="1" customWidth="1"/>
    <col min="122" max="122" width="2.33203125" style="5" customWidth="1"/>
    <col min="125" max="125" width="2.33203125" style="5" customWidth="1"/>
    <col min="126" max="126" width="11.33203125" bestFit="1" customWidth="1"/>
    <col min="127" max="127" width="14" bestFit="1" customWidth="1"/>
    <col min="128" max="128" width="13.83203125" customWidth="1"/>
  </cols>
  <sheetData>
    <row r="1" spans="1:128" x14ac:dyDescent="0.2">
      <c r="A1" s="1" t="s">
        <v>0</v>
      </c>
      <c r="H1" s="1" t="s">
        <v>1</v>
      </c>
      <c r="AF1" s="1" t="s">
        <v>2</v>
      </c>
      <c r="CE1" s="4"/>
      <c r="CF1" s="1" t="s">
        <v>3</v>
      </c>
      <c r="DP1" s="4"/>
      <c r="DR1" s="4"/>
      <c r="DS1" s="8" t="s">
        <v>4</v>
      </c>
      <c r="DT1" s="8" t="s">
        <v>4</v>
      </c>
      <c r="DU1" s="4"/>
    </row>
    <row r="2" spans="1:128" x14ac:dyDescent="0.2">
      <c r="B2" s="1"/>
      <c r="C2" s="1"/>
      <c r="D2" s="1"/>
      <c r="E2" s="1"/>
      <c r="G2" s="1"/>
      <c r="M2" s="1"/>
      <c r="S2" s="1"/>
      <c r="Y2" s="1"/>
      <c r="AE2" s="1"/>
      <c r="BU2" t="s">
        <v>5</v>
      </c>
      <c r="BW2" s="2" t="s">
        <v>6</v>
      </c>
      <c r="BY2" s="2" t="s">
        <v>7</v>
      </c>
      <c r="CC2" s="2" t="s">
        <v>8</v>
      </c>
      <c r="CE2" s="4"/>
      <c r="CF2" s="3" t="s">
        <v>9</v>
      </c>
      <c r="CS2" s="3" t="s">
        <v>10</v>
      </c>
      <c r="DE2" s="2" t="s">
        <v>11</v>
      </c>
      <c r="DP2" s="4"/>
      <c r="DQ2" t="s">
        <v>12</v>
      </c>
      <c r="DR2" s="4"/>
      <c r="DS2" s="2" t="s">
        <v>13</v>
      </c>
      <c r="DT2" s="2" t="s">
        <v>1</v>
      </c>
      <c r="DU2" s="4"/>
      <c r="DV2" s="2" t="s">
        <v>2</v>
      </c>
      <c r="DW2" s="2" t="s">
        <v>2</v>
      </c>
      <c r="DX2" s="2" t="s">
        <v>14</v>
      </c>
    </row>
    <row r="3" spans="1:128" x14ac:dyDescent="0.2">
      <c r="F3" s="2" t="s">
        <v>15</v>
      </c>
      <c r="H3" s="9" t="s">
        <v>16</v>
      </c>
      <c r="I3" s="2"/>
      <c r="J3" s="2"/>
      <c r="K3" s="2"/>
      <c r="L3" s="2"/>
      <c r="N3" s="9" t="s">
        <v>17</v>
      </c>
      <c r="O3" s="2"/>
      <c r="P3" s="2"/>
      <c r="Q3" s="2"/>
      <c r="R3" s="2"/>
      <c r="T3" s="9" t="s">
        <v>18</v>
      </c>
      <c r="U3" s="2"/>
      <c r="V3" s="2"/>
      <c r="W3" s="2"/>
      <c r="X3" s="2"/>
      <c r="Z3" s="9" t="s">
        <v>19</v>
      </c>
      <c r="AA3" s="2"/>
      <c r="AB3" s="2"/>
      <c r="AC3" s="2"/>
      <c r="AD3" s="2"/>
      <c r="AF3" s="9" t="s">
        <v>16</v>
      </c>
      <c r="AG3" s="9" t="s">
        <v>17</v>
      </c>
      <c r="AH3" s="2"/>
      <c r="AI3" s="2"/>
      <c r="AJ3" s="9" t="s">
        <v>18</v>
      </c>
      <c r="AK3" s="2"/>
      <c r="AL3" s="2"/>
      <c r="AM3" s="2"/>
      <c r="AN3" s="9" t="s">
        <v>19</v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 t="s">
        <v>20</v>
      </c>
      <c r="BR3" s="2" t="s">
        <v>21</v>
      </c>
      <c r="BS3" s="2" t="s">
        <v>21</v>
      </c>
      <c r="BT3" s="2" t="s">
        <v>22</v>
      </c>
      <c r="BU3" s="2" t="s">
        <v>23</v>
      </c>
      <c r="BW3" s="2" t="s">
        <v>24</v>
      </c>
      <c r="BX3" t="s">
        <v>25</v>
      </c>
      <c r="BY3" s="2" t="s">
        <v>26</v>
      </c>
      <c r="BZ3" s="2" t="s">
        <v>8</v>
      </c>
      <c r="CA3" s="2" t="s">
        <v>27</v>
      </c>
      <c r="CB3" s="2" t="s">
        <v>8</v>
      </c>
      <c r="CC3" s="2" t="s">
        <v>28</v>
      </c>
      <c r="CD3" s="2" t="s">
        <v>29</v>
      </c>
      <c r="CF3" s="2" t="s">
        <v>30</v>
      </c>
      <c r="CG3" s="2" t="s">
        <v>31</v>
      </c>
      <c r="CH3" s="2" t="s">
        <v>32</v>
      </c>
      <c r="CI3" s="2" t="s">
        <v>33</v>
      </c>
      <c r="CJ3" s="2" t="s">
        <v>34</v>
      </c>
      <c r="CK3" s="2" t="s">
        <v>35</v>
      </c>
      <c r="CL3" s="2" t="s">
        <v>36</v>
      </c>
      <c r="CM3" s="2" t="s">
        <v>37</v>
      </c>
      <c r="CN3" s="2" t="s">
        <v>38</v>
      </c>
      <c r="CO3" s="2" t="s">
        <v>39</v>
      </c>
      <c r="CP3" s="2" t="s">
        <v>40</v>
      </c>
      <c r="CQ3" s="2" t="s">
        <v>41</v>
      </c>
      <c r="CS3" s="2" t="s">
        <v>30</v>
      </c>
      <c r="CT3" s="2" t="s">
        <v>31</v>
      </c>
      <c r="CU3" s="2" t="s">
        <v>32</v>
      </c>
      <c r="CV3" s="2" t="s">
        <v>33</v>
      </c>
      <c r="CW3" s="2" t="s">
        <v>34</v>
      </c>
      <c r="CX3" s="2" t="s">
        <v>35</v>
      </c>
      <c r="CY3" s="2" t="s">
        <v>36</v>
      </c>
      <c r="CZ3" s="2" t="s">
        <v>37</v>
      </c>
      <c r="DA3" s="2" t="s">
        <v>38</v>
      </c>
      <c r="DB3" s="2" t="s">
        <v>39</v>
      </c>
      <c r="DC3" s="2" t="s">
        <v>40</v>
      </c>
      <c r="DS3" s="2"/>
      <c r="DT3" s="2"/>
      <c r="DV3" s="2" t="s">
        <v>42</v>
      </c>
      <c r="DW3" s="2" t="s">
        <v>43</v>
      </c>
    </row>
    <row r="4" spans="1:128" x14ac:dyDescent="0.2">
      <c r="A4" s="2" t="s">
        <v>44</v>
      </c>
      <c r="B4" s="2" t="s">
        <v>45</v>
      </c>
      <c r="C4" s="2"/>
      <c r="D4" s="2" t="s">
        <v>46</v>
      </c>
      <c r="E4" s="2"/>
      <c r="F4" s="2" t="s">
        <v>47</v>
      </c>
      <c r="G4" s="2"/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/>
      <c r="N4" s="2" t="s">
        <v>48</v>
      </c>
      <c r="O4" s="2" t="s">
        <v>49</v>
      </c>
      <c r="P4" s="2" t="s">
        <v>50</v>
      </c>
      <c r="Q4" s="2" t="s">
        <v>51</v>
      </c>
      <c r="R4" s="2" t="s">
        <v>52</v>
      </c>
      <c r="S4" s="2"/>
      <c r="T4" s="2" t="s">
        <v>48</v>
      </c>
      <c r="U4" s="2" t="s">
        <v>49</v>
      </c>
      <c r="V4" s="2" t="s">
        <v>50</v>
      </c>
      <c r="W4" s="2" t="s">
        <v>51</v>
      </c>
      <c r="X4" s="2" t="s">
        <v>52</v>
      </c>
      <c r="Y4" s="2"/>
      <c r="Z4" s="2" t="s">
        <v>48</v>
      </c>
      <c r="AA4" s="2" t="s">
        <v>49</v>
      </c>
      <c r="AB4" s="2" t="s">
        <v>50</v>
      </c>
      <c r="AC4" s="2" t="s">
        <v>51</v>
      </c>
      <c r="AD4" s="2" t="s">
        <v>52</v>
      </c>
      <c r="AE4" s="2"/>
      <c r="AF4" s="2" t="s">
        <v>53</v>
      </c>
      <c r="AG4" s="2" t="s">
        <v>54</v>
      </c>
      <c r="AH4" s="2" t="s">
        <v>55</v>
      </c>
      <c r="AI4" s="2" t="s">
        <v>56</v>
      </c>
      <c r="AJ4" s="2" t="s">
        <v>57</v>
      </c>
      <c r="AK4" s="2" t="s">
        <v>58</v>
      </c>
      <c r="AL4" s="2" t="s">
        <v>59</v>
      </c>
      <c r="AM4" s="2" t="s">
        <v>60</v>
      </c>
      <c r="AN4" s="2" t="s">
        <v>61</v>
      </c>
      <c r="AO4" s="2" t="s">
        <v>62</v>
      </c>
      <c r="AP4" s="2" t="s">
        <v>63</v>
      </c>
      <c r="AQ4" s="2" t="s">
        <v>64</v>
      </c>
      <c r="AR4" s="2" t="s">
        <v>65</v>
      </c>
      <c r="AS4" s="2" t="s">
        <v>66</v>
      </c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 t="s">
        <v>67</v>
      </c>
      <c r="BP4" t="s">
        <v>68</v>
      </c>
      <c r="BQ4" s="2" t="s">
        <v>69</v>
      </c>
      <c r="BR4" s="2" t="s">
        <v>70</v>
      </c>
      <c r="BS4" s="2" t="s">
        <v>71</v>
      </c>
      <c r="BT4" s="2" t="s">
        <v>71</v>
      </c>
      <c r="BU4" s="2" t="s">
        <v>72</v>
      </c>
      <c r="BV4" s="2" t="s">
        <v>73</v>
      </c>
      <c r="BW4" s="2" t="s">
        <v>74</v>
      </c>
      <c r="BX4" s="2" t="s">
        <v>75</v>
      </c>
      <c r="BY4" s="2" t="s">
        <v>76</v>
      </c>
      <c r="BZ4" s="2" t="s">
        <v>77</v>
      </c>
      <c r="CA4" s="2" t="s">
        <v>78</v>
      </c>
      <c r="CB4" s="2" t="s">
        <v>79</v>
      </c>
      <c r="CC4" s="2" t="s">
        <v>80</v>
      </c>
      <c r="CD4" s="2" t="s">
        <v>81</v>
      </c>
      <c r="CF4" s="2" t="s">
        <v>82</v>
      </c>
      <c r="CG4" s="2" t="s">
        <v>83</v>
      </c>
      <c r="CH4" s="2" t="s">
        <v>84</v>
      </c>
      <c r="CI4" s="2" t="s">
        <v>85</v>
      </c>
      <c r="CJ4" s="2" t="s">
        <v>86</v>
      </c>
      <c r="CK4" s="2" t="s">
        <v>87</v>
      </c>
      <c r="CL4" s="2" t="s">
        <v>88</v>
      </c>
      <c r="CM4" s="2" t="s">
        <v>89</v>
      </c>
      <c r="CN4" s="2" t="s">
        <v>90</v>
      </c>
      <c r="CO4" s="2" t="s">
        <v>91</v>
      </c>
      <c r="CP4" s="2" t="s">
        <v>92</v>
      </c>
      <c r="CQ4" s="2" t="s">
        <v>93</v>
      </c>
      <c r="CS4" s="2" t="s">
        <v>82</v>
      </c>
      <c r="CT4" s="2" t="s">
        <v>83</v>
      </c>
      <c r="CU4" s="2" t="s">
        <v>84</v>
      </c>
      <c r="CV4" s="2" t="s">
        <v>85</v>
      </c>
      <c r="CW4" s="2" t="s">
        <v>86</v>
      </c>
      <c r="CX4" s="2" t="s">
        <v>87</v>
      </c>
      <c r="CY4" s="2" t="s">
        <v>88</v>
      </c>
      <c r="CZ4" s="2" t="s">
        <v>89</v>
      </c>
      <c r="DA4" s="2" t="s">
        <v>90</v>
      </c>
      <c r="DB4" s="2" t="s">
        <v>91</v>
      </c>
      <c r="DC4" s="2" t="s">
        <v>92</v>
      </c>
      <c r="DE4" s="2" t="s">
        <v>94</v>
      </c>
      <c r="DF4" s="2" t="s">
        <v>16</v>
      </c>
      <c r="DG4" s="2" t="s">
        <v>95</v>
      </c>
      <c r="DH4" s="2" t="s">
        <v>18</v>
      </c>
      <c r="DI4" s="2" t="s">
        <v>96</v>
      </c>
      <c r="DJ4" s="2" t="s">
        <v>19</v>
      </c>
      <c r="DK4" s="2" t="s">
        <v>97</v>
      </c>
      <c r="DL4" s="2" t="s">
        <v>98</v>
      </c>
      <c r="DM4" s="2" t="s">
        <v>99</v>
      </c>
      <c r="DN4" s="2" t="s">
        <v>100</v>
      </c>
      <c r="DO4" s="2" t="s">
        <v>17</v>
      </c>
    </row>
    <row r="6" spans="1:128" x14ac:dyDescent="0.2">
      <c r="B6" t="s">
        <v>101</v>
      </c>
      <c r="D6" t="str">
        <f t="shared" ref="D6:D47" si="0">CONCATENATE(B6,".xlsx")</f>
        <v>M_007.xlsx</v>
      </c>
      <c r="F6" t="e">
        <f>#REF!</f>
        <v>#REF!</v>
      </c>
      <c r="H6" t="e">
        <f>#REF!</f>
        <v>#REF!</v>
      </c>
      <c r="I6" t="e">
        <f>#REF!</f>
        <v>#REF!</v>
      </c>
      <c r="J6" t="e">
        <f>#REF!</f>
        <v>#REF!</v>
      </c>
      <c r="K6" t="e">
        <f>#REF!</f>
        <v>#REF!</v>
      </c>
      <c r="L6" t="e">
        <f>#REF!</f>
        <v>#REF!</v>
      </c>
      <c r="N6" t="e">
        <f>#REF!</f>
        <v>#REF!</v>
      </c>
      <c r="O6" t="e">
        <f>#REF!</f>
        <v>#REF!</v>
      </c>
      <c r="P6" t="e">
        <f>#REF!</f>
        <v>#REF!</v>
      </c>
      <c r="Q6" t="e">
        <f>#REF!</f>
        <v>#REF!</v>
      </c>
      <c r="R6" t="e">
        <f>#REF!</f>
        <v>#REF!</v>
      </c>
      <c r="T6" t="e">
        <f>#REF!</f>
        <v>#REF!</v>
      </c>
      <c r="U6" t="e">
        <f>#REF!</f>
        <v>#REF!</v>
      </c>
      <c r="V6" t="e">
        <f>#REF!</f>
        <v>#REF!</v>
      </c>
      <c r="W6" t="e">
        <f>#REF!</f>
        <v>#REF!</v>
      </c>
      <c r="X6" t="e">
        <f>#REF!</f>
        <v>#REF!</v>
      </c>
      <c r="Z6" t="e">
        <f>#REF!</f>
        <v>#REF!</v>
      </c>
      <c r="AA6" t="e">
        <f>#REF!</f>
        <v>#REF!</v>
      </c>
      <c r="AB6" t="e">
        <f>#REF!</f>
        <v>#REF!</v>
      </c>
      <c r="AC6" t="e">
        <f>#REF!</f>
        <v>#REF!</v>
      </c>
      <c r="AD6" t="e">
        <f>#REF!</f>
        <v>#REF!</v>
      </c>
      <c r="AF6" t="e">
        <f>#REF!</f>
        <v>#REF!</v>
      </c>
      <c r="AG6" t="e">
        <f>#REF!</f>
        <v>#REF!</v>
      </c>
      <c r="AH6" t="e">
        <f>#REF!</f>
        <v>#REF!</v>
      </c>
      <c r="AI6" t="e">
        <f>#REF!</f>
        <v>#REF!</v>
      </c>
      <c r="AJ6" t="e">
        <f>#REF!</f>
        <v>#REF!</v>
      </c>
      <c r="AK6" t="e">
        <f>#REF!</f>
        <v>#REF!</v>
      </c>
      <c r="AL6" t="e">
        <f>#REF!</f>
        <v>#REF!</v>
      </c>
      <c r="AM6" t="e">
        <f>#REF!</f>
        <v>#REF!</v>
      </c>
      <c r="AN6" t="e">
        <f>#REF!</f>
        <v>#REF!</v>
      </c>
      <c r="AO6" t="e">
        <f>#REF!</f>
        <v>#REF!</v>
      </c>
      <c r="AP6" t="e">
        <f>#REF!</f>
        <v>#REF!</v>
      </c>
      <c r="AQ6" t="e">
        <f>#REF!</f>
        <v>#REF!</v>
      </c>
      <c r="AR6" t="e">
        <f>#REF!</f>
        <v>#REF!</v>
      </c>
      <c r="AS6" t="e">
        <f>#REF!</f>
        <v>#REF!</v>
      </c>
    </row>
    <row r="7" spans="1:128" x14ac:dyDescent="0.2">
      <c r="B7" t="s">
        <v>102</v>
      </c>
      <c r="D7" t="str">
        <f t="shared" si="0"/>
        <v>M_009.xlsx</v>
      </c>
      <c r="F7" t="e">
        <f>#REF!</f>
        <v>#REF!</v>
      </c>
      <c r="H7" t="e">
        <f>#REF!</f>
        <v>#REF!</v>
      </c>
      <c r="I7" t="e">
        <f>#REF!</f>
        <v>#REF!</v>
      </c>
      <c r="J7" t="e">
        <f>#REF!</f>
        <v>#REF!</v>
      </c>
      <c r="K7" t="e">
        <f>#REF!</f>
        <v>#REF!</v>
      </c>
      <c r="L7" t="e">
        <f>#REF!</f>
        <v>#REF!</v>
      </c>
      <c r="N7" t="e">
        <f>#REF!</f>
        <v>#REF!</v>
      </c>
      <c r="O7" t="e">
        <f>#REF!</f>
        <v>#REF!</v>
      </c>
      <c r="P7" t="e">
        <f>#REF!</f>
        <v>#REF!</v>
      </c>
      <c r="Q7" t="e">
        <f>#REF!</f>
        <v>#REF!</v>
      </c>
      <c r="R7" t="e">
        <f>#REF!</f>
        <v>#REF!</v>
      </c>
      <c r="T7" t="e">
        <f>#REF!</f>
        <v>#REF!</v>
      </c>
      <c r="U7" t="e">
        <f>#REF!</f>
        <v>#REF!</v>
      </c>
      <c r="V7" t="e">
        <f>#REF!</f>
        <v>#REF!</v>
      </c>
      <c r="W7" t="e">
        <f>#REF!</f>
        <v>#REF!</v>
      </c>
      <c r="X7" t="e">
        <f>#REF!</f>
        <v>#REF!</v>
      </c>
      <c r="Z7" t="e">
        <f>#REF!</f>
        <v>#REF!</v>
      </c>
      <c r="AA7" t="e">
        <f>#REF!</f>
        <v>#REF!</v>
      </c>
      <c r="AB7" t="e">
        <f>#REF!</f>
        <v>#REF!</v>
      </c>
      <c r="AC7" t="e">
        <f>#REF!</f>
        <v>#REF!</v>
      </c>
      <c r="AD7" t="e">
        <f>#REF!</f>
        <v>#REF!</v>
      </c>
      <c r="AF7" t="e">
        <f>#REF!</f>
        <v>#REF!</v>
      </c>
      <c r="AG7" t="e">
        <f>#REF!</f>
        <v>#REF!</v>
      </c>
      <c r="AH7" t="e">
        <f>#REF!</f>
        <v>#REF!</v>
      </c>
      <c r="AI7" t="e">
        <f>#REF!</f>
        <v>#REF!</v>
      </c>
      <c r="AJ7" t="e">
        <f>#REF!</f>
        <v>#REF!</v>
      </c>
      <c r="AK7" t="e">
        <f>#REF!</f>
        <v>#REF!</v>
      </c>
      <c r="AL7" t="e">
        <f>#REF!</f>
        <v>#REF!</v>
      </c>
      <c r="AM7" t="e">
        <f>#REF!</f>
        <v>#REF!</v>
      </c>
      <c r="AN7" t="e">
        <f>#REF!</f>
        <v>#REF!</v>
      </c>
      <c r="AO7" t="e">
        <f>#REF!</f>
        <v>#REF!</v>
      </c>
      <c r="AP7" t="e">
        <f>#REF!</f>
        <v>#REF!</v>
      </c>
      <c r="AQ7" t="e">
        <f>#REF!</f>
        <v>#REF!</v>
      </c>
      <c r="AR7" t="e">
        <f>#REF!</f>
        <v>#REF!</v>
      </c>
      <c r="AS7" t="e">
        <f>#REF!</f>
        <v>#REF!</v>
      </c>
    </row>
    <row r="8" spans="1:128" x14ac:dyDescent="0.2">
      <c r="B8" t="s">
        <v>103</v>
      </c>
      <c r="D8" t="str">
        <f t="shared" si="0"/>
        <v>M_012.xlsx</v>
      </c>
      <c r="F8" t="e">
        <f>#REF!</f>
        <v>#REF!</v>
      </c>
      <c r="H8" t="e">
        <f>#REF!</f>
        <v>#REF!</v>
      </c>
      <c r="I8" t="e">
        <f>#REF!</f>
        <v>#REF!</v>
      </c>
      <c r="J8" t="e">
        <f>#REF!</f>
        <v>#REF!</v>
      </c>
      <c r="K8" t="e">
        <f>#REF!</f>
        <v>#REF!</v>
      </c>
      <c r="L8" t="e">
        <f>#REF!</f>
        <v>#REF!</v>
      </c>
      <c r="N8" t="e">
        <f>#REF!</f>
        <v>#REF!</v>
      </c>
      <c r="O8" t="e">
        <f>#REF!</f>
        <v>#REF!</v>
      </c>
      <c r="P8" t="e">
        <f>#REF!</f>
        <v>#REF!</v>
      </c>
      <c r="Q8" t="e">
        <f>#REF!</f>
        <v>#REF!</v>
      </c>
      <c r="R8" t="e">
        <f>#REF!</f>
        <v>#REF!</v>
      </c>
      <c r="T8" t="e">
        <f>#REF!</f>
        <v>#REF!</v>
      </c>
      <c r="U8" t="e">
        <f>#REF!</f>
        <v>#REF!</v>
      </c>
      <c r="V8" t="e">
        <f>#REF!</f>
        <v>#REF!</v>
      </c>
      <c r="W8" t="e">
        <f>#REF!</f>
        <v>#REF!</v>
      </c>
      <c r="X8" t="e">
        <f>#REF!</f>
        <v>#REF!</v>
      </c>
      <c r="Z8" t="e">
        <f>#REF!</f>
        <v>#REF!</v>
      </c>
      <c r="AA8" t="e">
        <f>#REF!</f>
        <v>#REF!</v>
      </c>
      <c r="AB8" t="e">
        <f>#REF!</f>
        <v>#REF!</v>
      </c>
      <c r="AC8" t="e">
        <f>#REF!</f>
        <v>#REF!</v>
      </c>
      <c r="AD8" t="e">
        <f>#REF!</f>
        <v>#REF!</v>
      </c>
      <c r="AF8" t="e">
        <f>#REF!</f>
        <v>#REF!</v>
      </c>
      <c r="AG8" t="e">
        <f>#REF!</f>
        <v>#REF!</v>
      </c>
      <c r="AH8" t="e">
        <f>#REF!</f>
        <v>#REF!</v>
      </c>
      <c r="AI8" t="e">
        <f>#REF!</f>
        <v>#REF!</v>
      </c>
      <c r="AJ8" t="e">
        <f>#REF!</f>
        <v>#REF!</v>
      </c>
      <c r="AK8" t="e">
        <f>#REF!</f>
        <v>#REF!</v>
      </c>
      <c r="AL8" t="e">
        <f>#REF!</f>
        <v>#REF!</v>
      </c>
      <c r="AM8" t="e">
        <f>#REF!</f>
        <v>#REF!</v>
      </c>
      <c r="AN8" t="e">
        <f>#REF!</f>
        <v>#REF!</v>
      </c>
      <c r="AO8" t="e">
        <f>#REF!</f>
        <v>#REF!</v>
      </c>
      <c r="AP8" t="e">
        <f>#REF!</f>
        <v>#REF!</v>
      </c>
      <c r="AQ8" t="e">
        <f>#REF!</f>
        <v>#REF!</v>
      </c>
      <c r="AR8" t="e">
        <f>#REF!</f>
        <v>#REF!</v>
      </c>
      <c r="AS8" t="e">
        <f>#REF!</f>
        <v>#REF!</v>
      </c>
    </row>
    <row r="9" spans="1:128" x14ac:dyDescent="0.2">
      <c r="B9" t="s">
        <v>104</v>
      </c>
      <c r="D9" t="str">
        <f t="shared" si="0"/>
        <v>M_013.xlsx</v>
      </c>
      <c r="F9" t="str">
        <f>'[1]Template '!$C$2</f>
        <v>D only</v>
      </c>
      <c r="H9">
        <f>'[1]Template '!$C$29</f>
        <v>0</v>
      </c>
      <c r="I9" t="str">
        <f>'[1]Template '!$C$30</f>
        <v>n/a</v>
      </c>
      <c r="J9">
        <f>'[1]Template '!$C$31</f>
        <v>0.33333333333333331</v>
      </c>
      <c r="K9">
        <f>'[1]Template '!$C$32</f>
        <v>0.5845588235294118</v>
      </c>
      <c r="L9">
        <f>'[1]Template '!$C$33</f>
        <v>0</v>
      </c>
      <c r="N9">
        <f>'[1]Template '!$C$74</f>
        <v>0.51818181818181819</v>
      </c>
      <c r="O9" t="str">
        <f>'[1]Template '!$C$75</f>
        <v>n/a</v>
      </c>
      <c r="P9">
        <f>'[1]Template '!$C$76</f>
        <v>0.42857142857142855</v>
      </c>
      <c r="Q9">
        <f>'[1]Template '!$C$77</f>
        <v>0.48809523809523803</v>
      </c>
      <c r="R9">
        <f>'[1]Template '!$C$78</f>
        <v>0.47817460317460325</v>
      </c>
      <c r="T9">
        <f>'[1]Template '!$C$96</f>
        <v>0.58333333333333326</v>
      </c>
      <c r="U9">
        <f>'[1]Template '!$C$97</f>
        <v>0.48518518518518522</v>
      </c>
      <c r="V9">
        <f>'[1]Template '!$C$98</f>
        <v>0.5</v>
      </c>
      <c r="W9">
        <f>'[1]Template '!$C$99</f>
        <v>0.25252525252525254</v>
      </c>
      <c r="X9">
        <f>'[1]Template '!$C$100</f>
        <v>0.65793650793650793</v>
      </c>
      <c r="Z9">
        <f>'[1]Template '!$C$52</f>
        <v>0.55555555555555558</v>
      </c>
      <c r="AA9">
        <f>'[1]Template '!$C$53</f>
        <v>0.48518518518518522</v>
      </c>
      <c r="AB9">
        <f>'[1]Template '!$C$54</f>
        <v>0.5</v>
      </c>
      <c r="AC9">
        <f>'[1]Template '!$C$55</f>
        <v>0.3125</v>
      </c>
      <c r="AD9">
        <f>'[1]Template '!$C$56</f>
        <v>0.55476190476190479</v>
      </c>
      <c r="AF9">
        <f>'[1]Template '!$Z$30</f>
        <v>0</v>
      </c>
      <c r="AG9">
        <f>'[1]Template '!$AB$75</f>
        <v>0</v>
      </c>
      <c r="AH9">
        <f>'[1]Template '!$AD$75</f>
        <v>0</v>
      </c>
      <c r="AI9">
        <f>'[1]Template '!$AF$75</f>
        <v>0</v>
      </c>
      <c r="AJ9">
        <f>'[1]Template '!$AR$97</f>
        <v>0</v>
      </c>
      <c r="AK9">
        <f>'[1]Template '!$AS$97</f>
        <v>0</v>
      </c>
      <c r="AL9">
        <f>'[1]Template '!$AZ$97</f>
        <v>0</v>
      </c>
      <c r="AM9">
        <f>'[1]Template '!$BB$97</f>
        <v>0</v>
      </c>
      <c r="AN9">
        <f>'[1]Template '!$AU$53</f>
        <v>0</v>
      </c>
      <c r="AO9">
        <f>'[1]Template '!$AV$53</f>
        <v>0</v>
      </c>
      <c r="AP9">
        <f>'[1]Template '!$AY$53</f>
        <v>0</v>
      </c>
      <c r="AQ9">
        <f>'[1]Template '!$AX$53</f>
        <v>0</v>
      </c>
      <c r="AR9">
        <f>'[1]Template '!$AZ$53</f>
        <v>0</v>
      </c>
      <c r="AS9">
        <f>'[1]Template '!$BF$53</f>
        <v>0</v>
      </c>
    </row>
    <row r="10" spans="1:128" x14ac:dyDescent="0.2">
      <c r="B10" t="s">
        <v>105</v>
      </c>
      <c r="D10" t="str">
        <f t="shared" si="0"/>
        <v>M_014.xlsx</v>
      </c>
      <c r="F10" t="str">
        <f>'[2]Template '!$C$2</f>
        <v>D+M</v>
      </c>
      <c r="H10">
        <f>'[2]Template '!$C$29</f>
        <v>0.3888888888888889</v>
      </c>
      <c r="I10" t="str">
        <f>'[2]Template '!$C$30</f>
        <v>n/a</v>
      </c>
      <c r="J10">
        <f>'[2]Template '!$C$31</f>
        <v>0.41666666666666663</v>
      </c>
      <c r="K10">
        <f>'[2]Template '!$C$32</f>
        <v>0.66911764705882359</v>
      </c>
      <c r="L10">
        <f>'[2]Template '!$C$33</f>
        <v>0.76984126984126977</v>
      </c>
      <c r="N10">
        <f>'[2]Template '!$C$74</f>
        <v>0.65454545454545454</v>
      </c>
      <c r="O10" t="str">
        <f>'[2]Template '!$C$75</f>
        <v>n/a</v>
      </c>
      <c r="P10">
        <f>'[2]Template '!$C$76</f>
        <v>0.39285714285714285</v>
      </c>
      <c r="Q10">
        <f>'[2]Template '!$C$77</f>
        <v>0.40476190476190477</v>
      </c>
      <c r="R10">
        <f>'[2]Template '!$C$78</f>
        <v>0.74603174603174605</v>
      </c>
      <c r="T10">
        <f>'[2]Template '!$C$96</f>
        <v>0.66666666666666663</v>
      </c>
      <c r="U10">
        <f>'[2]Template '!$C$97</f>
        <v>0.40740740740740738</v>
      </c>
      <c r="V10">
        <f>'[2]Template '!$C$98</f>
        <v>0.5</v>
      </c>
      <c r="W10">
        <f>'[2]Template '!$C$99</f>
        <v>0.46897546897546899</v>
      </c>
      <c r="X10">
        <f>'[2]Template '!$C$100</f>
        <v>0.68333333333333324</v>
      </c>
      <c r="Z10">
        <f>'[2]Template '!$C$52</f>
        <v>0.7857142857142857</v>
      </c>
      <c r="AA10">
        <f>'[2]Template '!$C$53</f>
        <v>0.40740740740740738</v>
      </c>
      <c r="AB10">
        <f>'[2]Template '!$C$54</f>
        <v>0.5</v>
      </c>
      <c r="AC10">
        <f>'[2]Template '!$C$55</f>
        <v>0.5</v>
      </c>
      <c r="AD10">
        <f>'[2]Template '!$C$56</f>
        <v>0.74682539682539684</v>
      </c>
      <c r="AF10">
        <f>'[2]Template '!$Z$30</f>
        <v>0</v>
      </c>
      <c r="AG10">
        <f>'[2]Template '!$AB$75</f>
        <v>0</v>
      </c>
      <c r="AH10">
        <f>'[2]Template '!$AD$75</f>
        <v>0</v>
      </c>
      <c r="AI10">
        <f>'[2]Template '!$AF$75</f>
        <v>0</v>
      </c>
      <c r="AJ10">
        <f>'[2]Template '!$AR$97</f>
        <v>0</v>
      </c>
      <c r="AK10">
        <f>'[2]Template '!$AS$97</f>
        <v>0</v>
      </c>
      <c r="AL10">
        <f>'[2]Template '!$AZ$97</f>
        <v>0</v>
      </c>
      <c r="AM10">
        <f>'[2]Template '!$BB$97</f>
        <v>1</v>
      </c>
      <c r="AN10">
        <f>'[2]Template '!$AU$53</f>
        <v>1</v>
      </c>
      <c r="AO10">
        <f>'[2]Template '!$AV$53</f>
        <v>1</v>
      </c>
      <c r="AP10">
        <f>'[2]Template '!$AY$53</f>
        <v>1</v>
      </c>
      <c r="AQ10">
        <f>'[2]Template '!$AX$53</f>
        <v>1</v>
      </c>
      <c r="AR10">
        <f>'[2]Template '!$AZ$53</f>
        <v>0</v>
      </c>
      <c r="AS10">
        <f>'[2]Template '!$BF$53</f>
        <v>0</v>
      </c>
    </row>
    <row r="11" spans="1:128" x14ac:dyDescent="0.2">
      <c r="B11" t="s">
        <v>106</v>
      </c>
      <c r="D11" t="str">
        <f t="shared" si="0"/>
        <v>M_021.xlsx</v>
      </c>
      <c r="F11" t="str">
        <f>'[3]Template '!$C$2</f>
        <v>D+M</v>
      </c>
      <c r="H11">
        <f>'[3]Template '!$C$29</f>
        <v>0.3888888888888889</v>
      </c>
      <c r="I11" t="str">
        <f>'[3]Template '!$C$30</f>
        <v>n/a</v>
      </c>
      <c r="J11">
        <f>'[3]Template '!$C$31</f>
        <v>0.33333333333333331</v>
      </c>
      <c r="K11">
        <f>'[3]Template '!$C$32</f>
        <v>0.47794117647058826</v>
      </c>
      <c r="L11">
        <f>'[3]Template '!$C$33</f>
        <v>0.67063492063492058</v>
      </c>
      <c r="N11">
        <f>'[3]Template '!$C$74</f>
        <v>0.7</v>
      </c>
      <c r="O11" t="str">
        <f>'[3]Template '!$C$75</f>
        <v>n/a</v>
      </c>
      <c r="P11">
        <f>'[3]Template '!$C$76</f>
        <v>0.42857142857142855</v>
      </c>
      <c r="Q11">
        <f>'[3]Template '!$C$77</f>
        <v>0.53422619047619047</v>
      </c>
      <c r="R11">
        <f>'[3]Template '!$C$78</f>
        <v>0.78373015873015872</v>
      </c>
      <c r="T11">
        <f>'[3]Template '!$C$96</f>
        <v>0.8</v>
      </c>
      <c r="U11">
        <f>'[3]Template '!$C$97</f>
        <v>0.72222222222222232</v>
      </c>
      <c r="V11">
        <f>'[3]Template '!$C$98</f>
        <v>0.5</v>
      </c>
      <c r="W11">
        <f>'[3]Template '!$C$99</f>
        <v>0.21428571428571422</v>
      </c>
      <c r="X11">
        <f>'[3]Template '!$C$100</f>
        <v>0.64603174603174607</v>
      </c>
      <c r="Z11">
        <f>'[3]Template '!$C$52</f>
        <v>0.69444444444444442</v>
      </c>
      <c r="AA11">
        <f>'[3]Template '!$C$53</f>
        <v>0.72222222222222232</v>
      </c>
      <c r="AB11">
        <f>'[3]Template '!$C$54</f>
        <v>0.5</v>
      </c>
      <c r="AC11">
        <f>'[3]Template '!$C$55</f>
        <v>0.24107142857142858</v>
      </c>
      <c r="AD11">
        <f>'[3]Template '!$C$56</f>
        <v>0.57658730158730165</v>
      </c>
      <c r="AF11">
        <f>'[3]Template '!$Z$30</f>
        <v>0</v>
      </c>
      <c r="AG11">
        <f>'[3]Template '!$AB$75</f>
        <v>0</v>
      </c>
      <c r="AH11">
        <f>'[3]Template '!$AD$75</f>
        <v>0</v>
      </c>
      <c r="AI11">
        <f>'[3]Template '!$AF$75</f>
        <v>0</v>
      </c>
      <c r="AJ11">
        <f>'[3]Template '!$AR$97</f>
        <v>0.5</v>
      </c>
      <c r="AK11">
        <f>'[3]Template '!$AS$97</f>
        <v>0</v>
      </c>
      <c r="AL11">
        <f>'[3]Template '!$AZ$97</f>
        <v>0</v>
      </c>
      <c r="AM11">
        <f>'[3]Template '!$BB$97</f>
        <v>0</v>
      </c>
      <c r="AN11">
        <f>'[3]Template '!$AU$53</f>
        <v>0</v>
      </c>
      <c r="AO11">
        <f>'[3]Template '!$AV$53</f>
        <v>0</v>
      </c>
      <c r="AP11">
        <f>'[3]Template '!$AY$53</f>
        <v>0</v>
      </c>
      <c r="AQ11">
        <f>'[3]Template '!$AX$53</f>
        <v>0</v>
      </c>
      <c r="AR11">
        <f>'[3]Template '!$AZ$53</f>
        <v>0</v>
      </c>
      <c r="AS11">
        <f>'[3]Template '!$BF$53</f>
        <v>0</v>
      </c>
    </row>
    <row r="12" spans="1:128" x14ac:dyDescent="0.2">
      <c r="B12" t="s">
        <v>107</v>
      </c>
      <c r="D12" t="str">
        <f t="shared" si="0"/>
        <v>M_022.xlsx</v>
      </c>
      <c r="F12" t="str">
        <f>'[4]Template '!$C$2</f>
        <v>D only</v>
      </c>
      <c r="H12">
        <f>'[4]Template '!$C$29</f>
        <v>0.66666666666666663</v>
      </c>
      <c r="I12" t="str">
        <f>'[4]Template '!$C$30</f>
        <v>n/a</v>
      </c>
      <c r="J12">
        <f>'[4]Template '!$C$31</f>
        <v>0.16666666666666666</v>
      </c>
      <c r="K12">
        <f>'[4]Template '!$C$32</f>
        <v>0.54411764705882359</v>
      </c>
      <c r="L12">
        <f>'[4]Template '!$C$33</f>
        <v>0.65873015873015872</v>
      </c>
      <c r="N12">
        <f>'[4]Template '!$C$74</f>
        <v>0.51818181818181819</v>
      </c>
      <c r="O12" t="str">
        <f>'[4]Template '!$C$75</f>
        <v>n/a</v>
      </c>
      <c r="P12">
        <f>'[4]Template '!$C$76</f>
        <v>0.21428571428571427</v>
      </c>
      <c r="Q12">
        <f>'[4]Template '!$C$77</f>
        <v>0.11904761904761904</v>
      </c>
      <c r="R12">
        <f>'[4]Template '!$C$78</f>
        <v>0.28769841269841273</v>
      </c>
      <c r="T12">
        <f>'[4]Template '!$C$96</f>
        <v>0.64583333333333326</v>
      </c>
      <c r="U12">
        <f>'[4]Template '!$C$97</f>
        <v>0.34074074074074073</v>
      </c>
      <c r="V12">
        <f>'[4]Template '!$C$98</f>
        <v>0</v>
      </c>
      <c r="W12">
        <f>'[4]Template '!$C$99</f>
        <v>0.28787878787878785</v>
      </c>
      <c r="X12">
        <f>'[4]Template '!$C$100</f>
        <v>0.79007936507936505</v>
      </c>
      <c r="Z12">
        <f>'[4]Template '!$C$52</f>
        <v>0.77341269841269844</v>
      </c>
      <c r="AA12">
        <f>'[4]Template '!$C$53</f>
        <v>0.34074074074074073</v>
      </c>
      <c r="AB12">
        <f>'[4]Template '!$C$54</f>
        <v>0</v>
      </c>
      <c r="AC12">
        <f>'[4]Template '!$C$55</f>
        <v>0.43005952380952378</v>
      </c>
      <c r="AD12">
        <f>'[4]Template '!$C$56</f>
        <v>0.60079365079365077</v>
      </c>
      <c r="AF12">
        <f>'[4]Template '!$Z$30</f>
        <v>0</v>
      </c>
      <c r="AG12">
        <f>'[4]Template '!$AB$75</f>
        <v>0</v>
      </c>
      <c r="AH12">
        <f>'[4]Template '!$AD$75</f>
        <v>0</v>
      </c>
      <c r="AI12">
        <f>'[4]Template '!$AF$75</f>
        <v>0</v>
      </c>
      <c r="AJ12">
        <f>'[4]Template '!$AR$97</f>
        <v>1</v>
      </c>
      <c r="AK12">
        <f>'[4]Template '!$AS$97</f>
        <v>1</v>
      </c>
      <c r="AL12">
        <f>'[4]Template '!$AZ$97</f>
        <v>0.5</v>
      </c>
      <c r="AM12">
        <f>'[4]Template '!$BB$97</f>
        <v>0</v>
      </c>
      <c r="AN12">
        <f>'[4]Template '!$AU$53</f>
        <v>0.5</v>
      </c>
      <c r="AO12">
        <f>'[4]Template '!$AV$53</f>
        <v>0.5</v>
      </c>
      <c r="AP12">
        <f>'[4]Template '!$AY$53</f>
        <v>0</v>
      </c>
      <c r="AQ12">
        <f>'[4]Template '!$AX$53</f>
        <v>0.5</v>
      </c>
      <c r="AR12">
        <f>'[4]Template '!$AZ$53</f>
        <v>1</v>
      </c>
      <c r="AS12">
        <f>'[4]Template '!$BF$53</f>
        <v>0.5</v>
      </c>
    </row>
    <row r="13" spans="1:128" x14ac:dyDescent="0.2">
      <c r="B13" t="s">
        <v>108</v>
      </c>
      <c r="D13" t="str">
        <f t="shared" si="0"/>
        <v>M_024.xlsx</v>
      </c>
      <c r="F13" t="str">
        <f>'[5]Template '!$C$2</f>
        <v>D only</v>
      </c>
      <c r="H13">
        <f>'[5]Template '!$C$29</f>
        <v>0</v>
      </c>
      <c r="I13" t="str">
        <f>'[5]Template '!$C$30</f>
        <v>n/a</v>
      </c>
      <c r="J13">
        <f>'[5]Template '!$C$31</f>
        <v>0</v>
      </c>
      <c r="K13">
        <f>'[5]Template '!$C$32</f>
        <v>0.23529411764705882</v>
      </c>
      <c r="L13">
        <f>'[5]Template '!$C$33</f>
        <v>0.48214285714285721</v>
      </c>
      <c r="N13">
        <f>'[5]Template '!$C$74</f>
        <v>0.65454545454545454</v>
      </c>
      <c r="O13" t="str">
        <f>'[5]Template '!$C$75</f>
        <v>n/a</v>
      </c>
      <c r="P13">
        <f>'[5]Template '!$C$76</f>
        <v>7.1428571428571425E-2</v>
      </c>
      <c r="Q13">
        <f>'[5]Template '!$C$77</f>
        <v>0.46428571428571425</v>
      </c>
      <c r="R13">
        <f>'[5]Template '!$C$78</f>
        <v>0.50595238095238093</v>
      </c>
      <c r="T13">
        <f>'[5]Template '!$C$96</f>
        <v>0.65625</v>
      </c>
      <c r="U13">
        <f>'[5]Template '!$C$97</f>
        <v>0.30740740740740741</v>
      </c>
      <c r="V13">
        <f>'[5]Template '!$C$98</f>
        <v>0</v>
      </c>
      <c r="W13">
        <f>'[5]Template '!$C$99</f>
        <v>0.34235209235209235</v>
      </c>
      <c r="X13">
        <f>'[5]Template '!$C$100</f>
        <v>0.61190476190476184</v>
      </c>
      <c r="Z13">
        <f>'[5]Template '!$C$52</f>
        <v>0</v>
      </c>
      <c r="AA13">
        <f>'[5]Template '!$C$53</f>
        <v>0.30740740740740741</v>
      </c>
      <c r="AB13">
        <f>'[5]Template '!$C$54</f>
        <v>0</v>
      </c>
      <c r="AC13">
        <f>'[5]Template '!$C$55</f>
        <v>0.32142857142857145</v>
      </c>
      <c r="AD13">
        <f>'[5]Template '!$C$56</f>
        <v>0.57857142857142863</v>
      </c>
      <c r="AF13">
        <f>'[5]Template '!$Z$30</f>
        <v>0</v>
      </c>
      <c r="AG13">
        <f>'[5]Template '!$AB$75</f>
        <v>0</v>
      </c>
      <c r="AH13">
        <f>'[5]Template '!$AD$75</f>
        <v>0</v>
      </c>
      <c r="AI13">
        <f>'[5]Template '!$AF$75</f>
        <v>0</v>
      </c>
      <c r="AJ13">
        <f>'[5]Template '!$AR$97</f>
        <v>0</v>
      </c>
      <c r="AK13">
        <f>'[5]Template '!$AS$97</f>
        <v>0</v>
      </c>
      <c r="AL13">
        <f>'[5]Template '!$AZ$97</f>
        <v>0</v>
      </c>
      <c r="AM13">
        <f>'[5]Template '!$BB$97</f>
        <v>0</v>
      </c>
      <c r="AN13">
        <f>'[5]Template '!$AU$53</f>
        <v>0</v>
      </c>
      <c r="AO13">
        <f>'[5]Template '!$AV$53</f>
        <v>0</v>
      </c>
      <c r="AP13">
        <f>'[5]Template '!$AY$53</f>
        <v>0</v>
      </c>
      <c r="AQ13">
        <f>'[5]Template '!$AX$53</f>
        <v>0</v>
      </c>
      <c r="AR13">
        <f>'[5]Template '!$AZ$53</f>
        <v>0</v>
      </c>
      <c r="AS13">
        <f>'[5]Template '!$BF$53</f>
        <v>0</v>
      </c>
    </row>
    <row r="14" spans="1:128" x14ac:dyDescent="0.2">
      <c r="B14" t="s">
        <v>109</v>
      </c>
      <c r="D14" t="str">
        <f t="shared" si="0"/>
        <v>M_027.xlsx</v>
      </c>
      <c r="F14" t="s">
        <v>110</v>
      </c>
      <c r="H14">
        <v>0.44444444444444448</v>
      </c>
      <c r="I14" t="s">
        <v>111</v>
      </c>
      <c r="J14">
        <v>0.33333333333333331</v>
      </c>
      <c r="K14">
        <v>0.66911764705882359</v>
      </c>
      <c r="L14">
        <v>0.88293650793650791</v>
      </c>
      <c r="N14">
        <v>0.7</v>
      </c>
      <c r="O14" t="s">
        <v>111</v>
      </c>
      <c r="P14">
        <v>0.2857142857142857</v>
      </c>
      <c r="Q14">
        <v>0.47619047619047616</v>
      </c>
      <c r="R14">
        <v>0.75396825396825395</v>
      </c>
      <c r="T14">
        <v>0.7270833333333333</v>
      </c>
      <c r="U14">
        <v>0.41111111111111115</v>
      </c>
      <c r="V14">
        <v>0</v>
      </c>
      <c r="W14">
        <v>0.61183261183261184</v>
      </c>
      <c r="X14">
        <v>0.89484126984126977</v>
      </c>
      <c r="Z14">
        <v>0.83690476190476193</v>
      </c>
      <c r="AA14">
        <v>0.41111111111111115</v>
      </c>
      <c r="AB14">
        <v>0.5</v>
      </c>
      <c r="AC14">
        <v>0.38425925925925924</v>
      </c>
      <c r="AD14">
        <v>0.76825396825396819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0.5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</row>
    <row r="15" spans="1:128" x14ac:dyDescent="0.2">
      <c r="B15" t="s">
        <v>112</v>
      </c>
      <c r="D15" t="str">
        <f t="shared" si="0"/>
        <v>M_028.xlsx</v>
      </c>
      <c r="F15" t="str">
        <f>'[6]Template '!$C$2</f>
        <v>D+M</v>
      </c>
      <c r="H15">
        <f>'[6]Template '!$C$29</f>
        <v>0.41666666666666669</v>
      </c>
      <c r="I15" t="str">
        <f>'[6]Template '!$C$30</f>
        <v>n/a</v>
      </c>
      <c r="J15">
        <f>'[6]Template '!$C$31</f>
        <v>0.83333333333333326</v>
      </c>
      <c r="K15">
        <f>'[6]Template '!$C$32</f>
        <v>0.49183006535947715</v>
      </c>
      <c r="L15">
        <f>'[6]Template '!$C$33</f>
        <v>0.75198412698412687</v>
      </c>
      <c r="N15">
        <f>'[6]Template '!$C$74</f>
        <v>0.65454545454545454</v>
      </c>
      <c r="O15" t="str">
        <f>'[6]Template '!$C$75</f>
        <v>n/a</v>
      </c>
      <c r="P15">
        <f>'[6]Template '!$C$76</f>
        <v>0.7142857142857143</v>
      </c>
      <c r="Q15">
        <f>'[6]Template '!$C$77</f>
        <v>0.73809523809523814</v>
      </c>
      <c r="R15">
        <f>'[6]Template '!$C$78</f>
        <v>0.86706349206349209</v>
      </c>
      <c r="T15">
        <f>'[6]Template '!$C$96</f>
        <v>0.75</v>
      </c>
      <c r="U15">
        <f>'[6]Template '!$C$97</f>
        <v>0.53703703703703709</v>
      </c>
      <c r="V15">
        <f>'[6]Template '!$C$98</f>
        <v>1</v>
      </c>
      <c r="W15">
        <f>'[6]Template '!$C$99</f>
        <v>0.49278499278499277</v>
      </c>
      <c r="X15">
        <f>'[6]Template '!$C$100</f>
        <v>0.68134920634920648</v>
      </c>
      <c r="Z15">
        <f>'[6]Template '!$C$52</f>
        <v>0.75</v>
      </c>
      <c r="AA15">
        <f>'[6]Template '!$C$53</f>
        <v>0.53703703703703709</v>
      </c>
      <c r="AB15">
        <f>'[6]Template '!$C$54</f>
        <v>0</v>
      </c>
      <c r="AC15">
        <f>'[6]Template '!$C$55</f>
        <v>0.13541666666666666</v>
      </c>
      <c r="AD15">
        <f>'[6]Template '!$C$56</f>
        <v>0.75674603174603172</v>
      </c>
      <c r="AF15">
        <f>'[6]Template '!$Z$30</f>
        <v>0</v>
      </c>
      <c r="AG15">
        <f>'[6]Template '!$AB$75</f>
        <v>1</v>
      </c>
      <c r="AH15">
        <f>'[6]Template '!$AD$75</f>
        <v>1</v>
      </c>
      <c r="AI15">
        <f>'[6]Template '!$AF$75</f>
        <v>0</v>
      </c>
      <c r="AJ15">
        <f>'[6]Template '!$AR$97</f>
        <v>0</v>
      </c>
      <c r="AK15">
        <f>'[6]Template '!$AS$97</f>
        <v>0</v>
      </c>
      <c r="AL15">
        <f>'[6]Template '!$AZ$97</f>
        <v>0.5</v>
      </c>
      <c r="AM15">
        <f>'[6]Template '!$BB$97</f>
        <v>0.5</v>
      </c>
      <c r="AN15">
        <f>'[6]Template '!$AU$53</f>
        <v>0</v>
      </c>
      <c r="AO15">
        <f>'[6]Template '!$AV$53</f>
        <v>0</v>
      </c>
      <c r="AP15">
        <f>'[6]Template '!$AY$53</f>
        <v>0</v>
      </c>
      <c r="AQ15">
        <f>'[6]Template '!$AX$53</f>
        <v>0</v>
      </c>
      <c r="AR15">
        <f>'[6]Template '!$AZ$53</f>
        <v>0</v>
      </c>
      <c r="AS15">
        <f>'[6]Template '!$BF$53</f>
        <v>0</v>
      </c>
    </row>
    <row r="16" spans="1:128" x14ac:dyDescent="0.2">
      <c r="B16" t="s">
        <v>113</v>
      </c>
      <c r="D16" t="str">
        <f t="shared" si="0"/>
        <v>M_029.xlsx</v>
      </c>
      <c r="F16" t="str">
        <f>'[7]Template '!$C$2</f>
        <v>D+M</v>
      </c>
      <c r="H16">
        <f>'[7]Template '!$C$29</f>
        <v>0.83333333333333337</v>
      </c>
      <c r="I16" t="str">
        <f>'[7]Template '!$C$30</f>
        <v>n/a</v>
      </c>
      <c r="J16">
        <f>'[7]Template '!$C$31</f>
        <v>0.41666666666666663</v>
      </c>
      <c r="K16">
        <f>'[7]Template '!$C$32</f>
        <v>0.61029411764705888</v>
      </c>
      <c r="L16">
        <f>'[7]Template '!$C$33</f>
        <v>0.59126984126984128</v>
      </c>
      <c r="N16">
        <f>'[7]Template '!$C$74</f>
        <v>0.49545454545454548</v>
      </c>
      <c r="O16" t="str">
        <f>'[7]Template '!$C$75</f>
        <v>n/a</v>
      </c>
      <c r="P16">
        <f>'[7]Template '!$C$76</f>
        <v>3.5714285714285712E-2</v>
      </c>
      <c r="Q16">
        <f>'[7]Template '!$C$77</f>
        <v>0.47619047619047616</v>
      </c>
      <c r="R16">
        <f>'[7]Template '!$C$78</f>
        <v>0.4424603174603175</v>
      </c>
      <c r="T16">
        <f>'[7]Template '!$C$96</f>
        <v>0.6875</v>
      </c>
      <c r="U16">
        <f>'[7]Template '!$C$97</f>
        <v>0.37407407407407406</v>
      </c>
      <c r="V16">
        <f>'[7]Template '!$C$98</f>
        <v>0.5</v>
      </c>
      <c r="W16">
        <f>'[7]Template '!$C$99</f>
        <v>0.35425685425685427</v>
      </c>
      <c r="X16">
        <f>'[7]Template '!$C$100</f>
        <v>0.51904761904761909</v>
      </c>
      <c r="Z16">
        <f>'[7]Template '!$C$52</f>
        <v>0.68055555555555558</v>
      </c>
      <c r="AA16">
        <f>'[7]Template '!$C$53</f>
        <v>0.37407407407407406</v>
      </c>
      <c r="AB16">
        <f>'[7]Template '!$C$54</f>
        <v>0.5</v>
      </c>
      <c r="AC16">
        <f>'[7]Template '!$C$55</f>
        <v>0.27083333333333331</v>
      </c>
      <c r="AD16">
        <f>'[7]Template '!$C$56</f>
        <v>0.65</v>
      </c>
      <c r="AF16">
        <f>'[7]Template '!$Z$30</f>
        <v>0</v>
      </c>
      <c r="AG16">
        <f>'[7]Template '!$AB$75</f>
        <v>0</v>
      </c>
      <c r="AH16">
        <f>'[7]Template '!$AD$75</f>
        <v>0</v>
      </c>
      <c r="AI16">
        <f>'[7]Template '!$AF$75</f>
        <v>0</v>
      </c>
      <c r="AJ16">
        <f>'[7]Template '!$AR$97</f>
        <v>0</v>
      </c>
      <c r="AK16">
        <f>'[7]Template '!$AS$97</f>
        <v>0</v>
      </c>
      <c r="AL16">
        <f>'[7]Template '!$AZ$97</f>
        <v>0</v>
      </c>
      <c r="AM16">
        <f>'[7]Template '!$BB$97</f>
        <v>0</v>
      </c>
      <c r="AN16">
        <f>'[7]Template '!$AU$53</f>
        <v>0</v>
      </c>
      <c r="AO16">
        <f>'[7]Template '!$AV$53</f>
        <v>0</v>
      </c>
      <c r="AP16">
        <f>'[7]Template '!$AY$53</f>
        <v>0</v>
      </c>
      <c r="AQ16">
        <f>'[7]Template '!$AX$53</f>
        <v>0</v>
      </c>
      <c r="AR16">
        <f>'[7]Template '!$AZ$53</f>
        <v>0</v>
      </c>
      <c r="AS16">
        <f>'[7]Template '!$BF$53</f>
        <v>0</v>
      </c>
    </row>
    <row r="17" spans="2:45" x14ac:dyDescent="0.2">
      <c r="B17" t="s">
        <v>114</v>
      </c>
      <c r="D17" t="str">
        <f t="shared" si="0"/>
        <v>M_030.xlsx</v>
      </c>
      <c r="F17" t="str">
        <f>'[8]Template '!$C$2</f>
        <v>D+M</v>
      </c>
      <c r="H17">
        <f>'[8]Template '!$C$29</f>
        <v>0.3888888888888889</v>
      </c>
      <c r="I17" t="str">
        <f>'[8]Template '!$C$30</f>
        <v>n/a</v>
      </c>
      <c r="J17">
        <f>'[8]Template '!$C$31</f>
        <v>0.58333333333333326</v>
      </c>
      <c r="K17">
        <f>'[8]Template '!$C$32</f>
        <v>0.51470588235294112</v>
      </c>
      <c r="L17">
        <f>'[8]Template '!$C$33</f>
        <v>0.58333333333333337</v>
      </c>
      <c r="N17">
        <f>'[8]Template '!$C$74</f>
        <v>0.65454545454545454</v>
      </c>
      <c r="O17" t="str">
        <f>'[8]Template '!$C$75</f>
        <v>n/a</v>
      </c>
      <c r="P17">
        <f>'[8]Template '!$C$76</f>
        <v>0.5</v>
      </c>
      <c r="Q17">
        <f>'[8]Template '!$C$77</f>
        <v>0.48809523809523803</v>
      </c>
      <c r="R17">
        <f>'[8]Template '!$C$78</f>
        <v>0.68253968253968245</v>
      </c>
      <c r="T17">
        <f>'[8]Template '!$C$96</f>
        <v>0.70833333333333326</v>
      </c>
      <c r="U17">
        <f>'[8]Template '!$C$97</f>
        <v>0.44444444444444442</v>
      </c>
      <c r="V17">
        <f>'[8]Template '!$C$98</f>
        <v>0.25</v>
      </c>
      <c r="W17">
        <f>'[8]Template '!$C$99</f>
        <v>0.43873610050080636</v>
      </c>
      <c r="X17">
        <f>'[8]Template '!$C$100</f>
        <v>0.70515873015873021</v>
      </c>
      <c r="Z17">
        <f>'[8]Template '!$C$52</f>
        <v>0.70833333333333326</v>
      </c>
      <c r="AA17">
        <f>'[8]Template '!$C$53</f>
        <v>0.44444444444444442</v>
      </c>
      <c r="AB17">
        <f>'[8]Template '!$C$54</f>
        <v>0</v>
      </c>
      <c r="AC17">
        <f>'[8]Template '!$C$55</f>
        <v>0.52083333333333337</v>
      </c>
      <c r="AD17">
        <f>'[8]Template '!$C$56</f>
        <v>0.68333333333333324</v>
      </c>
      <c r="AF17">
        <f>'[8]Template '!$Z$30</f>
        <v>0</v>
      </c>
      <c r="AG17">
        <f>'[8]Template '!$AB$75</f>
        <v>0</v>
      </c>
      <c r="AH17">
        <f>'[8]Template '!$AD$75</f>
        <v>0</v>
      </c>
      <c r="AI17">
        <f>'[8]Template '!$AF$75</f>
        <v>0</v>
      </c>
      <c r="AJ17">
        <f>'[8]Template '!$AR$97</f>
        <v>0</v>
      </c>
      <c r="AK17">
        <f>'[8]Template '!$AS$97</f>
        <v>1</v>
      </c>
      <c r="AL17">
        <f>'[8]Template '!$AZ$97</f>
        <v>0</v>
      </c>
      <c r="AM17">
        <f>'[8]Template '!$BB$97</f>
        <v>0</v>
      </c>
      <c r="AN17">
        <f>'[8]Template '!$AU$53</f>
        <v>1</v>
      </c>
      <c r="AO17">
        <f>'[8]Template '!$AV$53</f>
        <v>0</v>
      </c>
      <c r="AP17">
        <f>'[8]Template '!$AY$53</f>
        <v>0</v>
      </c>
      <c r="AQ17">
        <f>'[8]Template '!$AX$53</f>
        <v>0</v>
      </c>
      <c r="AR17">
        <f>'[8]Template '!$AZ$53</f>
        <v>0</v>
      </c>
      <c r="AS17">
        <f>'[8]Template '!$BF$53</f>
        <v>0.5</v>
      </c>
    </row>
    <row r="18" spans="2:45" x14ac:dyDescent="0.2">
      <c r="B18" t="s">
        <v>115</v>
      </c>
      <c r="D18" t="str">
        <f t="shared" si="0"/>
        <v>M_031.xlsx</v>
      </c>
      <c r="F18" t="str">
        <f>'[9]Template '!$C$2</f>
        <v>D only</v>
      </c>
      <c r="H18">
        <f>'[9]Template '!$C$29</f>
        <v>0.66666666666666663</v>
      </c>
      <c r="I18" t="str">
        <f>'[9]Template '!$C$30</f>
        <v>n/a</v>
      </c>
      <c r="J18">
        <f>'[9]Template '!$C$31</f>
        <v>0.58333333333333326</v>
      </c>
      <c r="K18">
        <f>'[9]Template '!$C$32</f>
        <v>0.19117647058823528</v>
      </c>
      <c r="L18">
        <f>'[9]Template '!$C$33</f>
        <v>0.34523809523809518</v>
      </c>
      <c r="N18">
        <f>'[9]Template '!$C$74</f>
        <v>0.47272727272727272</v>
      </c>
      <c r="O18" t="str">
        <f>'[9]Template '!$C$75</f>
        <v>n/a</v>
      </c>
      <c r="P18">
        <f>'[9]Template '!$C$76</f>
        <v>0.42857142857142855</v>
      </c>
      <c r="Q18">
        <f>'[9]Template '!$C$77</f>
        <v>0.54761904761904756</v>
      </c>
      <c r="R18">
        <f>'[9]Template '!$C$78</f>
        <v>0.3611111111111111</v>
      </c>
      <c r="T18">
        <f>'[9]Template '!$C$96</f>
        <v>0.8</v>
      </c>
      <c r="U18">
        <f>'[9]Template '!$C$97</f>
        <v>0.38148148148148148</v>
      </c>
      <c r="V18">
        <f>'[9]Template '!$C$98</f>
        <v>0.5</v>
      </c>
      <c r="W18">
        <f>'[9]Template '!$C$99</f>
        <v>0.20995670995670992</v>
      </c>
      <c r="X18">
        <f>'[9]Template '!$C$100</f>
        <v>0.55555555555555547</v>
      </c>
      <c r="Z18">
        <f>'[9]Template '!$C$52</f>
        <v>0.21349206349206351</v>
      </c>
      <c r="AA18">
        <f>'[9]Template '!$C$53</f>
        <v>0.38148148148148148</v>
      </c>
      <c r="AB18">
        <f>'[9]Template '!$C$54</f>
        <v>0.5</v>
      </c>
      <c r="AC18">
        <f>'[9]Template '!$C$55</f>
        <v>0.23958333333333334</v>
      </c>
      <c r="AD18">
        <f>'[9]Template '!$C$56</f>
        <v>0.32777777777777778</v>
      </c>
      <c r="AF18">
        <f>'[9]Template '!$Z$30</f>
        <v>0</v>
      </c>
      <c r="AG18">
        <f>'[9]Template '!$AB$75</f>
        <v>1</v>
      </c>
      <c r="AH18">
        <f>'[9]Template '!$AD$75</f>
        <v>0</v>
      </c>
      <c r="AI18">
        <f>'[9]Template '!$AF$75</f>
        <v>0</v>
      </c>
      <c r="AJ18">
        <f>'[9]Template '!$AR$97</f>
        <v>0</v>
      </c>
      <c r="AK18">
        <f>'[9]Template '!$AS$97</f>
        <v>1</v>
      </c>
      <c r="AL18">
        <f>'[9]Template '!$AZ$97</f>
        <v>0</v>
      </c>
      <c r="AM18">
        <f>'[9]Template '!$BB$97</f>
        <v>0</v>
      </c>
      <c r="AN18">
        <f>'[9]Template '!$AU$53</f>
        <v>0</v>
      </c>
      <c r="AO18">
        <f>'[9]Template '!$AV$53</f>
        <v>0</v>
      </c>
      <c r="AP18">
        <f>'[9]Template '!$AY$53</f>
        <v>0</v>
      </c>
      <c r="AQ18">
        <f>'[9]Template '!$AX$53</f>
        <v>0</v>
      </c>
      <c r="AR18">
        <f>'[9]Template '!$AZ$53</f>
        <v>0</v>
      </c>
      <c r="AS18">
        <f>'[9]Template '!$BF$53</f>
        <v>0</v>
      </c>
    </row>
    <row r="19" spans="2:45" x14ac:dyDescent="0.2">
      <c r="B19" t="s">
        <v>116</v>
      </c>
      <c r="D19" t="str">
        <f t="shared" si="0"/>
        <v>M_032.xlsx</v>
      </c>
      <c r="F19" t="str">
        <f>'[10]Template '!$C$2</f>
        <v>D+M</v>
      </c>
      <c r="H19">
        <f>'[10]Template '!$C$29</f>
        <v>0.41666666666666669</v>
      </c>
      <c r="I19" t="str">
        <f>'[10]Template '!$C$30</f>
        <v>n/a</v>
      </c>
      <c r="J19">
        <f>'[10]Template '!$C$31</f>
        <v>0.25</v>
      </c>
      <c r="K19">
        <f>'[10]Template '!$C$32</f>
        <v>0.875</v>
      </c>
      <c r="L19">
        <f>'[10]Template '!$C$33</f>
        <v>0.95833333333333337</v>
      </c>
      <c r="N19">
        <f>'[10]Template '!$C$74</f>
        <v>0.7</v>
      </c>
      <c r="O19" t="str">
        <f>'[10]Template '!$C$75</f>
        <v>n/a</v>
      </c>
      <c r="P19">
        <f>'[10]Template '!$C$76</f>
        <v>0.5357142857142857</v>
      </c>
      <c r="Q19">
        <f>'[10]Template '!$C$77</f>
        <v>0.64285714285714279</v>
      </c>
      <c r="R19">
        <f>'[10]Template '!$C$78</f>
        <v>0.8392857142857143</v>
      </c>
      <c r="T19">
        <f>'[10]Template '!$C$96</f>
        <v>0.8</v>
      </c>
      <c r="U19">
        <f>'[10]Template '!$C$97</f>
        <v>0.57777777777777783</v>
      </c>
      <c r="V19">
        <f>'[10]Template '!$C$98</f>
        <v>0.5</v>
      </c>
      <c r="W19">
        <f>'[10]Template '!$C$99</f>
        <v>0.78626602156013925</v>
      </c>
      <c r="X19">
        <f>'[10]Template '!$C$100</f>
        <v>0.90714285714285703</v>
      </c>
      <c r="Z19">
        <f>'[10]Template '!$C$52</f>
        <v>0.69444444444444442</v>
      </c>
      <c r="AA19">
        <f>'[10]Template '!$C$53</f>
        <v>0.57777777777777783</v>
      </c>
      <c r="AB19">
        <f>'[10]Template '!$C$54</f>
        <v>0.5</v>
      </c>
      <c r="AC19">
        <f>'[10]Template '!$C$55</f>
        <v>0.3125</v>
      </c>
      <c r="AD19">
        <f>'[10]Template '!$C$56</f>
        <v>0.90674603174603163</v>
      </c>
      <c r="AF19">
        <f>'[10]Template '!$Z$30</f>
        <v>1</v>
      </c>
      <c r="AG19">
        <f>'[10]Template '!$AB$75</f>
        <v>0</v>
      </c>
      <c r="AH19">
        <f>'[10]Template '!$AD$75</f>
        <v>1</v>
      </c>
      <c r="AI19">
        <f>'[10]Template '!$AF$75</f>
        <v>0</v>
      </c>
      <c r="AJ19">
        <f>'[10]Template '!$AR$97</f>
        <v>1</v>
      </c>
      <c r="AK19">
        <f>'[10]Template '!$AS$97</f>
        <v>1</v>
      </c>
      <c r="AL19">
        <f>'[10]Template '!$AZ$97</f>
        <v>1</v>
      </c>
      <c r="AM19">
        <f>'[10]Template '!$BB$97</f>
        <v>1</v>
      </c>
      <c r="AN19">
        <f>'[10]Template '!$AU$53</f>
        <v>1</v>
      </c>
      <c r="AO19">
        <f>'[10]Template '!$AV$53</f>
        <v>1</v>
      </c>
      <c r="AP19">
        <f>'[10]Template '!$AY$53</f>
        <v>0.5</v>
      </c>
      <c r="AQ19">
        <f>'[10]Template '!$AX$53</f>
        <v>1</v>
      </c>
      <c r="AR19">
        <f>'[10]Template '!$AZ$53</f>
        <v>0</v>
      </c>
      <c r="AS19">
        <f>'[10]Template '!$BF$53</f>
        <v>0</v>
      </c>
    </row>
    <row r="20" spans="2:45" x14ac:dyDescent="0.2">
      <c r="B20" t="s">
        <v>117</v>
      </c>
      <c r="D20" t="str">
        <f t="shared" si="0"/>
        <v>M_033.xlsx</v>
      </c>
      <c r="F20" t="str">
        <f>'[11]Template '!$C$2</f>
        <v>D only</v>
      </c>
      <c r="H20">
        <f>'[11]Template '!$C$29</f>
        <v>0</v>
      </c>
      <c r="I20" t="str">
        <f>'[11]Template '!$C$30</f>
        <v>n/a</v>
      </c>
      <c r="J20">
        <f>'[11]Template '!$C$31</f>
        <v>0.41666666666666663</v>
      </c>
      <c r="K20">
        <f>'[11]Template '!$C$32</f>
        <v>0.56617647058823528</v>
      </c>
      <c r="L20">
        <f>'[11]Template '!$C$33</f>
        <v>0.65873015873015872</v>
      </c>
      <c r="N20">
        <f>'[11]Template '!$C$74</f>
        <v>0.29090909090909089</v>
      </c>
      <c r="O20" t="str">
        <f>'[11]Template '!$C$75</f>
        <v>n/a</v>
      </c>
      <c r="P20">
        <f>'[11]Template '!$C$76</f>
        <v>0.3571428571428571</v>
      </c>
      <c r="Q20">
        <f>'[11]Template '!$C$77</f>
        <v>0.46428571428571425</v>
      </c>
      <c r="R20">
        <f>'[11]Template '!$C$78</f>
        <v>0.62103174603174605</v>
      </c>
      <c r="T20">
        <f>'[11]Template '!$C$96</f>
        <v>0.40625</v>
      </c>
      <c r="U20">
        <f>'[11]Template '!$C$97</f>
        <v>0.24444444444444446</v>
      </c>
      <c r="V20">
        <f>'[11]Template '!$C$98</f>
        <v>0.5</v>
      </c>
      <c r="W20">
        <f>'[11]Template '!$C$99</f>
        <v>0.30014430014430016</v>
      </c>
      <c r="X20">
        <f>'[11]Template '!$C$100</f>
        <v>0.63650793650793647</v>
      </c>
      <c r="Z20">
        <f>'[11]Template '!$C$52</f>
        <v>0.14166666666666666</v>
      </c>
      <c r="AA20">
        <f>'[11]Template '!$C$53</f>
        <v>0.24444444444444446</v>
      </c>
      <c r="AB20">
        <f>'[11]Template '!$C$54</f>
        <v>0.5</v>
      </c>
      <c r="AC20">
        <f>'[11]Template '!$C$55</f>
        <v>0.25</v>
      </c>
      <c r="AD20">
        <f>'[11]Template '!$C$56</f>
        <v>0.67023809523809519</v>
      </c>
      <c r="AF20">
        <f>'[11]Template '!$Z$30</f>
        <v>0</v>
      </c>
      <c r="AG20">
        <f>'[11]Template '!$AB$75</f>
        <v>0</v>
      </c>
      <c r="AH20">
        <f>'[11]Template '!$AD$75</f>
        <v>0</v>
      </c>
      <c r="AI20">
        <f>'[11]Template '!$AF$75</f>
        <v>0</v>
      </c>
      <c r="AJ20">
        <f>'[11]Template '!$AR$97</f>
        <v>0</v>
      </c>
      <c r="AK20">
        <f>'[11]Template '!$AS$97</f>
        <v>0</v>
      </c>
      <c r="AL20">
        <f>'[11]Template '!$AZ$97</f>
        <v>0</v>
      </c>
      <c r="AM20">
        <f>'[11]Template '!$BB$97</f>
        <v>0</v>
      </c>
      <c r="AN20">
        <f>'[11]Template '!$AU$53</f>
        <v>0</v>
      </c>
      <c r="AO20">
        <f>'[11]Template '!$AV$53</f>
        <v>0</v>
      </c>
      <c r="AP20">
        <f>'[11]Template '!$AY$53</f>
        <v>0</v>
      </c>
      <c r="AQ20">
        <f>'[11]Template '!$AX$53</f>
        <v>0</v>
      </c>
      <c r="AR20">
        <f>'[11]Template '!$AZ$53</f>
        <v>0</v>
      </c>
      <c r="AS20">
        <f>'[11]Template '!$BF$53</f>
        <v>0</v>
      </c>
    </row>
    <row r="21" spans="2:45" x14ac:dyDescent="0.2">
      <c r="B21" t="s">
        <v>118</v>
      </c>
      <c r="D21" t="str">
        <f t="shared" si="0"/>
        <v>M_034.xlsx</v>
      </c>
      <c r="F21" t="str">
        <f>'[12]Template '!$C$2</f>
        <v>D+M</v>
      </c>
      <c r="H21">
        <f>'[12]Template '!$C$29</f>
        <v>0.3888888888888889</v>
      </c>
      <c r="I21" t="str">
        <f>'[12]Template '!$C$30</f>
        <v>n/a</v>
      </c>
      <c r="J21">
        <f>'[12]Template '!$C$31</f>
        <v>0.66666666666666663</v>
      </c>
      <c r="K21">
        <f>'[12]Template '!$C$32</f>
        <v>0.60294117647058831</v>
      </c>
      <c r="L21">
        <f>'[12]Template '!$C$33</f>
        <v>0.78968253968253954</v>
      </c>
      <c r="N21">
        <f>'[12]Template '!$C$74</f>
        <v>0.63181818181818183</v>
      </c>
      <c r="O21" t="str">
        <f>'[12]Template '!$C$75</f>
        <v>n/a</v>
      </c>
      <c r="P21">
        <f>'[12]Template '!$C$76</f>
        <v>0.21428571428571427</v>
      </c>
      <c r="Q21">
        <f>'[12]Template '!$C$77</f>
        <v>0.48809523809523803</v>
      </c>
      <c r="R21">
        <f>'[12]Template '!$C$78</f>
        <v>0.71031746031746035</v>
      </c>
      <c r="T21">
        <f>'[12]Template '!$C$96</f>
        <v>0.71875</v>
      </c>
      <c r="U21">
        <f>'[12]Template '!$C$97</f>
        <v>0.47407407407407415</v>
      </c>
      <c r="V21">
        <f>'[12]Template '!$C$98</f>
        <v>0.5</v>
      </c>
      <c r="W21">
        <f>'[12]Template '!$C$99</f>
        <v>0.44408369408369402</v>
      </c>
      <c r="X21">
        <f>'[12]Template '!$C$100</f>
        <v>0.74246031746031749</v>
      </c>
      <c r="Z21">
        <f>'[12]Template '!$C$52</f>
        <v>0.72222222222222232</v>
      </c>
      <c r="AA21">
        <f>'[12]Template '!$C$53</f>
        <v>0.47407407407407415</v>
      </c>
      <c r="AB21">
        <f>'[12]Template '!$C$54</f>
        <v>0.5</v>
      </c>
      <c r="AC21">
        <f>'[12]Template '!$C$55</f>
        <v>0.34375</v>
      </c>
      <c r="AD21">
        <f>'[12]Template '!$C$56</f>
        <v>0.84563492063492063</v>
      </c>
      <c r="AF21">
        <f>'[12]Template '!$Z$30</f>
        <v>0</v>
      </c>
      <c r="AG21">
        <f>'[12]Template '!$AB$75</f>
        <v>0</v>
      </c>
      <c r="AH21">
        <f>'[12]Template '!$AD$75</f>
        <v>0</v>
      </c>
      <c r="AI21">
        <f>'[12]Template '!$AF$75</f>
        <v>0</v>
      </c>
      <c r="AJ21">
        <f>'[12]Template '!$AR$97</f>
        <v>0.5</v>
      </c>
      <c r="AK21">
        <f>'[12]Template '!$AS$97</f>
        <v>0</v>
      </c>
      <c r="AL21">
        <f>'[12]Template '!$AZ$97</f>
        <v>0</v>
      </c>
      <c r="AM21">
        <f>'[12]Template '!$BB$97</f>
        <v>0</v>
      </c>
      <c r="AN21">
        <f>'[12]Template '!$AU$53</f>
        <v>0.5</v>
      </c>
      <c r="AO21">
        <f>'[12]Template '!$AV$53</f>
        <v>0.5</v>
      </c>
      <c r="AP21">
        <f>'[12]Template '!$AY$53</f>
        <v>0</v>
      </c>
      <c r="AQ21">
        <f>'[12]Template '!$AX$53</f>
        <v>0</v>
      </c>
      <c r="AR21">
        <f>'[12]Template '!$AZ$53</f>
        <v>0</v>
      </c>
      <c r="AS21">
        <f>'[12]Template '!$BF$53</f>
        <v>0</v>
      </c>
    </row>
    <row r="22" spans="2:45" x14ac:dyDescent="0.2">
      <c r="B22" t="s">
        <v>119</v>
      </c>
      <c r="D22" t="str">
        <f t="shared" si="0"/>
        <v>M_035.xlsx</v>
      </c>
      <c r="F22" t="str">
        <f>'[13]Template '!$C$2</f>
        <v>D only</v>
      </c>
      <c r="H22">
        <f>'[13]Template '!$C$29</f>
        <v>0.27777777777777779</v>
      </c>
      <c r="I22" t="str">
        <f>'[13]Template '!$C$30</f>
        <v>n/a</v>
      </c>
      <c r="J22">
        <f>'[13]Template '!$C$31</f>
        <v>0.33333333333333331</v>
      </c>
      <c r="K22">
        <f>'[13]Template '!$C$32</f>
        <v>0.48529411764705882</v>
      </c>
      <c r="L22">
        <f>'[13]Template '!$C$33</f>
        <v>0.50396825396825395</v>
      </c>
      <c r="N22">
        <f>'[13]Template '!$C$74</f>
        <v>0.51818181818181819</v>
      </c>
      <c r="O22" t="str">
        <f>'[13]Template '!$C$75</f>
        <v>n/a</v>
      </c>
      <c r="P22">
        <f>'[13]Template '!$C$76</f>
        <v>0</v>
      </c>
      <c r="Q22">
        <f>'[13]Template '!$C$77</f>
        <v>0.19047619047619047</v>
      </c>
      <c r="R22">
        <f>'[13]Template '!$C$78</f>
        <v>0.24999999999999997</v>
      </c>
      <c r="T22">
        <f>'[13]Template '!$C$96</f>
        <v>0.26041666666666663</v>
      </c>
      <c r="U22">
        <f>'[13]Template '!$C$97</f>
        <v>0.27407407407407408</v>
      </c>
      <c r="V22">
        <f>'[13]Template '!$C$98</f>
        <v>0.5</v>
      </c>
      <c r="W22">
        <f>'[13]Template '!$C$99</f>
        <v>6.0606060606060608E-2</v>
      </c>
      <c r="X22">
        <f>'[13]Template '!$C$100</f>
        <v>0.20158730158730162</v>
      </c>
      <c r="Z22">
        <f>'[13]Template '!$C$52</f>
        <v>0</v>
      </c>
      <c r="AA22">
        <f>'[13]Template '!$C$53</f>
        <v>0.27407407407407408</v>
      </c>
      <c r="AB22">
        <f>'[13]Template '!$C$54</f>
        <v>0</v>
      </c>
      <c r="AC22">
        <f>'[13]Template '!$C$55</f>
        <v>0</v>
      </c>
      <c r="AD22">
        <f>'[13]Template '!$C$56</f>
        <v>0.24166666666666667</v>
      </c>
      <c r="AF22">
        <f>'[13]Template '!$Z$30</f>
        <v>0</v>
      </c>
      <c r="AG22">
        <f>'[13]Template '!$AB$75</f>
        <v>0</v>
      </c>
      <c r="AH22">
        <f>'[13]Template '!$AD$75</f>
        <v>0</v>
      </c>
      <c r="AI22">
        <f>'[13]Template '!$AF$75</f>
        <v>0</v>
      </c>
      <c r="AJ22">
        <f>'[13]Template '!$AR$97</f>
        <v>0</v>
      </c>
      <c r="AK22">
        <f>'[13]Template '!$AS$97</f>
        <v>0</v>
      </c>
      <c r="AL22">
        <f>'[13]Template '!$AZ$97</f>
        <v>0</v>
      </c>
      <c r="AM22">
        <f>'[13]Template '!$BB$97</f>
        <v>0</v>
      </c>
      <c r="AN22">
        <f>'[13]Template '!$AU$53</f>
        <v>0</v>
      </c>
      <c r="AO22">
        <f>'[13]Template '!$AV$53</f>
        <v>0</v>
      </c>
      <c r="AP22">
        <f>'[13]Template '!$AY$53</f>
        <v>0</v>
      </c>
      <c r="AQ22">
        <f>'[13]Template '!$AX$53</f>
        <v>0</v>
      </c>
      <c r="AR22">
        <f>'[13]Template '!$AZ$53</f>
        <v>0</v>
      </c>
      <c r="AS22">
        <f>'[13]Template '!$BF$53</f>
        <v>0</v>
      </c>
    </row>
    <row r="23" spans="2:45" x14ac:dyDescent="0.2">
      <c r="B23" t="s">
        <v>120</v>
      </c>
      <c r="D23" t="str">
        <f t="shared" si="0"/>
        <v>M_036.xlsx</v>
      </c>
      <c r="F23" t="str">
        <f>'[14]Template '!$C$2</f>
        <v>D only</v>
      </c>
      <c r="H23">
        <f>'[14]Template '!$C$29</f>
        <v>5.5555555555555552E-2</v>
      </c>
      <c r="I23" t="str">
        <f>'[14]Template '!$C$30</f>
        <v>n/a</v>
      </c>
      <c r="J23">
        <f>'[14]Template '!$C$31</f>
        <v>0.25</v>
      </c>
      <c r="K23">
        <f>'[14]Template '!$C$32</f>
        <v>0.41176470588235292</v>
      </c>
      <c r="L23">
        <f>'[14]Template '!$C$33</f>
        <v>0.51388888888888895</v>
      </c>
      <c r="N23">
        <f>'[14]Template '!$C$74</f>
        <v>0.38181818181818183</v>
      </c>
      <c r="O23" t="str">
        <f>'[14]Template '!$C$75</f>
        <v>n/a</v>
      </c>
      <c r="P23">
        <f>'[14]Template '!$C$76</f>
        <v>0.14285714285714285</v>
      </c>
      <c r="Q23">
        <f>'[14]Template '!$C$77</f>
        <v>0.5</v>
      </c>
      <c r="R23">
        <f>'[14]Template '!$C$78</f>
        <v>0.66666666666666663</v>
      </c>
      <c r="T23">
        <f>'[14]Template '!$C$96</f>
        <v>0.19583333333333333</v>
      </c>
      <c r="U23">
        <f>'[14]Template '!$C$97</f>
        <v>0.57777777777777783</v>
      </c>
      <c r="V23">
        <f>'[14]Template '!$C$98</f>
        <v>0</v>
      </c>
      <c r="W23">
        <f>'[14]Template '!$C$99</f>
        <v>0.22222222222222221</v>
      </c>
      <c r="X23">
        <f>'[14]Template '!$C$100</f>
        <v>0.47301587301587306</v>
      </c>
      <c r="Z23">
        <f>'[14]Template '!$C$52</f>
        <v>0.27777777777777779</v>
      </c>
      <c r="AA23">
        <f>'[14]Template '!$C$53</f>
        <v>0.57777777777777783</v>
      </c>
      <c r="AB23">
        <f>'[14]Template '!$C$54</f>
        <v>0.25</v>
      </c>
      <c r="AC23">
        <f>'[14]Template '!$C$55</f>
        <v>0.27083333333333331</v>
      </c>
      <c r="AD23">
        <f>'[14]Template '!$C$56</f>
        <v>0.47936507936507944</v>
      </c>
      <c r="AF23">
        <f>'[14]Template '!$Z$30</f>
        <v>0</v>
      </c>
      <c r="AG23">
        <f>'[14]Template '!$AB$75</f>
        <v>0</v>
      </c>
      <c r="AH23">
        <f>'[14]Template '!$AD$75</f>
        <v>1</v>
      </c>
      <c r="AI23">
        <f>'[14]Template '!$AF$75</f>
        <v>0</v>
      </c>
      <c r="AJ23">
        <f>'[14]Template '!$AR$97</f>
        <v>0</v>
      </c>
      <c r="AK23">
        <f>'[14]Template '!$AS$97</f>
        <v>0</v>
      </c>
      <c r="AL23">
        <f>'[14]Template '!$AZ$97</f>
        <v>0</v>
      </c>
      <c r="AM23">
        <f>'[14]Template '!$BB$97</f>
        <v>0</v>
      </c>
      <c r="AN23">
        <f>'[14]Template '!$AU$53</f>
        <v>0</v>
      </c>
      <c r="AO23">
        <f>'[14]Template '!$AV$53</f>
        <v>0</v>
      </c>
      <c r="AP23">
        <f>'[14]Template '!$AY$53</f>
        <v>0</v>
      </c>
      <c r="AQ23">
        <f>'[14]Template '!$AX$53</f>
        <v>0</v>
      </c>
      <c r="AR23">
        <f>'[14]Template '!$AZ$53</f>
        <v>0.5</v>
      </c>
      <c r="AS23">
        <f>'[14]Template '!$BF$53</f>
        <v>0</v>
      </c>
    </row>
    <row r="24" spans="2:45" x14ac:dyDescent="0.2">
      <c r="B24" t="s">
        <v>121</v>
      </c>
      <c r="D24" t="str">
        <f t="shared" si="0"/>
        <v>M_038.xlsx</v>
      </c>
      <c r="F24" t="str">
        <f>'[15]Template '!$C$2</f>
        <v>D+M</v>
      </c>
      <c r="H24">
        <f>'[15]Template '!$C$29</f>
        <v>0.5</v>
      </c>
      <c r="I24" t="str">
        <f>'[15]Template '!$C$30</f>
        <v>n/a</v>
      </c>
      <c r="J24">
        <f>'[15]Template '!$C$31</f>
        <v>0.33333333333333331</v>
      </c>
      <c r="K24">
        <f>'[15]Template '!$C$32</f>
        <v>0.60294117647058831</v>
      </c>
      <c r="L24">
        <f>'[15]Template '!$C$33</f>
        <v>0.79365079365079361</v>
      </c>
      <c r="N24">
        <f>'[15]Template '!$C$74</f>
        <v>0.51818181818181819</v>
      </c>
      <c r="O24" t="str">
        <f>'[15]Template '!$C$75</f>
        <v>n/a</v>
      </c>
      <c r="P24">
        <f>'[15]Template '!$C$76</f>
        <v>0.4642857142857143</v>
      </c>
      <c r="Q24">
        <f>'[15]Template '!$C$77</f>
        <v>0.5</v>
      </c>
      <c r="R24">
        <f>'[15]Template '!$C$78</f>
        <v>0.87301587301587302</v>
      </c>
      <c r="T24">
        <f>'[15]Template '!$C$96</f>
        <v>0.35416666666666663</v>
      </c>
      <c r="U24">
        <f>'[15]Template '!$C$97</f>
        <v>0.6518518518518519</v>
      </c>
      <c r="V24">
        <f>'[15]Template '!$C$98</f>
        <v>0</v>
      </c>
      <c r="W24">
        <f>'[15]Template '!$C$99</f>
        <v>0.33706816059757233</v>
      </c>
      <c r="X24">
        <f>'[15]Template '!$C$100</f>
        <v>0.90476190476190477</v>
      </c>
      <c r="Z24">
        <f>'[15]Template '!$C$52</f>
        <v>0.49365079365079362</v>
      </c>
      <c r="AA24">
        <f>'[15]Template '!$C$53</f>
        <v>0.6518518518518519</v>
      </c>
      <c r="AB24">
        <f>'[15]Template '!$C$54</f>
        <v>0</v>
      </c>
      <c r="AC24">
        <f>'[15]Template '!$C$55</f>
        <v>0.33035714285714285</v>
      </c>
      <c r="AD24">
        <f>'[15]Template '!$C$56</f>
        <v>0.81428571428571439</v>
      </c>
      <c r="AF24">
        <f>'[15]Template '!$Z$30</f>
        <v>0</v>
      </c>
      <c r="AG24">
        <f>'[15]Template '!$AB$75</f>
        <v>0</v>
      </c>
      <c r="AH24">
        <f>'[15]Template '!$AD$75</f>
        <v>0</v>
      </c>
      <c r="AI24">
        <f>'[15]Template '!$AF$75</f>
        <v>0</v>
      </c>
      <c r="AJ24">
        <f>'[15]Template '!$AR$97</f>
        <v>0</v>
      </c>
      <c r="AK24">
        <f>'[15]Template '!$AS$97</f>
        <v>0</v>
      </c>
      <c r="AL24">
        <f>'[15]Template '!$AZ$97</f>
        <v>0</v>
      </c>
      <c r="AM24">
        <f>'[15]Template '!$BB$97</f>
        <v>0</v>
      </c>
      <c r="AN24">
        <f>'[15]Template '!$AU$53</f>
        <v>0</v>
      </c>
      <c r="AO24">
        <f>'[15]Template '!$AV$53</f>
        <v>0</v>
      </c>
      <c r="AP24">
        <f>'[15]Template '!$AY$53</f>
        <v>0</v>
      </c>
      <c r="AQ24">
        <f>'[15]Template '!$AX$53</f>
        <v>0</v>
      </c>
      <c r="AR24">
        <f>'[15]Template '!$AZ$53</f>
        <v>1</v>
      </c>
      <c r="AS24">
        <f>'[15]Template '!$BF$53</f>
        <v>0</v>
      </c>
    </row>
    <row r="25" spans="2:45" x14ac:dyDescent="0.2">
      <c r="B25" t="s">
        <v>122</v>
      </c>
      <c r="D25" t="str">
        <f t="shared" si="0"/>
        <v>M_039.xlsx</v>
      </c>
      <c r="F25" t="str">
        <f>'[16]Template '!$C$2</f>
        <v>D only</v>
      </c>
      <c r="H25">
        <f>'[16]Template '!$C$29</f>
        <v>0</v>
      </c>
      <c r="I25" t="str">
        <f>'[16]Template '!$C$30</f>
        <v>n/a</v>
      </c>
      <c r="J25">
        <f>'[16]Template '!$C$31</f>
        <v>0.25</v>
      </c>
      <c r="K25">
        <f>'[16]Template '!$C$32</f>
        <v>0.20588235294117646</v>
      </c>
      <c r="L25">
        <f>'[16]Template '!$C$33</f>
        <v>0.44841269841269837</v>
      </c>
      <c r="N25">
        <f>'[16]Template '!$C$74</f>
        <v>0.51818181818181819</v>
      </c>
      <c r="O25" t="str">
        <f>'[16]Template '!$C$75</f>
        <v>n/a</v>
      </c>
      <c r="P25">
        <f>'[16]Template '!$C$76</f>
        <v>0.14285714285714285</v>
      </c>
      <c r="Q25">
        <f>'[16]Template '!$C$77</f>
        <v>0.46428571428571425</v>
      </c>
      <c r="R25">
        <f>'[16]Template '!$C$78</f>
        <v>0.50396825396825395</v>
      </c>
      <c r="T25">
        <f>'[16]Template '!$C$96</f>
        <v>0.4458333333333333</v>
      </c>
      <c r="U25">
        <f>'[16]Template '!$C$97</f>
        <v>0.37777777777777777</v>
      </c>
      <c r="V25">
        <f>'[16]Template '!$C$98</f>
        <v>0.5</v>
      </c>
      <c r="W25">
        <f>'[16]Template '!$C$99</f>
        <v>0.4386724386724386</v>
      </c>
      <c r="X25">
        <f>'[16]Template '!$C$100</f>
        <v>0.71349206349206329</v>
      </c>
      <c r="Z25">
        <f>'[16]Template '!$C$52</f>
        <v>0.37698412698412698</v>
      </c>
      <c r="AA25">
        <f>'[16]Template '!$C$53</f>
        <v>0.37777777777777777</v>
      </c>
      <c r="AB25">
        <f>'[16]Template '!$C$54</f>
        <v>0</v>
      </c>
      <c r="AC25">
        <f>'[16]Template '!$C$55</f>
        <v>0.3125</v>
      </c>
      <c r="AD25">
        <f>'[16]Template '!$C$56</f>
        <v>0.54920634920634914</v>
      </c>
      <c r="AF25">
        <f>'[16]Template '!$Z$30</f>
        <v>0</v>
      </c>
      <c r="AG25">
        <f>'[16]Template '!$AB$75</f>
        <v>0</v>
      </c>
      <c r="AH25">
        <f>'[16]Template '!$AD$75</f>
        <v>0</v>
      </c>
      <c r="AI25">
        <f>'[16]Template '!$AF$75</f>
        <v>0</v>
      </c>
      <c r="AJ25">
        <f>'[16]Template '!$AR$97</f>
        <v>0.5</v>
      </c>
      <c r="AK25">
        <f>'[16]Template '!$AS$97</f>
        <v>0</v>
      </c>
      <c r="AL25">
        <f>'[16]Template '!$AZ$97</f>
        <v>0.5</v>
      </c>
      <c r="AM25">
        <f>'[16]Template '!$BB$97</f>
        <v>0</v>
      </c>
      <c r="AN25">
        <f>'[16]Template '!$AU$53</f>
        <v>0</v>
      </c>
      <c r="AO25">
        <f>'[16]Template '!$AV$53</f>
        <v>0</v>
      </c>
      <c r="AP25">
        <f>'[16]Template '!$AY$53</f>
        <v>0</v>
      </c>
      <c r="AQ25">
        <f>'[16]Template '!$AX$53</f>
        <v>0</v>
      </c>
      <c r="AR25">
        <f>'[16]Template '!$AZ$53</f>
        <v>0</v>
      </c>
      <c r="AS25">
        <f>'[16]Template '!$BF$53</f>
        <v>0</v>
      </c>
    </row>
    <row r="26" spans="2:45" x14ac:dyDescent="0.2">
      <c r="B26" t="s">
        <v>123</v>
      </c>
      <c r="D26" t="str">
        <f t="shared" si="0"/>
        <v>M_040.xlsx</v>
      </c>
      <c r="F26" t="str">
        <f>'[17]Template '!$C$2</f>
        <v>D only</v>
      </c>
      <c r="H26">
        <f>'[17]Template '!$C$29</f>
        <v>0.33333333333333331</v>
      </c>
      <c r="I26" t="str">
        <f>'[17]Template '!$C$30</f>
        <v>n/a</v>
      </c>
      <c r="J26">
        <f>'[17]Template '!$C$31</f>
        <v>0.58333333333333326</v>
      </c>
      <c r="K26">
        <f>'[17]Template '!$C$32</f>
        <v>0.7720588235294118</v>
      </c>
      <c r="L26">
        <f>'[17]Template '!$C$33</f>
        <v>0.66468253968253965</v>
      </c>
      <c r="N26">
        <f>'[17]Template '!$C$74</f>
        <v>0.7</v>
      </c>
      <c r="O26" t="str">
        <f>'[17]Template '!$C$75</f>
        <v>n/a</v>
      </c>
      <c r="P26">
        <f>'[17]Template '!$C$76</f>
        <v>0.42857142857142855</v>
      </c>
      <c r="Q26">
        <f>'[17]Template '!$C$77</f>
        <v>0.71428571428571419</v>
      </c>
      <c r="R26">
        <f>'[17]Template '!$C$78</f>
        <v>0.85515873015873012</v>
      </c>
      <c r="T26">
        <f>'[17]Template '!$C$96</f>
        <v>0.54166666666666663</v>
      </c>
      <c r="U26">
        <f>'[17]Template '!$C$97</f>
        <v>0.50370370370370376</v>
      </c>
      <c r="V26">
        <f>'[17]Template '!$C$98</f>
        <v>0.5</v>
      </c>
      <c r="W26">
        <f>'[17]Template '!$C$99</f>
        <v>0.40836940836940833</v>
      </c>
      <c r="X26">
        <f>'[17]Template '!$C$100</f>
        <v>0.75396825396825395</v>
      </c>
      <c r="Z26">
        <f>'[17]Template '!$C$52</f>
        <v>0.69444444444444442</v>
      </c>
      <c r="AA26">
        <f>'[17]Template '!$C$53</f>
        <v>0.50370370370370376</v>
      </c>
      <c r="AB26">
        <f>'[17]Template '!$C$54</f>
        <v>0.5</v>
      </c>
      <c r="AC26">
        <f>'[17]Template '!$C$55</f>
        <v>0.5446428571428571</v>
      </c>
      <c r="AD26">
        <f>'[17]Template '!$C$56</f>
        <v>0.74841269841269842</v>
      </c>
      <c r="AF26">
        <f>'[17]Template '!$Z$30</f>
        <v>0.5</v>
      </c>
      <c r="AG26">
        <f>'[17]Template '!$AB$75</f>
        <v>1</v>
      </c>
      <c r="AH26">
        <f>'[17]Template '!$AD$75</f>
        <v>1</v>
      </c>
      <c r="AI26">
        <f>'[17]Template '!$AF$75</f>
        <v>1</v>
      </c>
      <c r="AJ26">
        <f>'[17]Template '!$AR$97</f>
        <v>0.5</v>
      </c>
      <c r="AK26">
        <f>'[17]Template '!$AS$97</f>
        <v>0</v>
      </c>
      <c r="AL26">
        <f>'[17]Template '!$AZ$97</f>
        <v>0</v>
      </c>
      <c r="AM26">
        <f>'[17]Template '!$BB$97</f>
        <v>0</v>
      </c>
      <c r="AN26">
        <f>'[17]Template '!$AU$53</f>
        <v>1</v>
      </c>
      <c r="AO26">
        <f>'[17]Template '!$AV$53</f>
        <v>0</v>
      </c>
      <c r="AP26">
        <f>'[17]Template '!$AY$53</f>
        <v>0</v>
      </c>
      <c r="AQ26">
        <f>'[17]Template '!$AX$53</f>
        <v>0</v>
      </c>
      <c r="AR26">
        <f>'[17]Template '!$AZ$53</f>
        <v>0</v>
      </c>
      <c r="AS26">
        <f>'[17]Template '!$BF$53</f>
        <v>0.5</v>
      </c>
    </row>
    <row r="27" spans="2:45" x14ac:dyDescent="0.2">
      <c r="B27" t="s">
        <v>124</v>
      </c>
      <c r="D27" t="str">
        <f t="shared" si="0"/>
        <v>M_041.xlsx</v>
      </c>
      <c r="F27" t="str">
        <f>'[18]Template '!$C$2</f>
        <v>D only</v>
      </c>
      <c r="H27">
        <f>'[18]Template '!$C$29</f>
        <v>0.1111111111111111</v>
      </c>
      <c r="I27" t="str">
        <f>'[18]Template '!$C$30</f>
        <v>n/a</v>
      </c>
      <c r="J27">
        <f>'[18]Template '!$C$31</f>
        <v>0.58333333333333326</v>
      </c>
      <c r="K27">
        <f>'[18]Template '!$C$32</f>
        <v>0.66911764705882359</v>
      </c>
      <c r="L27">
        <f>'[18]Template '!$C$33</f>
        <v>0.57936507936507931</v>
      </c>
      <c r="N27">
        <f>'[18]Template '!$C$74</f>
        <v>0.23636363636363636</v>
      </c>
      <c r="O27" t="str">
        <f>'[18]Template '!$C$75</f>
        <v>n/a</v>
      </c>
      <c r="P27">
        <f>'[18]Template '!$C$76</f>
        <v>0.4642857142857143</v>
      </c>
      <c r="Q27">
        <f>'[18]Template '!$C$77</f>
        <v>0.46428571428571425</v>
      </c>
      <c r="R27">
        <f>'[18]Template '!$C$78</f>
        <v>0.60119047619047616</v>
      </c>
      <c r="T27">
        <f>'[18]Template '!$C$96</f>
        <v>0.37291666666666662</v>
      </c>
      <c r="U27">
        <f>'[18]Template '!$C$97</f>
        <v>0.60740740740740751</v>
      </c>
      <c r="V27">
        <f>'[18]Template '!$C$98</f>
        <v>0.5</v>
      </c>
      <c r="W27">
        <f>'[18]Template '!$C$99</f>
        <v>0.45057720057720058</v>
      </c>
      <c r="X27">
        <f>'[18]Template '!$C$100</f>
        <v>0.70317460317460334</v>
      </c>
      <c r="Z27">
        <f>'[18]Template '!$C$52</f>
        <v>0.31507936507936507</v>
      </c>
      <c r="AA27">
        <f>'[18]Template '!$C$53</f>
        <v>0.60740740740740751</v>
      </c>
      <c r="AB27">
        <f>'[18]Template '!$C$54</f>
        <v>0.5</v>
      </c>
      <c r="AC27">
        <f>'[18]Template '!$C$55</f>
        <v>0.125</v>
      </c>
      <c r="AD27">
        <f>'[18]Template '!$C$56</f>
        <v>0.71904761904761916</v>
      </c>
      <c r="AF27">
        <f>'[18]Template '!$Z$30</f>
        <v>0</v>
      </c>
      <c r="AG27">
        <f>'[18]Template '!$AB$75</f>
        <v>0</v>
      </c>
      <c r="AH27">
        <f>'[18]Template '!$AD$75</f>
        <v>0</v>
      </c>
      <c r="AI27">
        <f>'[18]Template '!$AF$75</f>
        <v>0</v>
      </c>
      <c r="AJ27">
        <f>'[18]Template '!$AR$97</f>
        <v>0</v>
      </c>
      <c r="AK27">
        <f>'[18]Template '!$AS$97</f>
        <v>0.5</v>
      </c>
      <c r="AL27">
        <f>'[18]Template '!$AZ$97</f>
        <v>0</v>
      </c>
      <c r="AM27">
        <f>'[18]Template '!$BB$97</f>
        <v>0</v>
      </c>
      <c r="AN27">
        <f>'[18]Template '!$AU$53</f>
        <v>0</v>
      </c>
      <c r="AO27">
        <f>'[18]Template '!$AV$53</f>
        <v>0</v>
      </c>
      <c r="AP27">
        <f>'[18]Template '!$AY$53</f>
        <v>0</v>
      </c>
      <c r="AQ27">
        <f>'[18]Template '!$AX$53</f>
        <v>0</v>
      </c>
      <c r="AR27">
        <f>'[18]Template '!$AZ$53</f>
        <v>0</v>
      </c>
      <c r="AS27">
        <f>'[18]Template '!$BF$53</f>
        <v>0</v>
      </c>
    </row>
    <row r="28" spans="2:45" x14ac:dyDescent="0.2">
      <c r="B28" t="s">
        <v>125</v>
      </c>
      <c r="D28" t="str">
        <f t="shared" si="0"/>
        <v>M_045.xlsx</v>
      </c>
      <c r="F28" t="str">
        <f>'[19]Template '!$C$2</f>
        <v>D+M</v>
      </c>
      <c r="H28">
        <f>'[19]Template '!$C$29</f>
        <v>0.3888888888888889</v>
      </c>
      <c r="I28" t="str">
        <f>'[19]Template '!$C$30</f>
        <v>n/a</v>
      </c>
      <c r="J28">
        <f>'[19]Template '!$C$31</f>
        <v>0.66666666666666663</v>
      </c>
      <c r="K28">
        <f>'[19]Template '!$C$32</f>
        <v>0.54411764705882359</v>
      </c>
      <c r="L28">
        <f>'[19]Template '!$C$33</f>
        <v>0.79960317460317454</v>
      </c>
      <c r="N28">
        <f>'[19]Template '!$C$74</f>
        <v>0.54090909090909101</v>
      </c>
      <c r="O28" t="str">
        <f>'[19]Template '!$C$75</f>
        <v>n/a</v>
      </c>
      <c r="P28">
        <f>'[19]Template '!$C$76</f>
        <v>0.39285714285714285</v>
      </c>
      <c r="Q28">
        <f>'[19]Template '!$C$77</f>
        <v>0.47619047619047616</v>
      </c>
      <c r="R28">
        <f>'[19]Template '!$C$78</f>
        <v>0.75595238095238093</v>
      </c>
      <c r="T28">
        <f>'[19]Template '!$C$96</f>
        <v>0.75</v>
      </c>
      <c r="U28">
        <f>'[19]Template '!$C$97</f>
        <v>0.44444444444444442</v>
      </c>
      <c r="V28">
        <f>'[19]Template '!$C$98</f>
        <v>0.5</v>
      </c>
      <c r="W28">
        <f>'[19]Template '!$C$99</f>
        <v>0.70274170274170267</v>
      </c>
      <c r="X28">
        <f>'[19]Template '!$C$100</f>
        <v>0.84523809523809523</v>
      </c>
      <c r="Z28">
        <f>'[19]Template '!$C$52</f>
        <v>0.66666666666666663</v>
      </c>
      <c r="AA28">
        <f>'[19]Template '!$C$53</f>
        <v>0.44444444444444442</v>
      </c>
      <c r="AB28">
        <f>'[19]Template '!$C$54</f>
        <v>0.5</v>
      </c>
      <c r="AC28">
        <f>'[19]Template '!$C$55</f>
        <v>0.33333333333333331</v>
      </c>
      <c r="AD28">
        <f>'[19]Template '!$C$56</f>
        <v>0.88293650793650791</v>
      </c>
      <c r="AF28">
        <f>'[19]Template '!$Z$30</f>
        <v>0</v>
      </c>
      <c r="AG28">
        <f>'[19]Template '!$AB$75</f>
        <v>0</v>
      </c>
      <c r="AH28">
        <f>'[19]Template '!$AD$75</f>
        <v>0</v>
      </c>
      <c r="AI28">
        <f>'[19]Template '!$AF$75</f>
        <v>0</v>
      </c>
      <c r="AJ28">
        <f>'[19]Template '!$AR$97</f>
        <v>0.5</v>
      </c>
      <c r="AK28">
        <f>'[19]Template '!$AS$97</f>
        <v>0</v>
      </c>
      <c r="AL28">
        <f>'[19]Template '!$AZ$97</f>
        <v>0.5</v>
      </c>
      <c r="AM28">
        <f>'[19]Template '!$BB$97</f>
        <v>1</v>
      </c>
      <c r="AN28">
        <f>'[19]Template '!$AU$53</f>
        <v>1</v>
      </c>
      <c r="AO28">
        <f>'[19]Template '!$AV$53</f>
        <v>1</v>
      </c>
      <c r="AP28">
        <f>'[19]Template '!$AY$53</f>
        <v>1</v>
      </c>
      <c r="AQ28">
        <f>'[19]Template '!$AX$53</f>
        <v>0</v>
      </c>
      <c r="AR28">
        <f>'[19]Template '!$AZ$53</f>
        <v>0</v>
      </c>
      <c r="AS28">
        <f>'[19]Template '!$BF$53</f>
        <v>0</v>
      </c>
    </row>
    <row r="29" spans="2:45" x14ac:dyDescent="0.2">
      <c r="B29" t="s">
        <v>126</v>
      </c>
      <c r="D29" t="str">
        <f t="shared" si="0"/>
        <v>M_046.xlsx</v>
      </c>
      <c r="F29" t="str">
        <f>'[20]Template '!$C$2</f>
        <v>D+M</v>
      </c>
      <c r="H29">
        <f>'[20]Template '!$C$29</f>
        <v>0.3888888888888889</v>
      </c>
      <c r="I29" t="str">
        <f>'[20]Template '!$C$30</f>
        <v>n/a</v>
      </c>
      <c r="J29">
        <f>'[20]Template '!$C$31</f>
        <v>0.66666666666666663</v>
      </c>
      <c r="K29">
        <f>'[20]Template '!$C$32</f>
        <v>0.72794117647058831</v>
      </c>
      <c r="L29">
        <f>'[20]Template '!$C$33</f>
        <v>0.77777777777777768</v>
      </c>
      <c r="N29">
        <f>'[20]Template '!$C$74</f>
        <v>0.7</v>
      </c>
      <c r="O29" t="str">
        <f>'[20]Template '!$C$75</f>
        <v>n/a</v>
      </c>
      <c r="P29">
        <f>'[20]Template '!$C$76</f>
        <v>0.5357142857142857</v>
      </c>
      <c r="Q29">
        <f>'[20]Template '!$C$77</f>
        <v>0.61904761904761907</v>
      </c>
      <c r="R29">
        <f>'[20]Template '!$C$78</f>
        <v>0.85119047619047616</v>
      </c>
      <c r="T29">
        <f>'[20]Template '!$C$96</f>
        <v>0.75</v>
      </c>
      <c r="U29">
        <f>'[20]Template '!$C$97</f>
        <v>0.31111111111111112</v>
      </c>
      <c r="V29">
        <f>'[20]Template '!$C$98</f>
        <v>0.5</v>
      </c>
      <c r="W29">
        <f>'[20]Template '!$C$99</f>
        <v>0.88888888888888884</v>
      </c>
      <c r="X29">
        <f>'[20]Template '!$C$100</f>
        <v>0.97023809523809523</v>
      </c>
      <c r="Z29">
        <f>'[20]Template '!$C$52</f>
        <v>0.75</v>
      </c>
      <c r="AA29">
        <f>'[20]Template '!$C$53</f>
        <v>0.31111111111111112</v>
      </c>
      <c r="AB29">
        <f>'[20]Template '!$C$54</f>
        <v>0.5</v>
      </c>
      <c r="AC29">
        <f>'[20]Template '!$C$55</f>
        <v>0.70238095238095244</v>
      </c>
      <c r="AD29">
        <f>'[20]Template '!$C$56</f>
        <v>0.9007936507936507</v>
      </c>
      <c r="AF29">
        <f>'[20]Template '!$Z$30</f>
        <v>0</v>
      </c>
      <c r="AG29">
        <f>'[20]Template '!$AB$75</f>
        <v>0</v>
      </c>
      <c r="AH29">
        <f>'[20]Template '!$AD$75</f>
        <v>1</v>
      </c>
      <c r="AI29">
        <f>'[20]Template '!$AF$75</f>
        <v>0</v>
      </c>
      <c r="AJ29">
        <f>'[20]Template '!$AR$97</f>
        <v>1</v>
      </c>
      <c r="AK29">
        <f>'[20]Template '!$AS$97</f>
        <v>1</v>
      </c>
      <c r="AL29">
        <f>'[20]Template '!$AZ$97</f>
        <v>1</v>
      </c>
      <c r="AM29">
        <f>'[20]Template '!$BB$97</f>
        <v>1</v>
      </c>
      <c r="AN29">
        <f>'[20]Template '!$AU$53</f>
        <v>1</v>
      </c>
      <c r="AO29">
        <f>'[20]Template '!$AV$53</f>
        <v>1</v>
      </c>
      <c r="AP29">
        <f>'[20]Template '!$AY$53</f>
        <v>0</v>
      </c>
      <c r="AQ29">
        <f>'[20]Template '!$AX$53</f>
        <v>0</v>
      </c>
      <c r="AR29">
        <f>'[20]Template '!$AZ$53</f>
        <v>0</v>
      </c>
      <c r="AS29">
        <f>'[20]Template '!$BF$53</f>
        <v>1</v>
      </c>
    </row>
    <row r="30" spans="2:45" x14ac:dyDescent="0.2">
      <c r="B30" t="s">
        <v>127</v>
      </c>
      <c r="D30" t="str">
        <f t="shared" si="0"/>
        <v>M_047.xlsx</v>
      </c>
      <c r="F30" t="str">
        <f>'[21]Template '!$C$2</f>
        <v>D+M</v>
      </c>
      <c r="H30">
        <f>'[21]Template '!$C$29</f>
        <v>0.88888888888888884</v>
      </c>
      <c r="I30" t="str">
        <f>'[21]Template '!$C$30</f>
        <v>n/a</v>
      </c>
      <c r="J30">
        <f>'[21]Template '!$C$31</f>
        <v>0.33333333333333331</v>
      </c>
      <c r="K30">
        <f>'[21]Template '!$C$32</f>
        <v>0.72794117647058831</v>
      </c>
      <c r="L30">
        <f>'[21]Template '!$C$33</f>
        <v>0.81746031746031733</v>
      </c>
      <c r="N30">
        <f>'[21]Template '!$C$74</f>
        <v>0.51818181818181819</v>
      </c>
      <c r="O30" t="str">
        <f>'[21]Template '!$C$75</f>
        <v>n/a</v>
      </c>
      <c r="P30">
        <f>'[21]Template '!$C$76</f>
        <v>0.2857142857142857</v>
      </c>
      <c r="Q30">
        <f>'[21]Template '!$C$77</f>
        <v>0.5</v>
      </c>
      <c r="R30">
        <f>'[21]Template '!$C$78</f>
        <v>0.72619047619047616</v>
      </c>
      <c r="T30">
        <f>'[21]Template '!$C$96</f>
        <v>0.46874999999999994</v>
      </c>
      <c r="U30">
        <f>'[21]Template '!$C$97</f>
        <v>0.31111111111111112</v>
      </c>
      <c r="V30">
        <f>'[21]Template '!$C$98</f>
        <v>0</v>
      </c>
      <c r="W30">
        <f>'[21]Template '!$C$99</f>
        <v>0.61832611832611828</v>
      </c>
      <c r="X30">
        <f>'[21]Template '!$C$100</f>
        <v>0.87142857142857133</v>
      </c>
      <c r="Z30">
        <f>'[21]Template '!$C$52</f>
        <v>0.75</v>
      </c>
      <c r="AA30">
        <f>'[21]Template '!$C$53</f>
        <v>0.31111111111111112</v>
      </c>
      <c r="AB30">
        <f>'[21]Template '!$C$54</f>
        <v>0</v>
      </c>
      <c r="AC30">
        <f>'[21]Template '!$C$55</f>
        <v>0.52380952380952384</v>
      </c>
      <c r="AD30">
        <f>'[21]Template '!$C$56</f>
        <v>0.94047619047619035</v>
      </c>
      <c r="AF30">
        <f>'[21]Template '!$Z$30</f>
        <v>0</v>
      </c>
      <c r="AG30">
        <f>'[21]Template '!$AB$75</f>
        <v>0</v>
      </c>
      <c r="AH30">
        <f>'[21]Template '!$AD$75</f>
        <v>0</v>
      </c>
      <c r="AI30">
        <f>'[21]Template '!$AF$75</f>
        <v>0</v>
      </c>
      <c r="AJ30">
        <f>'[21]Template '!$AR$97</f>
        <v>1</v>
      </c>
      <c r="AK30">
        <f>'[21]Template '!$AS$97</f>
        <v>1</v>
      </c>
      <c r="AL30">
        <f>'[21]Template '!$AZ$97</f>
        <v>0.5</v>
      </c>
      <c r="AM30">
        <f>'[21]Template '!$BB$97</f>
        <v>1</v>
      </c>
      <c r="AN30">
        <f>'[21]Template '!$AU$53</f>
        <v>0.5</v>
      </c>
      <c r="AO30">
        <f>'[21]Template '!$AV$53</f>
        <v>0</v>
      </c>
      <c r="AP30">
        <f>'[21]Template '!$AY$53</f>
        <v>0</v>
      </c>
      <c r="AQ30">
        <f>'[21]Template '!$AX$53</f>
        <v>0</v>
      </c>
      <c r="AR30">
        <f>'[21]Template '!$AZ$53</f>
        <v>0</v>
      </c>
      <c r="AS30">
        <f>'[21]Template '!$BF$53</f>
        <v>0.5</v>
      </c>
    </row>
    <row r="31" spans="2:45" x14ac:dyDescent="0.2">
      <c r="B31" t="s">
        <v>128</v>
      </c>
      <c r="D31" t="str">
        <f t="shared" si="0"/>
        <v>M_048.xlsx</v>
      </c>
      <c r="F31" t="str">
        <f>'[22]Template '!$C$2</f>
        <v>D only</v>
      </c>
      <c r="H31">
        <f>'[22]Template '!$C$29</f>
        <v>0.1111111111111111</v>
      </c>
      <c r="I31" t="str">
        <f>'[22]Template '!$C$30</f>
        <v>n/a</v>
      </c>
      <c r="J31">
        <f>'[22]Template '!$C$31</f>
        <v>0.25</v>
      </c>
      <c r="K31">
        <f>'[22]Template '!$C$32</f>
        <v>0.48529411764705882</v>
      </c>
      <c r="L31">
        <f>'[22]Template '!$C$33</f>
        <v>0.26785714285714285</v>
      </c>
      <c r="N31">
        <f>'[22]Template '!$C$74</f>
        <v>0.29090909090909089</v>
      </c>
      <c r="O31" t="str">
        <f>'[22]Template '!$C$75</f>
        <v>n/a</v>
      </c>
      <c r="P31">
        <f>'[22]Template '!$C$76</f>
        <v>0.2857142857142857</v>
      </c>
      <c r="Q31">
        <f>'[22]Template '!$C$77</f>
        <v>0.54613095238095233</v>
      </c>
      <c r="R31">
        <f>'[22]Template '!$C$78</f>
        <v>0.41071428571428564</v>
      </c>
      <c r="T31">
        <f>'[22]Template '!$C$96</f>
        <v>0.3125</v>
      </c>
      <c r="U31">
        <f>'[22]Template '!$C$97</f>
        <v>0.3</v>
      </c>
      <c r="V31">
        <f>'[22]Template '!$C$98</f>
        <v>0.5</v>
      </c>
      <c r="W31">
        <f>'[22]Template '!$C$99</f>
        <v>0.29797979797979796</v>
      </c>
      <c r="X31">
        <f>'[22]Template '!$C$100</f>
        <v>0.42698412698412697</v>
      </c>
      <c r="Z31">
        <f>'[22]Template '!$C$52</f>
        <v>0.33333333333333331</v>
      </c>
      <c r="AA31">
        <f>'[22]Template '!$C$53</f>
        <v>0.3</v>
      </c>
      <c r="AB31">
        <f>'[22]Template '!$C$54</f>
        <v>0.5</v>
      </c>
      <c r="AC31">
        <f>'[22]Template '!$C$55</f>
        <v>0.20833333333333334</v>
      </c>
      <c r="AD31">
        <f>'[22]Template '!$C$56</f>
        <v>0.2904761904761905</v>
      </c>
      <c r="AF31">
        <f>'[22]Template '!$Z$30</f>
        <v>0</v>
      </c>
      <c r="AG31">
        <f>'[22]Template '!$AB$75</f>
        <v>1</v>
      </c>
      <c r="AH31">
        <f>'[22]Template '!$AD$75</f>
        <v>0.5</v>
      </c>
      <c r="AI31">
        <f>'[22]Template '!$AF$75</f>
        <v>0</v>
      </c>
      <c r="AJ31">
        <f>'[22]Template '!$AR$97</f>
        <v>0</v>
      </c>
      <c r="AK31">
        <f>'[22]Template '!$AS$97</f>
        <v>0</v>
      </c>
      <c r="AL31">
        <f>'[22]Template '!$AZ$97</f>
        <v>0</v>
      </c>
      <c r="AM31">
        <f>'[22]Template '!$BB$97</f>
        <v>0</v>
      </c>
      <c r="AN31">
        <f>'[22]Template '!$AU$53</f>
        <v>0</v>
      </c>
      <c r="AO31">
        <f>'[22]Template '!$AV$53</f>
        <v>0</v>
      </c>
      <c r="AP31">
        <f>'[22]Template '!$AY$53</f>
        <v>0</v>
      </c>
      <c r="AQ31">
        <f>'[22]Template '!$AX$53</f>
        <v>0</v>
      </c>
      <c r="AR31">
        <f>'[22]Template '!$AZ$53</f>
        <v>0</v>
      </c>
      <c r="AS31">
        <f>'[22]Template '!$BF$53</f>
        <v>0</v>
      </c>
    </row>
    <row r="32" spans="2:45" x14ac:dyDescent="0.2">
      <c r="B32" t="s">
        <v>129</v>
      </c>
      <c r="D32" t="str">
        <f t="shared" si="0"/>
        <v>M_049.xlsx</v>
      </c>
      <c r="F32" t="str">
        <f>'[23]Template '!$C$2</f>
        <v>D only</v>
      </c>
      <c r="H32">
        <f>'[23]Template '!$C$29</f>
        <v>0</v>
      </c>
      <c r="I32" t="str">
        <f>'[23]Template '!$C$30</f>
        <v>n/a</v>
      </c>
      <c r="J32">
        <f>'[23]Template '!$C$31</f>
        <v>0.41666666666666663</v>
      </c>
      <c r="K32">
        <f>'[23]Template '!$C$32</f>
        <v>0.3970588235294118</v>
      </c>
      <c r="L32">
        <f>'[23]Template '!$C$33</f>
        <v>0.13293650793650794</v>
      </c>
      <c r="N32">
        <f>'[23]Template '!$C$74</f>
        <v>0.29090909090909089</v>
      </c>
      <c r="O32" t="str">
        <f>'[23]Template '!$C$75</f>
        <v>n/a</v>
      </c>
      <c r="P32">
        <f>'[23]Template '!$C$76</f>
        <v>0.39285714285714285</v>
      </c>
      <c r="Q32">
        <f>'[23]Template '!$C$77</f>
        <v>0.5</v>
      </c>
      <c r="R32">
        <f>'[23]Template '!$C$78</f>
        <v>0.33928571428571425</v>
      </c>
      <c r="T32">
        <f>'[23]Template '!$C$96</f>
        <v>0.16666666666666666</v>
      </c>
      <c r="U32">
        <f>'[23]Template '!$C$97</f>
        <v>0.26666666666666666</v>
      </c>
      <c r="V32">
        <f>'[23]Template '!$C$98</f>
        <v>0.5</v>
      </c>
      <c r="W32">
        <f>'[23]Template '!$C$99</f>
        <v>3.0303030303030304E-2</v>
      </c>
      <c r="X32">
        <f>'[23]Template '!$C$100</f>
        <v>0.15873015873015872</v>
      </c>
      <c r="Z32">
        <f>'[23]Template '!$C$52</f>
        <v>0</v>
      </c>
      <c r="AA32">
        <f>'[23]Template '!$C$53</f>
        <v>0.26666666666666666</v>
      </c>
      <c r="AB32">
        <f>'[23]Template '!$C$54</f>
        <v>0.5</v>
      </c>
      <c r="AC32">
        <f>'[23]Template '!$C$55</f>
        <v>0.16666666666666666</v>
      </c>
      <c r="AD32">
        <f>'[23]Template '!$C$56</f>
        <v>0.31468253968253967</v>
      </c>
      <c r="AF32">
        <f>'[23]Template '!$Z$30</f>
        <v>0</v>
      </c>
      <c r="AG32">
        <f>'[23]Template '!$AB$75</f>
        <v>0</v>
      </c>
      <c r="AH32">
        <f>'[23]Template '!$AD$75</f>
        <v>0</v>
      </c>
      <c r="AI32">
        <f>'[23]Template '!$AF$75</f>
        <v>0</v>
      </c>
      <c r="AJ32">
        <f>'[23]Template '!$AR$97</f>
        <v>0</v>
      </c>
      <c r="AK32">
        <f>'[23]Template '!$AS$97</f>
        <v>0</v>
      </c>
      <c r="AL32">
        <f>'[23]Template '!$AZ$97</f>
        <v>0</v>
      </c>
      <c r="AM32">
        <f>'[23]Template '!$BB$97</f>
        <v>0</v>
      </c>
      <c r="AN32">
        <f>'[23]Template '!$AU$53</f>
        <v>0</v>
      </c>
      <c r="AO32">
        <f>'[23]Template '!$AV$53</f>
        <v>0</v>
      </c>
      <c r="AP32">
        <f>'[23]Template '!$AY$53</f>
        <v>0</v>
      </c>
      <c r="AQ32">
        <f>'[23]Template '!$AX$53</f>
        <v>0</v>
      </c>
      <c r="AR32">
        <f>'[23]Template '!$AZ$53</f>
        <v>0</v>
      </c>
      <c r="AS32">
        <f>'[23]Template '!$BF$53</f>
        <v>0</v>
      </c>
    </row>
    <row r="33" spans="2:45" x14ac:dyDescent="0.2">
      <c r="B33" t="s">
        <v>130</v>
      </c>
      <c r="D33" t="str">
        <f t="shared" si="0"/>
        <v>M_083.xlsx</v>
      </c>
      <c r="F33" t="str">
        <f>'[24]Template '!$C$2</f>
        <v>D+M</v>
      </c>
      <c r="H33">
        <f>'[24]Template '!$C$29</f>
        <v>0.22222222222222221</v>
      </c>
      <c r="I33" t="str">
        <f>'[24]Template '!$C$30</f>
        <v>n/a</v>
      </c>
      <c r="J33">
        <f>'[24]Template '!$C$31</f>
        <v>0</v>
      </c>
      <c r="K33">
        <f>'[24]Template '!$C$32</f>
        <v>0.60294117647058831</v>
      </c>
      <c r="L33">
        <f>'[24]Template '!$C$33</f>
        <v>0.88492063492063477</v>
      </c>
      <c r="N33">
        <f>'[24]Template '!$C$74</f>
        <v>0.60909090909090913</v>
      </c>
      <c r="O33" t="str">
        <f>'[24]Template '!$C$75</f>
        <v>n/a</v>
      </c>
      <c r="P33">
        <f>'[24]Template '!$C$76</f>
        <v>0.21428571428571427</v>
      </c>
      <c r="Q33">
        <f>'[24]Template '!$C$77</f>
        <v>0.52380952380952372</v>
      </c>
      <c r="R33">
        <f>'[24]Template '!$C$78</f>
        <v>0.77380952380952372</v>
      </c>
      <c r="T33">
        <f>'[24]Template '!$C$96</f>
        <v>0.4375</v>
      </c>
      <c r="U33">
        <f>'[24]Template '!$C$97</f>
        <v>0.51111111111111107</v>
      </c>
      <c r="V33">
        <f>'[24]Template '!$C$98</f>
        <v>0.5</v>
      </c>
      <c r="W33">
        <f>'[24]Template '!$C$99</f>
        <v>0.64646464646464641</v>
      </c>
      <c r="X33">
        <f>'[24]Template '!$C$100</f>
        <v>0.97619047619047616</v>
      </c>
      <c r="Z33">
        <f>'[24]Template '!$C$52</f>
        <v>0.20555555555555557</v>
      </c>
      <c r="AA33">
        <f>'[24]Template '!$C$53</f>
        <v>0.51111111111111107</v>
      </c>
      <c r="AB33">
        <f>'[24]Template '!$C$54</f>
        <v>0</v>
      </c>
      <c r="AC33">
        <f>'[24]Template '!$C$55</f>
        <v>0.41666666666666669</v>
      </c>
      <c r="AD33">
        <f>'[24]Template '!$C$56</f>
        <v>0.90873015873015872</v>
      </c>
      <c r="AF33">
        <f>'[24]Template '!$Z$30</f>
        <v>0</v>
      </c>
      <c r="AG33">
        <f>'[24]Template '!$AB$75</f>
        <v>0</v>
      </c>
      <c r="AH33">
        <f>'[24]Template '!$AD$75</f>
        <v>0</v>
      </c>
      <c r="AI33">
        <f>'[24]Template '!$AF$75</f>
        <v>0</v>
      </c>
      <c r="AJ33">
        <f>'[24]Template '!$AR$97</f>
        <v>1</v>
      </c>
      <c r="AK33">
        <f>'[24]Template '!$AS$97</f>
        <v>1</v>
      </c>
      <c r="AL33">
        <f>'[24]Template '!$AZ$97</f>
        <v>0</v>
      </c>
      <c r="AM33">
        <f>'[24]Template '!$BB$97</f>
        <v>0</v>
      </c>
      <c r="AN33">
        <f>'[24]Template '!$AU$53</f>
        <v>1</v>
      </c>
      <c r="AO33">
        <f>'[24]Template '!$AV$53</f>
        <v>1</v>
      </c>
      <c r="AP33">
        <f>'[24]Template '!$AY$53</f>
        <v>0</v>
      </c>
      <c r="AQ33">
        <f>'[24]Template '!$AX$53</f>
        <v>1</v>
      </c>
      <c r="AR33">
        <f>'[24]Template '!$AZ$53</f>
        <v>0</v>
      </c>
      <c r="AS33">
        <f>'[24]Template '!$BF$53</f>
        <v>0</v>
      </c>
    </row>
    <row r="34" spans="2:45" x14ac:dyDescent="0.2">
      <c r="B34" t="s">
        <v>131</v>
      </c>
      <c r="D34" t="str">
        <f t="shared" si="0"/>
        <v>M_084.xlsx</v>
      </c>
      <c r="F34" t="str">
        <f>'[25]Template '!$C$2</f>
        <v>D only</v>
      </c>
      <c r="H34">
        <f>'[25]Template '!$C$29</f>
        <v>0.25</v>
      </c>
      <c r="I34" t="str">
        <f>'[25]Template '!$C$30</f>
        <v>n/a</v>
      </c>
      <c r="J34">
        <f>'[25]Template '!$C$31</f>
        <v>0.41666666666666663</v>
      </c>
      <c r="K34">
        <f>'[25]Template '!$C$32</f>
        <v>0.63235294117647056</v>
      </c>
      <c r="L34">
        <f>'[25]Template '!$C$33</f>
        <v>0.52579365079365081</v>
      </c>
      <c r="N34">
        <f>'[25]Template '!$C$74</f>
        <v>0.38181818181818183</v>
      </c>
      <c r="O34" t="str">
        <f>'[25]Template '!$C$75</f>
        <v>n/a</v>
      </c>
      <c r="P34">
        <f>'[25]Template '!$C$76</f>
        <v>0.4821428571428571</v>
      </c>
      <c r="Q34">
        <f>'[25]Template '!$C$77</f>
        <v>0.54761904761904756</v>
      </c>
      <c r="R34">
        <f>'[25]Template '!$C$78</f>
        <v>0.51984126984126977</v>
      </c>
      <c r="T34">
        <f>'[25]Template '!$C$96</f>
        <v>0.4375</v>
      </c>
      <c r="U34">
        <f>'[25]Template '!$C$97</f>
        <v>0.3444444444444445</v>
      </c>
      <c r="V34">
        <f>'[25]Template '!$C$98</f>
        <v>0.5</v>
      </c>
      <c r="W34">
        <f>'[25]Template '!$C$99</f>
        <v>0.48088023088023085</v>
      </c>
      <c r="X34">
        <f>'[25]Template '!$C$100</f>
        <v>0.65992063492063491</v>
      </c>
      <c r="Z34">
        <f>'[25]Template '!$C$52</f>
        <v>0.375</v>
      </c>
      <c r="AA34">
        <f>'[25]Template '!$C$53</f>
        <v>0.3444444444444445</v>
      </c>
      <c r="AB34">
        <f>'[25]Template '!$C$54</f>
        <v>0.5</v>
      </c>
      <c r="AC34">
        <f>'[25]Template '!$C$55</f>
        <v>0.375</v>
      </c>
      <c r="AD34">
        <f>'[25]Template '!$C$56</f>
        <v>0.43650793650793651</v>
      </c>
      <c r="AF34">
        <f>'[25]Template '!$Z$30</f>
        <v>1</v>
      </c>
      <c r="AG34">
        <f>'[25]Template '!$AB$75</f>
        <v>1</v>
      </c>
      <c r="AH34">
        <f>'[25]Template '!$AD$75</f>
        <v>0</v>
      </c>
      <c r="AI34">
        <f>'[25]Template '!$AF$75</f>
        <v>0</v>
      </c>
      <c r="AJ34">
        <f>'[25]Template '!$AR$97</f>
        <v>1</v>
      </c>
      <c r="AK34">
        <f>'[25]Template '!$AS$97</f>
        <v>0</v>
      </c>
      <c r="AL34">
        <f>'[25]Template '!$AZ$97</f>
        <v>1</v>
      </c>
      <c r="AM34">
        <f>'[25]Template '!$BB$97</f>
        <v>0</v>
      </c>
      <c r="AN34">
        <f>'[25]Template '!$AU$53</f>
        <v>1</v>
      </c>
      <c r="AO34">
        <f>'[25]Template '!$AV$53</f>
        <v>1</v>
      </c>
      <c r="AP34">
        <f>'[25]Template '!$AY$53</f>
        <v>0</v>
      </c>
      <c r="AQ34">
        <f>'[25]Template '!$AX$53</f>
        <v>0</v>
      </c>
      <c r="AR34">
        <f>'[25]Template '!$AZ$53</f>
        <v>0</v>
      </c>
      <c r="AS34">
        <f>'[25]Template '!$BF$53</f>
        <v>0</v>
      </c>
    </row>
    <row r="35" spans="2:45" x14ac:dyDescent="0.2">
      <c r="B35" t="s">
        <v>132</v>
      </c>
      <c r="D35" t="str">
        <f t="shared" si="0"/>
        <v>M_085.xlsx</v>
      </c>
      <c r="F35" t="str">
        <f>'[26]Template '!$C$2</f>
        <v>D+M</v>
      </c>
      <c r="H35">
        <f>'[26]Template '!$C$29</f>
        <v>0.44444444444444448</v>
      </c>
      <c r="I35" t="str">
        <f>'[26]Template '!$C$30</f>
        <v>n/a</v>
      </c>
      <c r="J35">
        <f>'[26]Template '!$C$31</f>
        <v>0</v>
      </c>
      <c r="K35">
        <f>'[26]Template '!$C$32</f>
        <v>0.68954248366013071</v>
      </c>
      <c r="L35">
        <f>'[26]Template '!$C$33</f>
        <v>0.64682539682539675</v>
      </c>
      <c r="N35">
        <f>'[26]Template '!$C$74</f>
        <v>0.7</v>
      </c>
      <c r="O35" t="str">
        <f>'[26]Template '!$C$75</f>
        <v>n/a</v>
      </c>
      <c r="P35">
        <f>'[26]Template '!$C$76</f>
        <v>0.3571428571428571</v>
      </c>
      <c r="Q35">
        <f>'[26]Template '!$C$77</f>
        <v>0.59226190476190466</v>
      </c>
      <c r="R35">
        <f>'[26]Template '!$C$78</f>
        <v>0.5357142857142857</v>
      </c>
      <c r="T35">
        <f>'[26]Template '!$C$96</f>
        <v>0.75</v>
      </c>
      <c r="U35">
        <f>'[26]Template '!$C$97</f>
        <v>0.5185185185185186</v>
      </c>
      <c r="V35">
        <f>'[26]Template '!$C$98</f>
        <v>0</v>
      </c>
      <c r="W35">
        <f>'[26]Template '!$C$99</f>
        <v>0.45598845598845594</v>
      </c>
      <c r="X35">
        <f>'[26]Template '!$C$100</f>
        <v>0.74761904761904763</v>
      </c>
      <c r="Z35">
        <f>'[26]Template '!$C$52</f>
        <v>0.47222222222222221</v>
      </c>
      <c r="AA35">
        <f>'[26]Template '!$C$53</f>
        <v>0.5185185185185186</v>
      </c>
      <c r="AB35">
        <f>'[26]Template '!$C$54</f>
        <v>0</v>
      </c>
      <c r="AC35">
        <f>'[26]Template '!$C$55</f>
        <v>0.31018518518518517</v>
      </c>
      <c r="AD35">
        <f>'[26]Template '!$C$56</f>
        <v>0.61269841269841274</v>
      </c>
      <c r="AF35">
        <f>'[26]Template '!$Z$30</f>
        <v>0</v>
      </c>
      <c r="AG35">
        <f>'[26]Template '!$AB$75</f>
        <v>0</v>
      </c>
      <c r="AH35">
        <f>'[26]Template '!$AD$75</f>
        <v>0</v>
      </c>
      <c r="AI35">
        <f>'[26]Template '!$AF$75</f>
        <v>0</v>
      </c>
      <c r="AJ35">
        <f>'[26]Template '!$AR$97</f>
        <v>0</v>
      </c>
      <c r="AK35">
        <f>'[26]Template '!$AS$97</f>
        <v>1</v>
      </c>
      <c r="AL35">
        <f>'[26]Template '!$AZ$97</f>
        <v>0</v>
      </c>
      <c r="AM35">
        <f>'[26]Template '!$BB$97</f>
        <v>0</v>
      </c>
      <c r="AN35">
        <f>'[26]Template '!$AU$53</f>
        <v>1</v>
      </c>
      <c r="AO35">
        <f>'[26]Template '!$AV$53</f>
        <v>1</v>
      </c>
      <c r="AP35">
        <f>'[26]Template '!$AY$53</f>
        <v>0</v>
      </c>
      <c r="AQ35">
        <f>'[26]Template '!$AX$53</f>
        <v>0</v>
      </c>
      <c r="AR35">
        <f>'[26]Template '!$AZ$53</f>
        <v>0</v>
      </c>
      <c r="AS35">
        <f>'[26]Template '!$BF$53</f>
        <v>0</v>
      </c>
    </row>
    <row r="36" spans="2:45" x14ac:dyDescent="0.2">
      <c r="B36" t="s">
        <v>133</v>
      </c>
      <c r="D36" t="str">
        <f t="shared" si="0"/>
        <v>M_086.xlsx</v>
      </c>
      <c r="F36" t="e">
        <f>#REF!</f>
        <v>#REF!</v>
      </c>
      <c r="H36" t="e">
        <f>#REF!</f>
        <v>#REF!</v>
      </c>
      <c r="I36" t="e">
        <f>#REF!</f>
        <v>#REF!</v>
      </c>
      <c r="J36" t="e">
        <f>#REF!</f>
        <v>#REF!</v>
      </c>
      <c r="K36" t="e">
        <f>#REF!</f>
        <v>#REF!</v>
      </c>
      <c r="L36" t="e">
        <f>#REF!</f>
        <v>#REF!</v>
      </c>
      <c r="N36" t="e">
        <f>#REF!</f>
        <v>#REF!</v>
      </c>
      <c r="O36" t="e">
        <f>#REF!</f>
        <v>#REF!</v>
      </c>
      <c r="P36" t="e">
        <f>#REF!</f>
        <v>#REF!</v>
      </c>
      <c r="Q36" t="e">
        <f>#REF!</f>
        <v>#REF!</v>
      </c>
      <c r="R36" t="e">
        <f>#REF!</f>
        <v>#REF!</v>
      </c>
      <c r="T36" t="e">
        <f>#REF!</f>
        <v>#REF!</v>
      </c>
      <c r="U36" t="e">
        <f>#REF!</f>
        <v>#REF!</v>
      </c>
      <c r="V36" t="e">
        <f>#REF!</f>
        <v>#REF!</v>
      </c>
      <c r="W36" t="e">
        <f>#REF!</f>
        <v>#REF!</v>
      </c>
      <c r="X36" t="e">
        <f>#REF!</f>
        <v>#REF!</v>
      </c>
      <c r="Z36" t="e">
        <f>#REF!</f>
        <v>#REF!</v>
      </c>
      <c r="AA36" t="e">
        <f>#REF!</f>
        <v>#REF!</v>
      </c>
      <c r="AB36" t="e">
        <f>#REF!</f>
        <v>#REF!</v>
      </c>
      <c r="AC36" t="e">
        <f>#REF!</f>
        <v>#REF!</v>
      </c>
      <c r="AD36" t="e">
        <f>#REF!</f>
        <v>#REF!</v>
      </c>
      <c r="AF36" t="e">
        <f>#REF!</f>
        <v>#REF!</v>
      </c>
      <c r="AG36" t="e">
        <f>#REF!</f>
        <v>#REF!</v>
      </c>
      <c r="AH36" t="e">
        <f>#REF!</f>
        <v>#REF!</v>
      </c>
      <c r="AI36" t="e">
        <f>#REF!</f>
        <v>#REF!</v>
      </c>
      <c r="AJ36" t="e">
        <f>#REF!</f>
        <v>#REF!</v>
      </c>
      <c r="AK36" t="e">
        <f>#REF!</f>
        <v>#REF!</v>
      </c>
      <c r="AL36" t="e">
        <f>#REF!</f>
        <v>#REF!</v>
      </c>
      <c r="AM36" t="e">
        <f>#REF!</f>
        <v>#REF!</v>
      </c>
      <c r="AN36" t="e">
        <f>#REF!</f>
        <v>#REF!</v>
      </c>
      <c r="AO36" t="e">
        <f>#REF!</f>
        <v>#REF!</v>
      </c>
      <c r="AP36" t="e">
        <f>#REF!</f>
        <v>#REF!</v>
      </c>
      <c r="AQ36" t="e">
        <f>#REF!</f>
        <v>#REF!</v>
      </c>
      <c r="AR36" t="e">
        <f>#REF!</f>
        <v>#REF!</v>
      </c>
      <c r="AS36" t="e">
        <f>#REF!</f>
        <v>#REF!</v>
      </c>
    </row>
    <row r="37" spans="2:45" x14ac:dyDescent="0.2">
      <c r="B37" t="s">
        <v>134</v>
      </c>
      <c r="D37" t="str">
        <f t="shared" si="0"/>
        <v>M_087.xlsx</v>
      </c>
      <c r="F37" t="e">
        <f>#REF!</f>
        <v>#REF!</v>
      </c>
      <c r="H37" t="e">
        <f>#REF!</f>
        <v>#REF!</v>
      </c>
      <c r="I37" t="e">
        <f>#REF!</f>
        <v>#REF!</v>
      </c>
      <c r="J37" t="e">
        <f>#REF!</f>
        <v>#REF!</v>
      </c>
      <c r="K37" t="e">
        <f>#REF!</f>
        <v>#REF!</v>
      </c>
      <c r="L37" t="e">
        <f>#REF!</f>
        <v>#REF!</v>
      </c>
      <c r="N37" t="e">
        <f>#REF!</f>
        <v>#REF!</v>
      </c>
      <c r="O37" t="e">
        <f>#REF!</f>
        <v>#REF!</v>
      </c>
      <c r="P37" t="e">
        <f>#REF!</f>
        <v>#REF!</v>
      </c>
      <c r="Q37" t="e">
        <f>#REF!</f>
        <v>#REF!</v>
      </c>
      <c r="R37" t="e">
        <f>#REF!</f>
        <v>#REF!</v>
      </c>
      <c r="T37" t="e">
        <f>#REF!</f>
        <v>#REF!</v>
      </c>
      <c r="U37" t="e">
        <f>#REF!</f>
        <v>#REF!</v>
      </c>
      <c r="V37" t="e">
        <f>#REF!</f>
        <v>#REF!</v>
      </c>
      <c r="W37" t="e">
        <f>#REF!</f>
        <v>#REF!</v>
      </c>
      <c r="X37" t="e">
        <f>#REF!</f>
        <v>#REF!</v>
      </c>
      <c r="Z37" t="e">
        <f>#REF!</f>
        <v>#REF!</v>
      </c>
      <c r="AA37" t="e">
        <f>#REF!</f>
        <v>#REF!</v>
      </c>
      <c r="AB37" t="e">
        <f>#REF!</f>
        <v>#REF!</v>
      </c>
      <c r="AC37" t="e">
        <f>#REF!</f>
        <v>#REF!</v>
      </c>
      <c r="AD37" t="e">
        <f>#REF!</f>
        <v>#REF!</v>
      </c>
      <c r="AF37" t="e">
        <f>#REF!</f>
        <v>#REF!</v>
      </c>
      <c r="AG37" t="e">
        <f>#REF!</f>
        <v>#REF!</v>
      </c>
      <c r="AH37" t="e">
        <f>#REF!</f>
        <v>#REF!</v>
      </c>
      <c r="AI37" t="e">
        <f>#REF!</f>
        <v>#REF!</v>
      </c>
      <c r="AJ37" t="e">
        <f>#REF!</f>
        <v>#REF!</v>
      </c>
      <c r="AK37" t="e">
        <f>#REF!</f>
        <v>#REF!</v>
      </c>
      <c r="AL37" t="e">
        <f>#REF!</f>
        <v>#REF!</v>
      </c>
      <c r="AM37" t="e">
        <f>#REF!</f>
        <v>#REF!</v>
      </c>
      <c r="AN37" t="e">
        <f>#REF!</f>
        <v>#REF!</v>
      </c>
      <c r="AO37" t="e">
        <f>#REF!</f>
        <v>#REF!</v>
      </c>
      <c r="AP37" t="e">
        <f>#REF!</f>
        <v>#REF!</v>
      </c>
      <c r="AQ37" t="e">
        <f>#REF!</f>
        <v>#REF!</v>
      </c>
      <c r="AR37" t="e">
        <f>#REF!</f>
        <v>#REF!</v>
      </c>
      <c r="AS37" t="e">
        <f>#REF!</f>
        <v>#REF!</v>
      </c>
    </row>
    <row r="38" spans="2:45" x14ac:dyDescent="0.2">
      <c r="B38" t="s">
        <v>135</v>
      </c>
      <c r="D38" t="str">
        <f t="shared" si="0"/>
        <v>M_089.xlsx</v>
      </c>
      <c r="F38" t="str">
        <f>'[27]Template '!$C$2</f>
        <v>D only</v>
      </c>
      <c r="H38">
        <f>'[27]Template '!$C$29</f>
        <v>0.1111111111111111</v>
      </c>
      <c r="I38" t="str">
        <f>'[27]Template '!$C$30</f>
        <v>n/a</v>
      </c>
      <c r="J38">
        <f>'[27]Template '!$C$31</f>
        <v>0.58333333333333326</v>
      </c>
      <c r="K38">
        <f>'[27]Template '!$C$32</f>
        <v>0.54411764705882359</v>
      </c>
      <c r="L38">
        <f>'[27]Template '!$C$33</f>
        <v>0.7142857142857143</v>
      </c>
      <c r="N38">
        <f>'[27]Template '!$C$74</f>
        <v>0.24545454545454548</v>
      </c>
      <c r="O38" t="str">
        <f>'[27]Template '!$C$75</f>
        <v>n/a</v>
      </c>
      <c r="P38">
        <f>'[27]Template '!$C$76</f>
        <v>0.6071428571428571</v>
      </c>
      <c r="Q38">
        <f>'[27]Template '!$C$77</f>
        <v>0.47619047619047616</v>
      </c>
      <c r="R38">
        <f>'[27]Template '!$C$78</f>
        <v>0.76190476190476186</v>
      </c>
      <c r="T38">
        <f>'[27]Template '!$C$96</f>
        <v>0.8</v>
      </c>
      <c r="U38">
        <f>'[27]Template '!$C$97</f>
        <v>0.50370370370370376</v>
      </c>
      <c r="V38">
        <f>'[27]Template '!$C$98</f>
        <v>0.5</v>
      </c>
      <c r="W38">
        <f>'[27]Template '!$C$99</f>
        <v>0.60101010101010088</v>
      </c>
      <c r="X38">
        <f>'[27]Template '!$C$100</f>
        <v>0.89761904761904765</v>
      </c>
      <c r="Z38">
        <f>'[27]Template '!$C$52</f>
        <v>0.40952380952380951</v>
      </c>
      <c r="AA38">
        <f>'[27]Template '!$C$53</f>
        <v>0.50370370370370376</v>
      </c>
      <c r="AB38">
        <f>'[27]Template '!$C$54</f>
        <v>0.5</v>
      </c>
      <c r="AC38">
        <f>'[27]Template '!$C$55</f>
        <v>0.3125</v>
      </c>
      <c r="AD38">
        <f>'[27]Template '!$C$56</f>
        <v>0.8738095238095237</v>
      </c>
      <c r="AF38">
        <f>'[27]Template '!$Z$30</f>
        <v>0</v>
      </c>
      <c r="AG38">
        <f>'[27]Template '!$AB$75</f>
        <v>0</v>
      </c>
      <c r="AH38">
        <f>'[27]Template '!$AD$75</f>
        <v>0</v>
      </c>
      <c r="AI38">
        <f>'[27]Template '!$AF$75</f>
        <v>0</v>
      </c>
      <c r="AJ38">
        <f>'[27]Template '!$AR$97</f>
        <v>1</v>
      </c>
      <c r="AK38">
        <f>'[27]Template '!$AS$97</f>
        <v>1</v>
      </c>
      <c r="AL38">
        <f>'[27]Template '!$AZ$97</f>
        <v>1</v>
      </c>
      <c r="AM38">
        <f>'[27]Template '!$BB$97</f>
        <v>1</v>
      </c>
      <c r="AN38">
        <f>'[27]Template '!$AU$53</f>
        <v>1</v>
      </c>
      <c r="AO38">
        <f>'[27]Template '!$AV$53</f>
        <v>0</v>
      </c>
      <c r="AP38">
        <f>'[27]Template '!$AY$53</f>
        <v>0</v>
      </c>
      <c r="AQ38">
        <f>'[27]Template '!$AX$53</f>
        <v>0</v>
      </c>
      <c r="AR38">
        <f>'[27]Template '!$AZ$53</f>
        <v>0</v>
      </c>
      <c r="AS38">
        <f>'[27]Template '!$BF$53</f>
        <v>0</v>
      </c>
    </row>
    <row r="39" spans="2:45" x14ac:dyDescent="0.2">
      <c r="B39" t="s">
        <v>136</v>
      </c>
      <c r="D39" t="str">
        <f t="shared" si="0"/>
        <v>M_090.xlsx</v>
      </c>
      <c r="F39" t="str">
        <f>'[28]Template '!$C$2</f>
        <v>D+M</v>
      </c>
      <c r="H39">
        <f>'[28]Template '!$C$29</f>
        <v>0.3888888888888889</v>
      </c>
      <c r="I39" t="str">
        <f>'[28]Template '!$C$30</f>
        <v>n/a</v>
      </c>
      <c r="J39">
        <f>'[28]Template '!$C$31</f>
        <v>0.58333333333333326</v>
      </c>
      <c r="K39">
        <f>'[28]Template '!$C$32</f>
        <v>0.54411764705882359</v>
      </c>
      <c r="L39">
        <f>'[28]Template '!$C$33</f>
        <v>0.54761904761904756</v>
      </c>
      <c r="N39">
        <f>'[28]Template '!$C$74</f>
        <v>0.7</v>
      </c>
      <c r="O39" t="str">
        <f>'[28]Template '!$C$75</f>
        <v>n/a</v>
      </c>
      <c r="P39">
        <f>'[28]Template '!$C$76</f>
        <v>0.4642857142857143</v>
      </c>
      <c r="Q39">
        <f>'[28]Template '!$C$77</f>
        <v>0.61904761904761907</v>
      </c>
      <c r="R39">
        <f>'[28]Template '!$C$78</f>
        <v>0.78571428571428559</v>
      </c>
      <c r="T39">
        <f>'[28]Template '!$C$96</f>
        <v>0.66666666666666663</v>
      </c>
      <c r="U39">
        <f>'[28]Template '!$C$97</f>
        <v>0.24444444444444446</v>
      </c>
      <c r="V39">
        <f>'[28]Template '!$C$98</f>
        <v>0.5</v>
      </c>
      <c r="W39">
        <f>'[28]Template '!$C$99</f>
        <v>0.50360750360750361</v>
      </c>
      <c r="X39">
        <f>'[28]Template '!$C$100</f>
        <v>0.56666666666666665</v>
      </c>
      <c r="Z39">
        <f>'[28]Template '!$C$52</f>
        <v>0.64444444444444438</v>
      </c>
      <c r="AA39">
        <f>'[28]Template '!$C$53</f>
        <v>0.24444444444444446</v>
      </c>
      <c r="AB39">
        <f>'[28]Template '!$C$54</f>
        <v>0.5</v>
      </c>
      <c r="AC39">
        <f>'[28]Template '!$C$55</f>
        <v>0.1875</v>
      </c>
      <c r="AD39">
        <f>'[28]Template '!$C$56</f>
        <v>0.70198412698412704</v>
      </c>
      <c r="AF39">
        <f>'[28]Template '!$Z$30</f>
        <v>0</v>
      </c>
      <c r="AG39">
        <f>'[28]Template '!$AB$75</f>
        <v>0.5</v>
      </c>
      <c r="AH39">
        <f>'[28]Template '!$AD$75</f>
        <v>0.5</v>
      </c>
      <c r="AI39">
        <f>'[28]Template '!$AF$75</f>
        <v>0</v>
      </c>
      <c r="AJ39">
        <f>'[28]Template '!$AR$97</f>
        <v>1</v>
      </c>
      <c r="AK39">
        <f>'[28]Template '!$AS$97</f>
        <v>1</v>
      </c>
      <c r="AL39">
        <f>'[28]Template '!$AZ$97</f>
        <v>0</v>
      </c>
      <c r="AM39">
        <f>'[28]Template '!$BB$97</f>
        <v>0</v>
      </c>
      <c r="AN39">
        <f>'[28]Template '!$AU$53</f>
        <v>0</v>
      </c>
      <c r="AO39">
        <f>'[28]Template '!$AV$53</f>
        <v>0</v>
      </c>
      <c r="AP39">
        <f>'[28]Template '!$AY$53</f>
        <v>0</v>
      </c>
      <c r="AQ39">
        <f>'[28]Template '!$AX$53</f>
        <v>0</v>
      </c>
      <c r="AR39">
        <f>'[28]Template '!$AZ$53</f>
        <v>0</v>
      </c>
      <c r="AS39">
        <f>'[28]Template '!$BF$53</f>
        <v>0</v>
      </c>
    </row>
    <row r="40" spans="2:45" x14ac:dyDescent="0.2">
      <c r="B40" t="s">
        <v>137</v>
      </c>
      <c r="D40" t="str">
        <f t="shared" si="0"/>
        <v>M_091.xlsx</v>
      </c>
      <c r="F40" t="str">
        <f>'[29]Template '!$C$2</f>
        <v>D+M</v>
      </c>
      <c r="H40">
        <f>'[29]Template '!$C$29</f>
        <v>0.27777777777777779</v>
      </c>
      <c r="I40" t="str">
        <f>'[29]Template '!$C$30</f>
        <v>n/a</v>
      </c>
      <c r="J40">
        <f>'[29]Template '!$C$31</f>
        <v>0.58333333333333326</v>
      </c>
      <c r="K40">
        <f>'[29]Template '!$C$32</f>
        <v>0.54411764705882359</v>
      </c>
      <c r="L40">
        <f>'[29]Template '!$C$33</f>
        <v>0.80952380952380942</v>
      </c>
      <c r="N40">
        <f>'[29]Template '!$C$74</f>
        <v>0.7</v>
      </c>
      <c r="O40" t="str">
        <f>'[29]Template '!$C$75</f>
        <v>n/a</v>
      </c>
      <c r="P40">
        <f>'[29]Template '!$C$76</f>
        <v>0.4642857142857143</v>
      </c>
      <c r="Q40">
        <f>'[29]Template '!$C$77</f>
        <v>0.64285714285714279</v>
      </c>
      <c r="R40">
        <f>'[29]Template '!$C$78</f>
        <v>0.93253968253968245</v>
      </c>
      <c r="T40">
        <f>'[29]Template '!$C$96</f>
        <v>0.75</v>
      </c>
      <c r="U40">
        <f>'[29]Template '!$C$97</f>
        <v>0.58518518518518514</v>
      </c>
      <c r="V40">
        <f>'[29]Template '!$C$98</f>
        <v>0.5</v>
      </c>
      <c r="W40">
        <f>'[29]Template '!$C$99</f>
        <v>0.74603174603174605</v>
      </c>
      <c r="X40">
        <f>'[29]Template '!$C$100</f>
        <v>0.98809523809523814</v>
      </c>
      <c r="Z40">
        <f>'[29]Template '!$C$52</f>
        <v>0.7</v>
      </c>
      <c r="AA40">
        <f>'[29]Template '!$C$53</f>
        <v>0.58518518518518514</v>
      </c>
      <c r="AB40">
        <f>'[29]Template '!$C$54</f>
        <v>0.5</v>
      </c>
      <c r="AC40">
        <f>'[29]Template '!$C$55</f>
        <v>0.45833333333333331</v>
      </c>
      <c r="AD40">
        <f>'[29]Template '!$C$56</f>
        <v>0.90952380952380951</v>
      </c>
      <c r="AF40">
        <f>'[29]Template '!$Z$30</f>
        <v>0</v>
      </c>
      <c r="AG40">
        <f>'[29]Template '!$AB$75</f>
        <v>0</v>
      </c>
      <c r="AH40">
        <f>'[29]Template '!$AD$75</f>
        <v>1</v>
      </c>
      <c r="AI40">
        <f>'[29]Template '!$AF$75</f>
        <v>0</v>
      </c>
      <c r="AJ40">
        <f>'[29]Template '!$AR$97</f>
        <v>1</v>
      </c>
      <c r="AK40">
        <f>'[29]Template '!$AS$97</f>
        <v>1</v>
      </c>
      <c r="AL40">
        <f>'[29]Template '!$AZ$97</f>
        <v>1</v>
      </c>
      <c r="AM40">
        <f>'[29]Template '!$BB$97</f>
        <v>1</v>
      </c>
      <c r="AN40">
        <f>'[29]Template '!$AU$53</f>
        <v>1</v>
      </c>
      <c r="AO40">
        <f>'[29]Template '!$AV$53</f>
        <v>1</v>
      </c>
      <c r="AP40">
        <f>'[29]Template '!$AY$53</f>
        <v>1</v>
      </c>
      <c r="AQ40">
        <f>'[29]Template '!$AX$53</f>
        <v>0</v>
      </c>
      <c r="AR40">
        <f>'[29]Template '!$AZ$53</f>
        <v>0</v>
      </c>
      <c r="AS40">
        <f>'[29]Template '!$BF$53</f>
        <v>0</v>
      </c>
    </row>
    <row r="41" spans="2:45" x14ac:dyDescent="0.2">
      <c r="B41" t="s">
        <v>138</v>
      </c>
      <c r="D41" t="str">
        <f t="shared" si="0"/>
        <v>M_092.xlsx</v>
      </c>
      <c r="F41" t="str">
        <f>'[30]Template '!$C$2</f>
        <v>D only</v>
      </c>
      <c r="H41">
        <f>'[30]Template '!$C$29</f>
        <v>0.1111111111111111</v>
      </c>
      <c r="I41" t="str">
        <f>'[30]Template '!$C$30</f>
        <v>n/a</v>
      </c>
      <c r="J41">
        <f>'[30]Template '!$C$31</f>
        <v>0.58333333333333326</v>
      </c>
      <c r="K41">
        <f>'[30]Template '!$C$32</f>
        <v>0.69117647058823528</v>
      </c>
      <c r="L41">
        <f>'[30]Template '!$C$33</f>
        <v>0.92063492063492058</v>
      </c>
      <c r="N41">
        <f>'[30]Template '!$C$74</f>
        <v>0.29090909090909089</v>
      </c>
      <c r="O41" t="str">
        <f>'[30]Template '!$C$75</f>
        <v>n/a</v>
      </c>
      <c r="P41">
        <f>'[30]Template '!$C$76</f>
        <v>0.4642857142857143</v>
      </c>
      <c r="Q41">
        <f>'[30]Template '!$C$77</f>
        <v>0.47619047619047616</v>
      </c>
      <c r="R41">
        <f>'[30]Template '!$C$78</f>
        <v>0.71825396825396826</v>
      </c>
      <c r="T41">
        <f>'[30]Template '!$C$96</f>
        <v>0.60416666666666663</v>
      </c>
      <c r="U41">
        <f>'[30]Template '!$C$97</f>
        <v>0.2074074074074074</v>
      </c>
      <c r="V41">
        <f>'[30]Template '!$C$98</f>
        <v>0.5</v>
      </c>
      <c r="W41">
        <f>'[30]Template '!$C$99</f>
        <v>0.55339105339105332</v>
      </c>
      <c r="X41">
        <f>'[30]Template '!$C$100</f>
        <v>0.84126984126984128</v>
      </c>
      <c r="Z41">
        <f>'[30]Template '!$C$52</f>
        <v>0.58333333333333326</v>
      </c>
      <c r="AA41">
        <f>'[30]Template '!$C$53</f>
        <v>0.2074074074074074</v>
      </c>
      <c r="AB41">
        <f>'[30]Template '!$C$54</f>
        <v>0.5</v>
      </c>
      <c r="AC41">
        <f>'[30]Template '!$C$55</f>
        <v>0.5714285714285714</v>
      </c>
      <c r="AD41">
        <f>'[30]Template '!$C$56</f>
        <v>0.97619047619047616</v>
      </c>
      <c r="AF41">
        <f>'[30]Template '!$Z$30</f>
        <v>1</v>
      </c>
      <c r="AG41">
        <f>'[30]Template '!$AB$75</f>
        <v>0</v>
      </c>
      <c r="AH41">
        <f>'[30]Template '!$AD$75</f>
        <v>0</v>
      </c>
      <c r="AI41">
        <f>'[30]Template '!$AF$75</f>
        <v>0</v>
      </c>
      <c r="AJ41">
        <f>'[30]Template '!$AR$97</f>
        <v>0</v>
      </c>
      <c r="AK41">
        <f>'[30]Template '!$AS$97</f>
        <v>1</v>
      </c>
      <c r="AL41">
        <f>'[30]Template '!$AZ$97</f>
        <v>1</v>
      </c>
      <c r="AM41">
        <f>'[30]Template '!$BB$97</f>
        <v>1</v>
      </c>
      <c r="AN41">
        <f>'[30]Template '!$AU$53</f>
        <v>1</v>
      </c>
      <c r="AO41">
        <f>'[30]Template '!$AV$53</f>
        <v>1</v>
      </c>
      <c r="AP41">
        <f>'[30]Template '!$AY$53</f>
        <v>0</v>
      </c>
      <c r="AQ41">
        <f>'[30]Template '!$AX$53</f>
        <v>1</v>
      </c>
      <c r="AR41">
        <f>'[30]Template '!$AZ$53</f>
        <v>0</v>
      </c>
      <c r="AS41">
        <f>'[30]Template '!$BF$53</f>
        <v>1</v>
      </c>
    </row>
    <row r="42" spans="2:45" x14ac:dyDescent="0.2">
      <c r="B42" t="s">
        <v>139</v>
      </c>
      <c r="D42" t="str">
        <f t="shared" si="0"/>
        <v>M_093.xlsx</v>
      </c>
      <c r="F42" t="str">
        <f>'[31]Template '!$C$2</f>
        <v>D only</v>
      </c>
      <c r="H42">
        <f>'[31]Template '!$C$29</f>
        <v>0</v>
      </c>
      <c r="I42" t="str">
        <f>'[31]Template '!$C$30</f>
        <v>n/a</v>
      </c>
      <c r="J42">
        <f>'[31]Template '!$C$31</f>
        <v>0.58333333333333326</v>
      </c>
      <c r="K42">
        <f>'[31]Template '!$C$32</f>
        <v>0.11764705882352941</v>
      </c>
      <c r="L42">
        <f>'[31]Template '!$C$33</f>
        <v>0.27380952380952378</v>
      </c>
      <c r="N42">
        <f>'[31]Template '!$C$74</f>
        <v>0.60909090909090913</v>
      </c>
      <c r="O42" t="str">
        <f>'[31]Template '!$C$75</f>
        <v>n/a</v>
      </c>
      <c r="P42">
        <f>'[31]Template '!$C$76</f>
        <v>0.6071428571428571</v>
      </c>
      <c r="Q42">
        <f>'[31]Template '!$C$77</f>
        <v>0.35416666666666663</v>
      </c>
      <c r="R42">
        <f>'[31]Template '!$C$78</f>
        <v>0.42063492063492064</v>
      </c>
      <c r="T42">
        <f>'[31]Template '!$C$96</f>
        <v>0.25</v>
      </c>
      <c r="U42">
        <f>'[31]Template '!$C$97</f>
        <v>0.6518518518518519</v>
      </c>
      <c r="V42">
        <f>'[31]Template '!$C$98</f>
        <v>0.5</v>
      </c>
      <c r="W42">
        <f>'[31]Template '!$C$99</f>
        <v>0.26984126984126983</v>
      </c>
      <c r="X42">
        <f>'[31]Template '!$C$100</f>
        <v>0.26428571428571429</v>
      </c>
      <c r="Z42">
        <f>'[31]Template '!$C$52</f>
        <v>0.22857142857142854</v>
      </c>
      <c r="AA42">
        <f>'[31]Template '!$C$53</f>
        <v>0.6518518518518519</v>
      </c>
      <c r="AB42">
        <f>'[31]Template '!$C$54</f>
        <v>0.5</v>
      </c>
      <c r="AC42">
        <f>'[31]Template '!$C$55</f>
        <v>0.25</v>
      </c>
      <c r="AD42">
        <f>'[31]Template '!$C$56</f>
        <v>0.29523809523809524</v>
      </c>
      <c r="AF42">
        <f>'[31]Template '!$Z$30</f>
        <v>0</v>
      </c>
      <c r="AG42">
        <f>'[31]Template '!$AB$75</f>
        <v>0</v>
      </c>
      <c r="AH42">
        <f>'[31]Template '!$AD$75</f>
        <v>0</v>
      </c>
      <c r="AI42">
        <f>'[31]Template '!$AF$75</f>
        <v>0</v>
      </c>
      <c r="AJ42">
        <f>'[31]Template '!$AR$97</f>
        <v>0</v>
      </c>
      <c r="AK42">
        <f>'[31]Template '!$AS$97</f>
        <v>0</v>
      </c>
      <c r="AL42">
        <f>'[31]Template '!$AZ$97</f>
        <v>0</v>
      </c>
      <c r="AM42">
        <f>'[31]Template '!$BB$97</f>
        <v>0</v>
      </c>
      <c r="AN42">
        <f>'[31]Template '!$AU$53</f>
        <v>0</v>
      </c>
      <c r="AO42">
        <f>'[31]Template '!$AV$53</f>
        <v>0</v>
      </c>
      <c r="AP42">
        <f>'[31]Template '!$AY$53</f>
        <v>0</v>
      </c>
      <c r="AQ42">
        <f>'[31]Template '!$AX$53</f>
        <v>0</v>
      </c>
      <c r="AR42">
        <f>'[31]Template '!$AZ$53</f>
        <v>0</v>
      </c>
      <c r="AS42">
        <f>'[31]Template '!$BF$53</f>
        <v>0</v>
      </c>
    </row>
    <row r="43" spans="2:45" x14ac:dyDescent="0.2">
      <c r="B43" t="s">
        <v>140</v>
      </c>
      <c r="D43" t="str">
        <f t="shared" si="0"/>
        <v>M_094.xlsx</v>
      </c>
      <c r="F43" t="str">
        <f>'[32]Template '!$C$2</f>
        <v>D only</v>
      </c>
      <c r="H43">
        <f>'[32]Template '!$C$29</f>
        <v>0.25</v>
      </c>
      <c r="I43" t="str">
        <f>'[32]Template '!$C$30</f>
        <v>n/a</v>
      </c>
      <c r="J43">
        <f>'[32]Template '!$C$31</f>
        <v>0.75</v>
      </c>
      <c r="K43">
        <f>'[32]Template '!$C$32</f>
        <v>0.45506535947712418</v>
      </c>
      <c r="L43">
        <f>'[32]Template '!$C$33</f>
        <v>0.36309523809523808</v>
      </c>
      <c r="N43">
        <f>'[32]Template '!$C$74</f>
        <v>0.35909090909090913</v>
      </c>
      <c r="O43" t="str">
        <f>'[32]Template '!$C$75</f>
        <v>n/a</v>
      </c>
      <c r="P43">
        <f>'[32]Template '!$C$76</f>
        <v>7.1428571428571425E-2</v>
      </c>
      <c r="Q43">
        <f>'[32]Template '!$C$77</f>
        <v>0.47619047619047616</v>
      </c>
      <c r="R43">
        <f>'[32]Template '!$C$78</f>
        <v>0.32936507936507936</v>
      </c>
      <c r="T43">
        <f>'[32]Template '!$C$96</f>
        <v>0.6875</v>
      </c>
      <c r="U43">
        <f>'[32]Template '!$C$97</f>
        <v>0.71851851851851867</v>
      </c>
      <c r="V43">
        <f>'[32]Template '!$C$98</f>
        <v>0.5</v>
      </c>
      <c r="W43">
        <f>'[32]Template '!$C$99</f>
        <v>0.52308802308802305</v>
      </c>
      <c r="X43">
        <f>'[32]Template '!$C$100</f>
        <v>0.44087301587301586</v>
      </c>
      <c r="Z43">
        <f>'[32]Template '!$C$52</f>
        <v>0.21944444444444447</v>
      </c>
      <c r="AA43">
        <f>'[32]Template '!$C$53</f>
        <v>0.71851851851851867</v>
      </c>
      <c r="AB43">
        <f>'[32]Template '!$C$54</f>
        <v>0.5</v>
      </c>
      <c r="AC43">
        <f>'[32]Template '!$C$55</f>
        <v>0.3125</v>
      </c>
      <c r="AD43">
        <f>'[32]Template '!$C$56</f>
        <v>0.47420634920634924</v>
      </c>
      <c r="AF43">
        <f>'[32]Template '!$Z$30</f>
        <v>0</v>
      </c>
      <c r="AG43">
        <f>'[32]Template '!$AB$75</f>
        <v>0</v>
      </c>
      <c r="AH43">
        <f>'[32]Template '!$AD$75</f>
        <v>0</v>
      </c>
      <c r="AI43">
        <f>'[32]Template '!$AF$75</f>
        <v>0</v>
      </c>
      <c r="AJ43">
        <f>'[32]Template '!$AR$97</f>
        <v>0</v>
      </c>
      <c r="AK43">
        <f>'[32]Template '!$AS$97</f>
        <v>1</v>
      </c>
      <c r="AL43">
        <f>'[32]Template '!$AZ$97</f>
        <v>1</v>
      </c>
      <c r="AM43">
        <f>'[32]Template '!$BB$97</f>
        <v>0</v>
      </c>
      <c r="AN43">
        <f>'[32]Template '!$AU$53</f>
        <v>1</v>
      </c>
      <c r="AO43">
        <f>'[32]Template '!$AV$53</f>
        <v>0</v>
      </c>
      <c r="AP43">
        <f>'[32]Template '!$AY$53</f>
        <v>0</v>
      </c>
      <c r="AQ43">
        <f>'[32]Template '!$AX$53</f>
        <v>0</v>
      </c>
      <c r="AR43">
        <f>'[32]Template '!$AZ$53</f>
        <v>0</v>
      </c>
      <c r="AS43">
        <f>'[32]Template '!$BF$53</f>
        <v>0</v>
      </c>
    </row>
    <row r="44" spans="2:45" x14ac:dyDescent="0.2">
      <c r="B44" t="s">
        <v>141</v>
      </c>
      <c r="D44" t="str">
        <f t="shared" si="0"/>
        <v>M_095.xlsx</v>
      </c>
      <c r="F44" t="str">
        <f>'[33]Template '!$C$2</f>
        <v>D only</v>
      </c>
      <c r="H44">
        <f>'[33]Template '!$C$29</f>
        <v>0</v>
      </c>
      <c r="I44" t="str">
        <f>'[33]Template '!$C$30</f>
        <v>n/a</v>
      </c>
      <c r="J44">
        <f>'[33]Template '!$C$31</f>
        <v>0.5</v>
      </c>
      <c r="K44">
        <f>'[33]Template '!$C$32</f>
        <v>0.34558823529411764</v>
      </c>
      <c r="L44">
        <f>'[33]Template '!$C$33</f>
        <v>0.5357142857142857</v>
      </c>
      <c r="N44">
        <f>'[33]Template '!$C$74</f>
        <v>0.24545454545454548</v>
      </c>
      <c r="O44" t="str">
        <f>'[33]Template '!$C$75</f>
        <v>n/a</v>
      </c>
      <c r="P44">
        <f>'[33]Template '!$C$76</f>
        <v>0.39285714285714285</v>
      </c>
      <c r="Q44">
        <f>'[33]Template '!$C$77</f>
        <v>0.13095238095238093</v>
      </c>
      <c r="R44">
        <f>'[33]Template '!$C$78</f>
        <v>0.71626984126984128</v>
      </c>
      <c r="T44">
        <f>'[33]Template '!$C$96</f>
        <v>0.39583333333333331</v>
      </c>
      <c r="U44">
        <f>'[33]Template '!$C$97</f>
        <v>0.34074074074074079</v>
      </c>
      <c r="V44">
        <f>'[33]Template '!$C$98</f>
        <v>0.5</v>
      </c>
      <c r="W44">
        <f>'[33]Template '!$C$99</f>
        <v>0.4386724386724386</v>
      </c>
      <c r="X44">
        <f>'[33]Template '!$C$100</f>
        <v>0.71825396825396826</v>
      </c>
      <c r="Z44">
        <f>'[33]Template '!$C$52</f>
        <v>6.9444444444444448E-2</v>
      </c>
      <c r="AA44">
        <f>'[33]Template '!$C$53</f>
        <v>0.34074074074074079</v>
      </c>
      <c r="AB44">
        <f>'[33]Template '!$C$54</f>
        <v>0.5</v>
      </c>
      <c r="AC44">
        <f>'[33]Template '!$C$55</f>
        <v>0.21279761904761904</v>
      </c>
      <c r="AD44">
        <f>'[33]Template '!$C$56</f>
        <v>0.75436507936507935</v>
      </c>
      <c r="AF44">
        <f>'[33]Template '!$Z$30</f>
        <v>0</v>
      </c>
      <c r="AG44">
        <f>'[33]Template '!$AB$75</f>
        <v>0</v>
      </c>
      <c r="AH44">
        <f>'[33]Template '!$AD$75</f>
        <v>0</v>
      </c>
      <c r="AI44">
        <f>'[33]Template '!$AF$75</f>
        <v>0</v>
      </c>
      <c r="AJ44">
        <f>'[33]Template '!$AR$97</f>
        <v>0</v>
      </c>
      <c r="AK44">
        <f>'[33]Template '!$AS$97</f>
        <v>0.5</v>
      </c>
      <c r="AL44">
        <f>'[33]Template '!$AZ$97</f>
        <v>0.5</v>
      </c>
      <c r="AM44">
        <f>'[33]Template '!$BB$97</f>
        <v>0</v>
      </c>
      <c r="AN44">
        <f>'[33]Template '!$AU$53</f>
        <v>0</v>
      </c>
      <c r="AO44">
        <f>'[33]Template '!$AV$53</f>
        <v>0</v>
      </c>
      <c r="AP44">
        <f>'[33]Template '!$AY$53</f>
        <v>0</v>
      </c>
      <c r="AQ44">
        <f>'[33]Template '!$AX$53</f>
        <v>0</v>
      </c>
      <c r="AR44">
        <f>'[33]Template '!$AZ$53</f>
        <v>0</v>
      </c>
      <c r="AS44">
        <f>'[33]Template '!$BF$53</f>
        <v>0.5</v>
      </c>
    </row>
    <row r="45" spans="2:45" x14ac:dyDescent="0.2">
      <c r="B45" t="s">
        <v>142</v>
      </c>
      <c r="D45" t="str">
        <f t="shared" si="0"/>
        <v>M_096.xlsx</v>
      </c>
      <c r="F45" t="str">
        <f>'[34]Template '!$C$2</f>
        <v>D+M</v>
      </c>
      <c r="H45">
        <f>'[34]Template '!$C$29</f>
        <v>0.3888888888888889</v>
      </c>
      <c r="I45" t="str">
        <f>'[34]Template '!$C$30</f>
        <v>n/a</v>
      </c>
      <c r="J45">
        <f>'[34]Template '!$C$31</f>
        <v>0.33333333333333331</v>
      </c>
      <c r="K45">
        <f>'[34]Template '!$C$32</f>
        <v>0.81617647058823528</v>
      </c>
      <c r="L45">
        <f>'[34]Template '!$C$33</f>
        <v>0.70238095238095222</v>
      </c>
      <c r="N45">
        <f>'[34]Template '!$C$74</f>
        <v>0.47272727272727272</v>
      </c>
      <c r="O45" t="str">
        <f>'[34]Template '!$C$75</f>
        <v>n/a</v>
      </c>
      <c r="P45">
        <f>'[34]Template '!$C$76</f>
        <v>0.4642857142857143</v>
      </c>
      <c r="Q45">
        <f>'[34]Template '!$C$77</f>
        <v>0.52380952380952372</v>
      </c>
      <c r="R45">
        <f>'[34]Template '!$C$78</f>
        <v>0.70238095238095222</v>
      </c>
      <c r="T45">
        <f>'[34]Template '!$C$96</f>
        <v>0.75</v>
      </c>
      <c r="U45">
        <f>'[34]Template '!$C$97</f>
        <v>0.2074074074074074</v>
      </c>
      <c r="V45">
        <f>'[34]Template '!$C$98</f>
        <v>0</v>
      </c>
      <c r="W45">
        <f>'[34]Template '!$C$99</f>
        <v>0.51659451659451661</v>
      </c>
      <c r="X45">
        <f>'[34]Template '!$C$100</f>
        <v>0.94047619047619035</v>
      </c>
      <c r="Z45">
        <f>'[34]Template '!$C$52</f>
        <v>0.69444444444444442</v>
      </c>
      <c r="AA45">
        <f>'[34]Template '!$C$53</f>
        <v>0.2074074074074074</v>
      </c>
      <c r="AB45">
        <f>'[34]Template '!$C$54</f>
        <v>0.5</v>
      </c>
      <c r="AC45">
        <f>'[34]Template '!$C$55</f>
        <v>0.33035714285714285</v>
      </c>
      <c r="AD45">
        <f>'[34]Template '!$C$56</f>
        <v>0.70238095238095244</v>
      </c>
      <c r="AF45">
        <f>'[34]Template '!$Z$30</f>
        <v>1</v>
      </c>
      <c r="AG45">
        <f>'[34]Template '!$AB$75</f>
        <v>0</v>
      </c>
      <c r="AH45">
        <f>'[34]Template '!$AD$75</f>
        <v>0</v>
      </c>
      <c r="AI45">
        <f>'[34]Template '!$AF$75</f>
        <v>0</v>
      </c>
      <c r="AJ45">
        <f>'[34]Template '!$AR$97</f>
        <v>0</v>
      </c>
      <c r="AK45">
        <f>'[34]Template '!$AS$97</f>
        <v>0</v>
      </c>
      <c r="AL45">
        <f>'[34]Template '!$AZ$97</f>
        <v>0</v>
      </c>
      <c r="AM45">
        <f>'[34]Template '!$BB$97</f>
        <v>1</v>
      </c>
      <c r="AN45">
        <f>'[34]Template '!$AU$53</f>
        <v>0</v>
      </c>
      <c r="AO45">
        <f>'[34]Template '!$AV$53</f>
        <v>0</v>
      </c>
      <c r="AP45">
        <f>'[34]Template '!$AY$53</f>
        <v>0</v>
      </c>
      <c r="AQ45">
        <f>'[34]Template '!$AX$53</f>
        <v>0</v>
      </c>
      <c r="AR45">
        <f>'[34]Template '!$AZ$53</f>
        <v>1</v>
      </c>
      <c r="AS45">
        <f>'[34]Template '!$BF$53</f>
        <v>0</v>
      </c>
    </row>
    <row r="46" spans="2:45" x14ac:dyDescent="0.2">
      <c r="B46" t="s">
        <v>143</v>
      </c>
      <c r="D46" t="str">
        <f t="shared" si="0"/>
        <v>M_098.xlsx</v>
      </c>
      <c r="F46" t="str">
        <f>'[35]Template '!$C$2</f>
        <v>D+M</v>
      </c>
      <c r="H46">
        <f>'[35]Template '!$C$29</f>
        <v>0.44444444444444448</v>
      </c>
      <c r="I46" t="str">
        <f>'[35]Template '!$C$30</f>
        <v>n/a</v>
      </c>
      <c r="J46">
        <f>'[35]Template '!$C$31</f>
        <v>0.33333333333333331</v>
      </c>
      <c r="K46">
        <f>'[35]Template '!$C$32</f>
        <v>0.72794117647058831</v>
      </c>
      <c r="L46">
        <f>'[35]Template '!$C$33</f>
        <v>0.78174603174603163</v>
      </c>
      <c r="N46">
        <f>'[35]Template '!$C$74</f>
        <v>0.60909090909090913</v>
      </c>
      <c r="O46" t="str">
        <f>'[35]Template '!$C$75</f>
        <v>n/a</v>
      </c>
      <c r="P46">
        <f>'[35]Template '!$C$76</f>
        <v>0.21428571428571427</v>
      </c>
      <c r="Q46">
        <f>'[35]Template '!$C$77</f>
        <v>0.52380952380952372</v>
      </c>
      <c r="R46">
        <f>'[35]Template '!$C$78</f>
        <v>0.87301587301587291</v>
      </c>
      <c r="T46">
        <f>'[35]Template '!$C$96</f>
        <v>0.8</v>
      </c>
      <c r="U46">
        <f>'[35]Template '!$C$97</f>
        <v>0.37777777777777777</v>
      </c>
      <c r="V46">
        <f>'[35]Template '!$C$98</f>
        <v>0.5</v>
      </c>
      <c r="W46">
        <f>'[35]Template '!$C$99</f>
        <v>0.76767676767676762</v>
      </c>
      <c r="X46">
        <f>'[35]Template '!$C$100</f>
        <v>0.97619047619047616</v>
      </c>
      <c r="Z46">
        <f>'[35]Template '!$C$52</f>
        <v>0.75</v>
      </c>
      <c r="AA46">
        <f>'[35]Template '!$C$53</f>
        <v>0.37777777777777777</v>
      </c>
      <c r="AB46">
        <f>'[35]Template '!$C$54</f>
        <v>0.5</v>
      </c>
      <c r="AC46">
        <f>'[35]Template '!$C$55</f>
        <v>0.35416666666666669</v>
      </c>
      <c r="AD46">
        <f>'[35]Template '!$C$56</f>
        <v>0.92857142857142849</v>
      </c>
      <c r="AF46">
        <f>'[35]Template '!$Z$30</f>
        <v>0</v>
      </c>
      <c r="AG46">
        <f>'[35]Template '!$AB$75</f>
        <v>0</v>
      </c>
      <c r="AH46">
        <f>'[35]Template '!$AD$75</f>
        <v>0</v>
      </c>
      <c r="AI46">
        <f>'[35]Template '!$AF$75</f>
        <v>0</v>
      </c>
      <c r="AJ46">
        <f>'[35]Template '!$AR$97</f>
        <v>1</v>
      </c>
      <c r="AK46">
        <f>'[35]Template '!$AS$97</f>
        <v>1</v>
      </c>
      <c r="AL46">
        <f>'[35]Template '!$AZ$97</f>
        <v>1</v>
      </c>
      <c r="AM46">
        <f>'[35]Template '!$BB$97</f>
        <v>0</v>
      </c>
      <c r="AN46">
        <f>'[35]Template '!$AU$53</f>
        <v>1</v>
      </c>
      <c r="AO46">
        <f>'[35]Template '!$AV$53</f>
        <v>0</v>
      </c>
      <c r="AP46">
        <f>'[35]Template '!$AY$53</f>
        <v>0</v>
      </c>
      <c r="AQ46">
        <f>'[35]Template '!$AX$53</f>
        <v>0</v>
      </c>
      <c r="AR46">
        <f>'[35]Template '!$AZ$53</f>
        <v>0</v>
      </c>
      <c r="AS46">
        <f>'[35]Template '!$BF$53</f>
        <v>0</v>
      </c>
    </row>
    <row r="47" spans="2:45" x14ac:dyDescent="0.2">
      <c r="B47" t="s">
        <v>144</v>
      </c>
      <c r="D47" t="str">
        <f t="shared" si="0"/>
        <v>M_099.xlsx</v>
      </c>
      <c r="F47" t="str">
        <f>'[36]Template '!$C$2</f>
        <v>D only</v>
      </c>
      <c r="H47">
        <f>'[36]Template '!$C$29</f>
        <v>0</v>
      </c>
      <c r="I47" t="str">
        <f>'[36]Template '!$C$30</f>
        <v>n/a</v>
      </c>
      <c r="J47">
        <f>'[36]Template '!$C$31</f>
        <v>0.33333333333333331</v>
      </c>
      <c r="K47">
        <f>'[36]Template '!$C$32</f>
        <v>0.2720588235294118</v>
      </c>
      <c r="L47">
        <f>'[36]Template '!$C$33</f>
        <v>6.7460317460317457E-2</v>
      </c>
      <c r="N47">
        <f>'[36]Template '!$C$74</f>
        <v>0.2</v>
      </c>
      <c r="O47" t="str">
        <f>'[36]Template '!$C$75</f>
        <v>n/a</v>
      </c>
      <c r="P47">
        <f>'[36]Template '!$C$76</f>
        <v>7.1428571428571425E-2</v>
      </c>
      <c r="Q47">
        <f>'[36]Template '!$C$77</f>
        <v>0.45238095238095233</v>
      </c>
      <c r="R47">
        <f>'[36]Template '!$C$78</f>
        <v>1.1904761904761904E-2</v>
      </c>
      <c r="T47">
        <f>'[36]Template '!$C$96</f>
        <v>0</v>
      </c>
      <c r="U47">
        <f>'[36]Template '!$C$97</f>
        <v>0.3481481481481481</v>
      </c>
      <c r="V47">
        <f>'[36]Template '!$C$98</f>
        <v>0</v>
      </c>
      <c r="W47">
        <f>'[36]Template '!$C$99</f>
        <v>0</v>
      </c>
      <c r="X47">
        <f>'[36]Template '!$C$100</f>
        <v>3.5714285714285712E-2</v>
      </c>
      <c r="Z47">
        <f>'[36]Template '!$C$52</f>
        <v>2.7777777777777776E-2</v>
      </c>
      <c r="AA47">
        <f>'[36]Template '!$C$53</f>
        <v>0.3481481481481481</v>
      </c>
      <c r="AB47">
        <f>'[36]Template '!$C$54</f>
        <v>0</v>
      </c>
      <c r="AC47">
        <f>'[36]Template '!$C$55</f>
        <v>8.3333333333333329E-2</v>
      </c>
      <c r="AD47">
        <f>'[36]Template '!$C$56</f>
        <v>0</v>
      </c>
      <c r="AF47">
        <f>'[36]Template '!$Z$30</f>
        <v>0</v>
      </c>
      <c r="AG47">
        <f>'[36]Template '!$AB$75</f>
        <v>0</v>
      </c>
      <c r="AH47">
        <f>'[36]Template '!$AD$75</f>
        <v>0</v>
      </c>
      <c r="AI47">
        <f>'[36]Template '!$AF$75</f>
        <v>0</v>
      </c>
      <c r="AJ47">
        <f>'[36]Template '!$AR$97</f>
        <v>0</v>
      </c>
      <c r="AK47">
        <f>'[36]Template '!$AS$97</f>
        <v>0</v>
      </c>
      <c r="AL47">
        <f>'[36]Template '!$AZ$97</f>
        <v>0</v>
      </c>
      <c r="AM47">
        <f>'[36]Template '!$BB$97</f>
        <v>0</v>
      </c>
      <c r="AN47">
        <f>'[36]Template '!$AU$53</f>
        <v>0</v>
      </c>
      <c r="AO47">
        <f>'[36]Template '!$AV$53</f>
        <v>0</v>
      </c>
      <c r="AP47">
        <f>'[36]Template '!$AY$53</f>
        <v>0</v>
      </c>
      <c r="AQ47">
        <f>'[36]Template '!$AX$53</f>
        <v>0</v>
      </c>
      <c r="AR47">
        <f>'[36]Template '!$AZ$53</f>
        <v>0</v>
      </c>
      <c r="AS47">
        <f>'[36]Template '!$BF$53</f>
        <v>0</v>
      </c>
    </row>
    <row r="65" spans="83:125" x14ac:dyDescent="0.2">
      <c r="CE65" s="6"/>
      <c r="DP65" s="6"/>
      <c r="DR65" s="6"/>
      <c r="DU65" s="6"/>
    </row>
    <row r="66" spans="83:125" x14ac:dyDescent="0.2">
      <c r="CE66" s="6"/>
      <c r="DP66" s="6"/>
      <c r="DR66" s="6"/>
      <c r="DU66" s="6"/>
    </row>
    <row r="67" spans="83:125" x14ac:dyDescent="0.2">
      <c r="CE67" s="6"/>
      <c r="DP67" s="6"/>
      <c r="DR67" s="6"/>
      <c r="DU67" s="6"/>
    </row>
    <row r="68" spans="83:125" x14ac:dyDescent="0.2">
      <c r="CE68" s="7"/>
      <c r="DP68" s="7"/>
      <c r="DR68" s="7"/>
      <c r="DU68" s="7"/>
    </row>
    <row r="69" spans="83:125" x14ac:dyDescent="0.2">
      <c r="CE69" s="7"/>
      <c r="DP69" s="7"/>
      <c r="DR69" s="7"/>
      <c r="DU69" s="7"/>
    </row>
    <row r="70" spans="83:125" x14ac:dyDescent="0.2">
      <c r="CE70" s="7"/>
      <c r="DP70" s="7"/>
      <c r="DR70" s="7"/>
      <c r="DU7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E034-C804-4F17-9757-543D6AEDD0B7}">
  <dimension ref="A1:DO141"/>
  <sheetViews>
    <sheetView workbookViewId="0">
      <selection activeCell="H39" sqref="H39"/>
    </sheetView>
  </sheetViews>
  <sheetFormatPr baseColWidth="10" defaultColWidth="8.83203125" defaultRowHeight="15" x14ac:dyDescent="0.2"/>
  <cols>
    <col min="2" max="2" width="14" bestFit="1" customWidth="1"/>
    <col min="3" max="3" width="1.6640625" customWidth="1"/>
    <col min="4" max="4" width="14" customWidth="1"/>
    <col min="5" max="5" width="1.83203125" customWidth="1"/>
    <col min="6" max="6" width="9.1640625" customWidth="1"/>
    <col min="7" max="7" width="1.83203125" customWidth="1"/>
    <col min="8" max="8" width="10.33203125" customWidth="1"/>
    <col min="9" max="9" width="16.33203125" customWidth="1"/>
    <col min="10" max="10" width="13.33203125" customWidth="1"/>
    <col min="11" max="11" width="11.83203125" customWidth="1"/>
    <col min="12" max="12" width="10.1640625" customWidth="1"/>
    <col min="13" max="13" width="1.83203125" customWidth="1"/>
    <col min="14" max="14" width="8.6640625" customWidth="1"/>
    <col min="15" max="15" width="15.6640625" customWidth="1"/>
    <col min="16" max="16" width="12.33203125" customWidth="1"/>
    <col min="17" max="17" width="10.6640625" customWidth="1"/>
    <col min="18" max="18" width="10.1640625" customWidth="1"/>
    <col min="19" max="19" width="1.83203125" customWidth="1"/>
    <col min="20" max="20" width="8.6640625" customWidth="1"/>
    <col min="21" max="21" width="15.6640625" customWidth="1"/>
    <col min="22" max="22" width="12.33203125" customWidth="1"/>
    <col min="23" max="23" width="10.6640625" customWidth="1"/>
    <col min="24" max="24" width="10.1640625" customWidth="1"/>
    <col min="25" max="25" width="1.83203125" customWidth="1"/>
    <col min="26" max="26" width="8.6640625" customWidth="1"/>
    <col min="27" max="27" width="15.6640625" customWidth="1"/>
    <col min="28" max="28" width="12.33203125" customWidth="1"/>
    <col min="29" max="29" width="10.6640625" customWidth="1"/>
    <col min="30" max="30" width="10.1640625" customWidth="1"/>
    <col min="31" max="31" width="1.6640625" customWidth="1"/>
    <col min="46" max="46" width="9.83203125" bestFit="1" customWidth="1"/>
    <col min="47" max="47" width="9.33203125" bestFit="1" customWidth="1"/>
    <col min="48" max="48" width="17.33203125" bestFit="1" customWidth="1"/>
    <col min="50" max="50" width="24.1640625" customWidth="1"/>
    <col min="54" max="54" width="9.1640625" bestFit="1" customWidth="1"/>
    <col min="61" max="61" width="10.33203125" bestFit="1" customWidth="1"/>
    <col min="64" max="64" width="9.83203125" bestFit="1" customWidth="1"/>
    <col min="65" max="65" width="9.1640625" bestFit="1" customWidth="1"/>
    <col min="66" max="66" width="10.33203125" bestFit="1" customWidth="1"/>
    <col min="67" max="67" width="13.1640625" bestFit="1" customWidth="1"/>
    <col min="69" max="69" width="13.6640625" bestFit="1" customWidth="1"/>
    <col min="70" max="70" width="14" bestFit="1" customWidth="1"/>
    <col min="71" max="71" width="15.33203125" bestFit="1" customWidth="1"/>
    <col min="72" max="72" width="12.33203125" bestFit="1" customWidth="1"/>
    <col min="73" max="73" width="14" bestFit="1" customWidth="1"/>
    <col min="74" max="74" width="11.1640625" bestFit="1" customWidth="1"/>
    <col min="75" max="75" width="13.1640625" bestFit="1" customWidth="1"/>
    <col min="76" max="76" width="11.6640625" bestFit="1" customWidth="1"/>
    <col min="77" max="77" width="9.1640625" style="5" customWidth="1"/>
    <col min="78" max="78" width="14" bestFit="1" customWidth="1"/>
    <col min="79" max="79" width="16.1640625" bestFit="1" customWidth="1"/>
    <col min="80" max="80" width="3.1640625" customWidth="1"/>
    <col min="82" max="82" width="16" bestFit="1" customWidth="1"/>
    <col min="83" max="83" width="16.1640625" bestFit="1" customWidth="1"/>
    <col min="84" max="84" width="11.6640625" bestFit="1" customWidth="1"/>
    <col min="85" max="85" width="11.33203125" bestFit="1" customWidth="1"/>
    <col min="86" max="86" width="10.1640625" bestFit="1" customWidth="1"/>
    <col min="87" max="87" width="10.33203125" bestFit="1" customWidth="1"/>
    <col min="88" max="88" width="10.6640625" bestFit="1" customWidth="1"/>
    <col min="89" max="89" width="11.1640625" bestFit="1" customWidth="1"/>
    <col min="91" max="91" width="14.1640625" bestFit="1" customWidth="1"/>
    <col min="92" max="92" width="3.33203125" customWidth="1"/>
    <col min="93" max="93" width="15.1640625" bestFit="1" customWidth="1"/>
    <col min="95" max="95" width="16" bestFit="1" customWidth="1"/>
    <col min="96" max="96" width="16.1640625" bestFit="1" customWidth="1"/>
    <col min="97" max="97" width="11.6640625" bestFit="1" customWidth="1"/>
    <col min="98" max="98" width="11.33203125" bestFit="1" customWidth="1"/>
    <col min="99" max="99" width="10.1640625" bestFit="1" customWidth="1"/>
    <col min="100" max="100" width="10.33203125" bestFit="1" customWidth="1"/>
    <col min="101" max="101" width="10.6640625" bestFit="1" customWidth="1"/>
    <col min="103" max="103" width="20.33203125" bestFit="1" customWidth="1"/>
    <col min="110" max="110" width="10.33203125" bestFit="1" customWidth="1"/>
    <col min="114" max="114" width="2.33203125" style="5" customWidth="1"/>
    <col min="115" max="115" width="9.33203125" bestFit="1" customWidth="1"/>
    <col min="116" max="116" width="2.33203125" style="5" customWidth="1"/>
    <col min="119" max="119" width="2.33203125" style="5" customWidth="1"/>
    <col min="120" max="120" width="11.33203125" bestFit="1" customWidth="1"/>
    <col min="121" max="121" width="14" bestFit="1" customWidth="1"/>
    <col min="122" max="122" width="13.83203125" customWidth="1"/>
  </cols>
  <sheetData>
    <row r="1" spans="1:119" x14ac:dyDescent="0.2">
      <c r="A1" s="1" t="s">
        <v>0</v>
      </c>
      <c r="H1" s="1" t="s">
        <v>1</v>
      </c>
      <c r="AF1" s="1" t="s">
        <v>2</v>
      </c>
      <c r="BO1" s="4"/>
      <c r="BP1" s="16" t="s">
        <v>145</v>
      </c>
      <c r="BY1"/>
      <c r="CZ1" s="4"/>
      <c r="DB1" s="4"/>
      <c r="DC1" s="8"/>
      <c r="DD1" s="8"/>
      <c r="DE1" s="4"/>
      <c r="DJ1"/>
      <c r="DL1"/>
      <c r="DO1"/>
    </row>
    <row r="2" spans="1:119" x14ac:dyDescent="0.2">
      <c r="B2" s="1"/>
      <c r="C2" s="1"/>
      <c r="D2" s="1"/>
      <c r="E2" s="1"/>
      <c r="G2" s="1"/>
      <c r="M2" s="1"/>
      <c r="S2" s="1"/>
      <c r="Y2" s="1"/>
      <c r="BF2" s="2"/>
      <c r="BG2" s="2"/>
      <c r="BI2" s="2"/>
      <c r="BM2" s="2"/>
      <c r="BO2" s="4"/>
      <c r="BP2" s="17"/>
      <c r="BY2"/>
      <c r="CC2" s="3"/>
      <c r="CO2" s="2"/>
      <c r="CZ2" s="4"/>
      <c r="DB2" s="4"/>
      <c r="DC2" s="2"/>
      <c r="DD2" s="2"/>
      <c r="DE2" s="4"/>
      <c r="DF2" s="2"/>
      <c r="DG2" s="2"/>
      <c r="DH2" s="2"/>
      <c r="DJ2"/>
      <c r="DL2"/>
      <c r="DO2"/>
    </row>
    <row r="3" spans="1:119" x14ac:dyDescent="0.2">
      <c r="F3" s="2" t="s">
        <v>15</v>
      </c>
      <c r="H3" s="9" t="s">
        <v>16</v>
      </c>
      <c r="I3" s="2"/>
      <c r="J3" s="2"/>
      <c r="K3" s="2"/>
      <c r="L3" s="2"/>
      <c r="N3" s="9" t="s">
        <v>17</v>
      </c>
      <c r="O3" s="2"/>
      <c r="P3" s="2"/>
      <c r="Q3" s="2"/>
      <c r="R3" s="2"/>
      <c r="T3" s="9" t="s">
        <v>18</v>
      </c>
      <c r="U3" s="2"/>
      <c r="V3" s="2"/>
      <c r="W3" s="2"/>
      <c r="X3" s="2"/>
      <c r="Z3" s="9" t="s">
        <v>19</v>
      </c>
      <c r="AA3" s="2"/>
      <c r="AB3" s="2"/>
      <c r="AC3" s="2"/>
      <c r="AD3" s="2"/>
      <c r="AE3" s="2"/>
      <c r="AF3" s="9" t="s">
        <v>16</v>
      </c>
      <c r="AG3" s="9" t="s">
        <v>17</v>
      </c>
      <c r="AH3" s="2"/>
      <c r="AI3" s="2"/>
      <c r="AJ3" s="9" t="s">
        <v>18</v>
      </c>
      <c r="AK3" s="2"/>
      <c r="AL3" s="2"/>
      <c r="AM3" s="2"/>
      <c r="AN3" s="9" t="s">
        <v>19</v>
      </c>
      <c r="AO3" s="2"/>
      <c r="AP3" s="2"/>
      <c r="AQ3" s="2"/>
      <c r="AR3" s="2"/>
      <c r="AS3" s="2"/>
      <c r="AT3" s="9" t="s">
        <v>146</v>
      </c>
      <c r="AU3" s="9" t="s">
        <v>147</v>
      </c>
      <c r="AV3" s="9" t="s">
        <v>148</v>
      </c>
      <c r="AW3" s="2"/>
      <c r="AX3" s="2"/>
      <c r="BA3" s="2"/>
      <c r="BB3" s="2"/>
      <c r="BC3" s="2"/>
      <c r="BD3" s="2" t="s">
        <v>5</v>
      </c>
      <c r="BF3" s="2" t="s">
        <v>6</v>
      </c>
      <c r="BG3" s="2" t="s">
        <v>149</v>
      </c>
      <c r="BI3" s="2" t="s">
        <v>7</v>
      </c>
      <c r="BJ3" s="2"/>
      <c r="BK3" s="2"/>
      <c r="BL3" s="2"/>
      <c r="BM3" s="2" t="s">
        <v>8</v>
      </c>
      <c r="BN3" s="2"/>
      <c r="BO3" s="5"/>
      <c r="BP3" s="9" t="s">
        <v>9</v>
      </c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C3" s="9" t="s">
        <v>10</v>
      </c>
      <c r="CD3" s="2"/>
      <c r="CE3" s="2"/>
      <c r="CF3" s="2"/>
      <c r="CG3" s="2"/>
      <c r="CH3" s="2"/>
      <c r="CI3" s="2"/>
      <c r="CJ3" s="2"/>
      <c r="CK3" s="2"/>
      <c r="CL3" s="2"/>
      <c r="CM3" s="2"/>
      <c r="CO3" t="s">
        <v>11</v>
      </c>
      <c r="CZ3" s="5"/>
      <c r="DB3" s="5"/>
      <c r="DC3" s="2" t="s">
        <v>4</v>
      </c>
      <c r="DD3" s="2" t="s">
        <v>4</v>
      </c>
      <c r="DE3" s="5"/>
      <c r="DF3" s="2"/>
      <c r="DG3" s="2"/>
      <c r="DJ3"/>
      <c r="DL3"/>
      <c r="DO3"/>
    </row>
    <row r="4" spans="1:119" x14ac:dyDescent="0.2">
      <c r="A4" s="2" t="s">
        <v>44</v>
      </c>
      <c r="B4" s="2" t="s">
        <v>45</v>
      </c>
      <c r="C4" s="2"/>
      <c r="D4" s="2" t="s">
        <v>46</v>
      </c>
      <c r="E4" s="2"/>
      <c r="F4" s="2" t="s">
        <v>47</v>
      </c>
      <c r="G4" s="2"/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/>
      <c r="N4" s="2" t="s">
        <v>48</v>
      </c>
      <c r="O4" s="2" t="s">
        <v>49</v>
      </c>
      <c r="P4" s="2" t="s">
        <v>50</v>
      </c>
      <c r="Q4" s="2" t="s">
        <v>51</v>
      </c>
      <c r="R4" s="2" t="s">
        <v>52</v>
      </c>
      <c r="S4" s="2"/>
      <c r="T4" s="2" t="s">
        <v>48</v>
      </c>
      <c r="U4" s="2" t="s">
        <v>49</v>
      </c>
      <c r="V4" s="2" t="s">
        <v>50</v>
      </c>
      <c r="W4" s="2" t="s">
        <v>51</v>
      </c>
      <c r="X4" s="2" t="s">
        <v>52</v>
      </c>
      <c r="Y4" s="2"/>
      <c r="Z4" s="2" t="s">
        <v>48</v>
      </c>
      <c r="AA4" s="2" t="s">
        <v>49</v>
      </c>
      <c r="AB4" s="2" t="s">
        <v>50</v>
      </c>
      <c r="AC4" s="2" t="s">
        <v>51</v>
      </c>
      <c r="AD4" s="2" t="s">
        <v>52</v>
      </c>
      <c r="AE4" s="2"/>
      <c r="AF4" s="2" t="s">
        <v>53</v>
      </c>
      <c r="AG4" s="2" t="s">
        <v>54</v>
      </c>
      <c r="AH4" s="2" t="s">
        <v>55</v>
      </c>
      <c r="AI4" s="2" t="s">
        <v>56</v>
      </c>
      <c r="AJ4" s="2" t="s">
        <v>57</v>
      </c>
      <c r="AK4" s="2" t="s">
        <v>58</v>
      </c>
      <c r="AL4" s="2" t="s">
        <v>59</v>
      </c>
      <c r="AM4" s="2" t="s">
        <v>60</v>
      </c>
      <c r="AN4" s="2" t="s">
        <v>61</v>
      </c>
      <c r="AO4" s="2" t="s">
        <v>62</v>
      </c>
      <c r="AP4" s="2" t="s">
        <v>63</v>
      </c>
      <c r="AQ4" s="2" t="s">
        <v>64</v>
      </c>
      <c r="AR4" s="2" t="s">
        <v>65</v>
      </c>
      <c r="AS4" s="2" t="s">
        <v>66</v>
      </c>
      <c r="AT4" s="2"/>
      <c r="AU4" s="2"/>
      <c r="AV4" s="2"/>
      <c r="AW4" s="2"/>
      <c r="AX4" s="2" t="s">
        <v>20</v>
      </c>
      <c r="AZ4" s="2"/>
      <c r="BA4" s="2" t="s">
        <v>21</v>
      </c>
      <c r="BB4" s="2" t="s">
        <v>21</v>
      </c>
      <c r="BC4" s="2" t="s">
        <v>22</v>
      </c>
      <c r="BD4" s="2" t="s">
        <v>23</v>
      </c>
      <c r="BE4" s="2"/>
      <c r="BF4" s="2" t="s">
        <v>24</v>
      </c>
      <c r="BG4" s="2" t="s">
        <v>150</v>
      </c>
      <c r="BH4" s="2" t="s">
        <v>25</v>
      </c>
      <c r="BI4" s="2" t="s">
        <v>26</v>
      </c>
      <c r="BJ4" s="2" t="s">
        <v>8</v>
      </c>
      <c r="BK4" s="2" t="s">
        <v>27</v>
      </c>
      <c r="BL4" s="2" t="s">
        <v>8</v>
      </c>
      <c r="BM4" s="2" t="s">
        <v>28</v>
      </c>
      <c r="BN4" s="2" t="s">
        <v>29</v>
      </c>
      <c r="BO4" s="5"/>
      <c r="BP4" s="2" t="s">
        <v>30</v>
      </c>
      <c r="BQ4" s="2" t="s">
        <v>31</v>
      </c>
      <c r="BR4" s="2" t="s">
        <v>32</v>
      </c>
      <c r="BS4" s="2" t="s">
        <v>33</v>
      </c>
      <c r="BT4" s="2" t="s">
        <v>34</v>
      </c>
      <c r="BU4" s="2" t="s">
        <v>35</v>
      </c>
      <c r="BV4" s="2" t="s">
        <v>36</v>
      </c>
      <c r="BW4" s="2" t="s">
        <v>37</v>
      </c>
      <c r="BX4" s="2" t="s">
        <v>38</v>
      </c>
      <c r="BY4" s="2" t="s">
        <v>39</v>
      </c>
      <c r="BZ4" s="2" t="s">
        <v>40</v>
      </c>
      <c r="CA4" s="2" t="s">
        <v>41</v>
      </c>
      <c r="CC4" s="18"/>
      <c r="CD4" s="2" t="s">
        <v>31</v>
      </c>
      <c r="CE4" s="2" t="s">
        <v>32</v>
      </c>
      <c r="CF4" s="2" t="s">
        <v>33</v>
      </c>
      <c r="CG4" s="2" t="s">
        <v>34</v>
      </c>
      <c r="CH4" s="2" t="s">
        <v>35</v>
      </c>
      <c r="CI4" s="2" t="s">
        <v>36</v>
      </c>
      <c r="CJ4" s="2" t="s">
        <v>37</v>
      </c>
      <c r="CK4" s="2" t="s">
        <v>38</v>
      </c>
      <c r="CL4" s="2" t="s">
        <v>39</v>
      </c>
      <c r="CM4" s="2" t="s">
        <v>40</v>
      </c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5"/>
      <c r="DA4" t="s">
        <v>12</v>
      </c>
      <c r="DB4" s="5"/>
      <c r="DC4" s="8"/>
      <c r="DD4" s="8"/>
      <c r="DE4" s="5"/>
      <c r="DF4" t="s">
        <v>151</v>
      </c>
      <c r="DG4" t="s">
        <v>152</v>
      </c>
      <c r="DH4" t="s">
        <v>14</v>
      </c>
      <c r="DJ4"/>
      <c r="DL4"/>
      <c r="DO4"/>
    </row>
    <row r="5" spans="1:119" ht="48" x14ac:dyDescent="0.2">
      <c r="AX5" s="19" t="s">
        <v>153</v>
      </c>
      <c r="AY5" t="s">
        <v>68</v>
      </c>
      <c r="AZ5" t="s">
        <v>69</v>
      </c>
      <c r="BA5" t="s">
        <v>70</v>
      </c>
      <c r="BB5" s="14" t="s">
        <v>71</v>
      </c>
      <c r="BC5" s="14" t="s">
        <v>71</v>
      </c>
      <c r="BD5" t="s">
        <v>72</v>
      </c>
      <c r="BE5" t="s">
        <v>73</v>
      </c>
      <c r="BF5" s="15" t="s">
        <v>74</v>
      </c>
      <c r="BG5" s="15" t="s">
        <v>154</v>
      </c>
      <c r="BH5" t="s">
        <v>75</v>
      </c>
      <c r="BI5" t="s">
        <v>76</v>
      </c>
      <c r="BJ5" t="s">
        <v>77</v>
      </c>
      <c r="BK5" t="s">
        <v>78</v>
      </c>
      <c r="BL5" t="s">
        <v>79</v>
      </c>
      <c r="BM5" t="s">
        <v>80</v>
      </c>
      <c r="BN5" t="s">
        <v>81</v>
      </c>
      <c r="BO5" s="5"/>
      <c r="BP5" t="s">
        <v>82</v>
      </c>
      <c r="BQ5" t="s">
        <v>83</v>
      </c>
      <c r="BR5" t="s">
        <v>84</v>
      </c>
      <c r="BS5" t="s">
        <v>85</v>
      </c>
      <c r="BT5" t="s">
        <v>86</v>
      </c>
      <c r="BU5" t="s">
        <v>87</v>
      </c>
      <c r="BV5" t="s">
        <v>88</v>
      </c>
      <c r="BW5" t="s">
        <v>89</v>
      </c>
      <c r="BX5" t="s">
        <v>90</v>
      </c>
      <c r="BY5" t="s">
        <v>91</v>
      </c>
      <c r="BZ5" t="s">
        <v>92</v>
      </c>
      <c r="CA5" t="s">
        <v>93</v>
      </c>
      <c r="CC5" s="19" t="s">
        <v>155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O5" t="s">
        <v>94</v>
      </c>
      <c r="CP5" t="s">
        <v>16</v>
      </c>
      <c r="CQ5" t="s">
        <v>95</v>
      </c>
      <c r="CR5" t="s">
        <v>18</v>
      </c>
      <c r="CS5" t="s">
        <v>96</v>
      </c>
      <c r="CT5" t="s">
        <v>19</v>
      </c>
      <c r="CU5" t="s">
        <v>97</v>
      </c>
      <c r="CV5" t="s">
        <v>98</v>
      </c>
      <c r="CW5" t="s">
        <v>99</v>
      </c>
      <c r="CX5" t="s">
        <v>100</v>
      </c>
      <c r="CY5" t="s">
        <v>17</v>
      </c>
      <c r="CZ5" s="5"/>
      <c r="DB5" s="5"/>
      <c r="DC5" s="2" t="s">
        <v>13</v>
      </c>
      <c r="DD5" s="2" t="s">
        <v>1</v>
      </c>
      <c r="DE5" s="5"/>
      <c r="DF5" s="18"/>
      <c r="DG5" s="18"/>
      <c r="DJ5"/>
      <c r="DL5"/>
      <c r="DO5"/>
    </row>
    <row r="6" spans="1:119" x14ac:dyDescent="0.2">
      <c r="B6" t="s">
        <v>103</v>
      </c>
      <c r="D6" t="str">
        <f t="shared" ref="D6:D27" si="0">CONCATENATE(B6,".xlsx")</f>
        <v>M_012.xlsx</v>
      </c>
      <c r="F6" t="str">
        <f>'[37]Template '!$C$2</f>
        <v>D+M</v>
      </c>
      <c r="H6">
        <f>'[37]Template '!$C$29</f>
        <v>0.3888888888888889</v>
      </c>
      <c r="I6" t="str">
        <f>'[37]Template '!$C$30</f>
        <v>n/a</v>
      </c>
      <c r="J6">
        <f>'[37]Template '!$C$31</f>
        <v>0.83333333333333326</v>
      </c>
      <c r="K6">
        <f>'[37]Template '!$C$32</f>
        <v>0.60294117647058831</v>
      </c>
      <c r="L6">
        <f>'[37]Template '!$C$33</f>
        <v>0.95238095238095222</v>
      </c>
      <c r="N6">
        <f>'[37]Template '!$C$74</f>
        <v>0.7</v>
      </c>
      <c r="O6" t="str">
        <f>'[37]Template '!$C$75</f>
        <v>n/a</v>
      </c>
      <c r="P6">
        <f>'[37]Template '!$C$76</f>
        <v>0.75</v>
      </c>
      <c r="Q6">
        <f>'[37]Template '!$C$77</f>
        <v>0.52380952380952372</v>
      </c>
      <c r="R6">
        <f>'[37]Template '!$C$78</f>
        <v>0.77777777777777779</v>
      </c>
      <c r="T6">
        <f>'[37]Template '!$C$96</f>
        <v>0.8</v>
      </c>
      <c r="U6">
        <f>'[37]Template '!$C$97</f>
        <v>0.44444444444444448</v>
      </c>
      <c r="V6">
        <f>'[37]Template '!$C$98</f>
        <v>1</v>
      </c>
      <c r="W6">
        <f>'[37]Template '!$C$99</f>
        <v>0.43217893217893216</v>
      </c>
      <c r="X6">
        <f>'[37]Template '!$C$100</f>
        <v>0.794047619047619</v>
      </c>
      <c r="Z6">
        <f>'[37]Template '!$C$52</f>
        <v>0.66944444444444451</v>
      </c>
      <c r="AA6">
        <f>'[37]Template '!$C$53</f>
        <v>0.44444444444444448</v>
      </c>
      <c r="AB6">
        <f>'[37]Template '!$C$54</f>
        <v>1</v>
      </c>
      <c r="AC6">
        <f>'[37]Template '!$C$55</f>
        <v>0.32291666666666669</v>
      </c>
      <c r="AD6">
        <f>'[37]Template '!$C$56</f>
        <v>0.87341269841269842</v>
      </c>
      <c r="AF6">
        <f>'[37]Template '!$Z$30</f>
        <v>0</v>
      </c>
      <c r="AG6">
        <f>'[37]Template '!$AB$75</f>
        <v>0</v>
      </c>
      <c r="AH6">
        <f>'[37]Template '!$AD$75</f>
        <v>0</v>
      </c>
      <c r="AI6">
        <f>'[37]Template '!$AF$75</f>
        <v>0</v>
      </c>
      <c r="AJ6">
        <f>'[37]Template '!$AR$97</f>
        <v>0</v>
      </c>
      <c r="AK6">
        <f>'[37]Template '!$AS$97</f>
        <v>0.5</v>
      </c>
      <c r="AL6">
        <f>'[37]Template '!$AZ$97</f>
        <v>0</v>
      </c>
      <c r="AM6">
        <f>'[37]Template '!$BB$97</f>
        <v>0</v>
      </c>
      <c r="AN6">
        <f>'[37]Template '!$AU$53</f>
        <v>1</v>
      </c>
      <c r="AO6">
        <f>'[37]Template '!$AV$53</f>
        <v>0.5</v>
      </c>
      <c r="AP6">
        <f>'[37]Template '!$AY$53</f>
        <v>0.5</v>
      </c>
      <c r="AQ6">
        <f>'[37]Template '!$AX$53</f>
        <v>1</v>
      </c>
      <c r="AR6">
        <f>'[37]Template '!$AZ$53</f>
        <v>0</v>
      </c>
      <c r="AS6">
        <f>'[37]Template '!$BF$53</f>
        <v>0</v>
      </c>
      <c r="AT6">
        <f>SUM(AF6,AG6,AH6,AI6)</f>
        <v>0</v>
      </c>
      <c r="AU6">
        <f>SUM(AJ6:AS6)</f>
        <v>3.5</v>
      </c>
      <c r="AV6">
        <f>AT6+AU6</f>
        <v>3.5</v>
      </c>
      <c r="AY6" t="str">
        <f>'[37]Template '!$E$2</f>
        <v>B</v>
      </c>
      <c r="AZ6">
        <f>'[37]Template '!$B$13</f>
        <v>2</v>
      </c>
      <c r="BA6">
        <f>'[37]Template '!$D$2</f>
        <v>1</v>
      </c>
      <c r="BB6" s="14">
        <v>44823</v>
      </c>
      <c r="BC6" s="14">
        <f>'[37]Template '!$F$2</f>
        <v>44988</v>
      </c>
      <c r="BD6" s="13">
        <f>DATEDIF(BB6,BC6,"d")</f>
        <v>165</v>
      </c>
      <c r="BE6">
        <f>'[37]Template '!$B$12</f>
        <v>20</v>
      </c>
      <c r="BF6" t="str">
        <f>'[37]Template '!$B$14</f>
        <v>12/21</v>
      </c>
      <c r="BH6">
        <f>'[37]Template '!$B$16</f>
        <v>4</v>
      </c>
      <c r="BI6">
        <f>'[37]Template '!$B$17</f>
        <v>0</v>
      </c>
      <c r="BJ6">
        <f>'[37]Template '!$B$18</f>
        <v>0</v>
      </c>
      <c r="BK6">
        <f>'[37]Template '!$B$19</f>
        <v>0</v>
      </c>
      <c r="BL6">
        <f>'[37]Template '!$B$20</f>
        <v>0</v>
      </c>
      <c r="BM6">
        <f>'[37]Template '!$B$21</f>
        <v>0</v>
      </c>
      <c r="BN6">
        <f>'[37]Template '!$B$22</f>
        <v>0</v>
      </c>
      <c r="BO6" s="5"/>
      <c r="BP6">
        <f>'[37]Template '!$I$13</f>
        <v>4</v>
      </c>
      <c r="BQ6">
        <f>'[37]Template '!$I$14</f>
        <v>4</v>
      </c>
      <c r="BR6">
        <f>'[37]Template '!$I$15</f>
        <v>4</v>
      </c>
      <c r="BS6">
        <f>'[37]Template '!$I$16</f>
        <v>4</v>
      </c>
      <c r="BT6">
        <f>'[37]Template '!$I$17</f>
        <v>4</v>
      </c>
      <c r="BU6">
        <f>'[37]Template '!$I$18</f>
        <v>4</v>
      </c>
      <c r="BV6">
        <f>'[37]Template '!$I$19</f>
        <v>4</v>
      </c>
      <c r="BW6">
        <f>'[37]Template '!$I$20</f>
        <v>4</v>
      </c>
      <c r="BX6">
        <f>'[37]Template '!$I$21</f>
        <v>3</v>
      </c>
      <c r="BY6">
        <f>'[37]Template '!$I$23</f>
        <v>4</v>
      </c>
      <c r="BZ6">
        <f>'[37]Template '!$I$23</f>
        <v>4</v>
      </c>
      <c r="CA6">
        <f>'[37]Template '!$I$24</f>
        <v>0</v>
      </c>
      <c r="CC6">
        <f>'[37]Template '!$L$13</f>
        <v>4</v>
      </c>
      <c r="CD6">
        <f>'[37]Template '!$L$14</f>
        <v>4</v>
      </c>
      <c r="CE6">
        <f>'[37]Template '!$L$15</f>
        <v>4</v>
      </c>
      <c r="CF6">
        <f>'[37]Template '!$L$16</f>
        <v>4</v>
      </c>
      <c r="CG6">
        <f>'[37]Template '!$L$17</f>
        <v>4</v>
      </c>
      <c r="CH6">
        <f>'[37]Template '!$L$18</f>
        <v>4</v>
      </c>
      <c r="CI6">
        <f>'[37]Template '!$L$19</f>
        <v>4</v>
      </c>
      <c r="CJ6">
        <f>'[37]Template '!$L$20</f>
        <v>4</v>
      </c>
      <c r="CK6">
        <f>'[37]Template '!$L$21</f>
        <v>4</v>
      </c>
      <c r="CL6">
        <f>'[37]Template '!$L$22</f>
        <v>4</v>
      </c>
      <c r="CM6">
        <f>'[37]Template '!$L$23</f>
        <v>4</v>
      </c>
      <c r="CO6">
        <f>'[37]Template '!$O$13</f>
        <v>4</v>
      </c>
      <c r="CP6">
        <f>'[37]Template '!$O$14</f>
        <v>3</v>
      </c>
      <c r="CQ6">
        <f>'[37]Template '!$O$15</f>
        <v>3</v>
      </c>
      <c r="CR6">
        <f>'[37]Template '!$O$16</f>
        <v>4</v>
      </c>
      <c r="CS6">
        <f>'[37]Template '!$O$17</f>
        <v>4</v>
      </c>
      <c r="CT6">
        <f>'[37]Template '!$O$18</f>
        <v>3</v>
      </c>
      <c r="CU6">
        <f>'[37]Template '!$O$19</f>
        <v>2</v>
      </c>
      <c r="CV6">
        <f>'[37]Template '!$O$20</f>
        <v>3</v>
      </c>
      <c r="CW6">
        <f>'[37]Template '!$O$21</f>
        <v>4</v>
      </c>
      <c r="CX6">
        <f>'[37]Template '!$O$22</f>
        <v>3</v>
      </c>
      <c r="CY6">
        <f>'[37]Template '!$O$23</f>
        <v>4</v>
      </c>
      <c r="CZ6" s="5"/>
      <c r="DB6" s="5"/>
      <c r="DC6" s="2"/>
      <c r="DD6" s="2"/>
      <c r="DE6" s="5"/>
      <c r="DJ6"/>
      <c r="DL6"/>
      <c r="DO6"/>
    </row>
    <row r="7" spans="1:119" x14ac:dyDescent="0.2">
      <c r="B7" t="s">
        <v>105</v>
      </c>
      <c r="D7" t="str">
        <f t="shared" ref="D7" si="1">CONCATENATE(B7,".xlsx")</f>
        <v>M_014.xlsx</v>
      </c>
      <c r="F7" t="str">
        <f>'[2]Template '!$C$2</f>
        <v>D+M</v>
      </c>
      <c r="H7">
        <f>'[2]Template '!$C$29</f>
        <v>0.3888888888888889</v>
      </c>
      <c r="I7" t="str">
        <f>'[2]Template '!$C$30</f>
        <v>n/a</v>
      </c>
      <c r="J7">
        <f>'[2]Template '!$C$31</f>
        <v>0.41666666666666663</v>
      </c>
      <c r="K7">
        <f>'[2]Template '!$C$32</f>
        <v>0.66911764705882359</v>
      </c>
      <c r="L7">
        <f>'[2]Template '!$C$33</f>
        <v>0.76984126984126977</v>
      </c>
      <c r="N7">
        <f>'[2]Template '!$C$74</f>
        <v>0.65454545454545454</v>
      </c>
      <c r="O7" t="str">
        <f>'[2]Template '!$C$75</f>
        <v>n/a</v>
      </c>
      <c r="P7">
        <f>'[2]Template '!$C$76</f>
        <v>0.39285714285714285</v>
      </c>
      <c r="Q7">
        <f>'[2]Template '!$C$77</f>
        <v>0.40476190476190477</v>
      </c>
      <c r="R7">
        <f>'[2]Template '!$C$78</f>
        <v>0.74603174603174605</v>
      </c>
      <c r="T7">
        <f>'[2]Template '!$C$96</f>
        <v>0.66666666666666663</v>
      </c>
      <c r="U7">
        <f>'[2]Template '!$C$97</f>
        <v>0.40740740740740738</v>
      </c>
      <c r="V7">
        <f>'[2]Template '!$C$98</f>
        <v>0.5</v>
      </c>
      <c r="W7">
        <f>'[2]Template '!$C$99</f>
        <v>0.46897546897546899</v>
      </c>
      <c r="X7">
        <f>'[2]Template '!$C$100</f>
        <v>0.68333333333333324</v>
      </c>
      <c r="Z7">
        <f>'[2]Template '!$C$52</f>
        <v>0.7857142857142857</v>
      </c>
      <c r="AA7">
        <f>'[2]Template '!$C$53</f>
        <v>0.40740740740740738</v>
      </c>
      <c r="AB7">
        <f>'[2]Template '!$C$54</f>
        <v>0.5</v>
      </c>
      <c r="AC7">
        <f>'[2]Template '!$C$55</f>
        <v>0.5</v>
      </c>
      <c r="AD7">
        <f>'[2]Template '!$C$56</f>
        <v>0.74682539682539684</v>
      </c>
      <c r="AF7">
        <f>'[2]Template '!$Z$30</f>
        <v>0</v>
      </c>
      <c r="AG7">
        <f>'[2]Template '!$AB$75</f>
        <v>0</v>
      </c>
      <c r="AH7">
        <f>'[2]Template '!$AD$75</f>
        <v>0</v>
      </c>
      <c r="AI7">
        <f>'[2]Template '!$AF$75</f>
        <v>0</v>
      </c>
      <c r="AJ7">
        <f>'[2]Template '!$AR$97</f>
        <v>0</v>
      </c>
      <c r="AK7">
        <f>'[2]Template '!$AS$97</f>
        <v>0</v>
      </c>
      <c r="AL7">
        <f>'[2]Template '!$AZ$97</f>
        <v>0</v>
      </c>
      <c r="AM7">
        <f>'[2]Template '!$BB$97</f>
        <v>1</v>
      </c>
      <c r="AN7">
        <f>'[2]Template '!$AU$53</f>
        <v>1</v>
      </c>
      <c r="AO7">
        <f>'[2]Template '!$AV$53</f>
        <v>1</v>
      </c>
      <c r="AP7">
        <f>'[2]Template '!$AY$53</f>
        <v>1</v>
      </c>
      <c r="AQ7">
        <f>'[2]Template '!$AX$53</f>
        <v>1</v>
      </c>
      <c r="AR7">
        <f>'[2]Template '!$AZ$53</f>
        <v>0</v>
      </c>
      <c r="AS7">
        <f>'[2]Template '!$BF$53</f>
        <v>0</v>
      </c>
      <c r="AT7">
        <f>SUM(AF7,AG7,AH7,AI7)</f>
        <v>0</v>
      </c>
      <c r="AU7">
        <f>SUM(AJ7:AS7)</f>
        <v>5</v>
      </c>
      <c r="AV7">
        <f>AT7+AU7</f>
        <v>5</v>
      </c>
      <c r="AY7" t="str">
        <f>'[2]Template '!$E$2</f>
        <v>B</v>
      </c>
      <c r="AZ7">
        <f>'[2]Template '!$B$13</f>
        <v>1</v>
      </c>
      <c r="BA7">
        <f>'[2]Template '!$D$2</f>
        <v>1</v>
      </c>
      <c r="BB7" s="14">
        <v>44823</v>
      </c>
      <c r="BC7" s="14">
        <f>'[2]Template '!$F$2</f>
        <v>44992</v>
      </c>
      <c r="BD7" s="13">
        <f>DATEDIF(BB7,BC7,"d")</f>
        <v>169</v>
      </c>
      <c r="BE7">
        <f>'[2]Template '!$B$12</f>
        <v>23</v>
      </c>
      <c r="BF7" t="str">
        <f>'[2]Template '!$B$14</f>
        <v>11/20</v>
      </c>
      <c r="BH7">
        <f>'[2]Template '!$B$16</f>
        <v>18</v>
      </c>
      <c r="BI7">
        <f>'[2]Template '!$B$17</f>
        <v>0</v>
      </c>
      <c r="BJ7">
        <f>'[2]Template '!$B$18</f>
        <v>0</v>
      </c>
      <c r="BK7">
        <f>'[2]Template '!$B$19</f>
        <v>1</v>
      </c>
      <c r="BL7">
        <f>'[2]Template '!$B$20</f>
        <v>1</v>
      </c>
      <c r="BM7">
        <f>'[2]Template '!$B$21</f>
        <v>1</v>
      </c>
      <c r="BN7">
        <f>'[2]Template '!$B$22</f>
        <v>0</v>
      </c>
      <c r="BO7" s="5"/>
      <c r="BP7">
        <f>'[2]Template '!$I$13</f>
        <v>4</v>
      </c>
      <c r="BQ7">
        <f>'[2]Template '!$I$14</f>
        <v>4</v>
      </c>
      <c r="BR7">
        <f>'[2]Template '!$I$15</f>
        <v>4</v>
      </c>
      <c r="BS7">
        <f>'[2]Template '!$I$16</f>
        <v>4</v>
      </c>
      <c r="BT7">
        <f>'[2]Template '!$I$17</f>
        <v>4</v>
      </c>
      <c r="BU7">
        <f>'[2]Template '!$I$18</f>
        <v>3</v>
      </c>
      <c r="BV7">
        <f>'[2]Template '!$I$19</f>
        <v>5</v>
      </c>
      <c r="BW7">
        <f>'[2]Template '!$I$20</f>
        <v>3</v>
      </c>
      <c r="BX7">
        <f>'[2]Template '!$I$21</f>
        <v>3</v>
      </c>
      <c r="BY7">
        <f>'[2]Template '!$I$23</f>
        <v>4</v>
      </c>
      <c r="BZ7">
        <f>'[2]Template '!$I$23</f>
        <v>4</v>
      </c>
      <c r="CA7">
        <f>'[2]Template '!$I$24</f>
        <v>2</v>
      </c>
      <c r="CC7">
        <f>'[2]Template '!$L$13</f>
        <v>4</v>
      </c>
      <c r="CD7">
        <f>'[2]Template '!$L$14</f>
        <v>4</v>
      </c>
      <c r="CE7">
        <f>'[2]Template '!$L$15</f>
        <v>4</v>
      </c>
      <c r="CF7">
        <f>'[2]Template '!$L$16</f>
        <v>4</v>
      </c>
      <c r="CG7">
        <f>'[2]Template '!$L$17</f>
        <v>4</v>
      </c>
      <c r="CH7">
        <f>'[2]Template '!$L$18</f>
        <v>3</v>
      </c>
      <c r="CI7">
        <f>'[2]Template '!$L$19</f>
        <v>5</v>
      </c>
      <c r="CJ7">
        <f>'[2]Template '!$L$20</f>
        <v>4</v>
      </c>
      <c r="CK7">
        <f>'[2]Template '!$L$21</f>
        <v>3</v>
      </c>
      <c r="CL7">
        <f>'[2]Template '!$L$22</f>
        <v>4</v>
      </c>
      <c r="CM7">
        <f>'[2]Template '!$L$23</f>
        <v>4</v>
      </c>
      <c r="CO7">
        <f>'[2]Template '!$O$13</f>
        <v>3</v>
      </c>
      <c r="CP7">
        <f>'[2]Template '!$O$14</f>
        <v>3</v>
      </c>
      <c r="CQ7">
        <f>'[2]Template '!$O$15</f>
        <v>2</v>
      </c>
      <c r="CR7">
        <f>'[2]Template '!$O$16</f>
        <v>4</v>
      </c>
      <c r="CS7">
        <f>'[2]Template '!$O$17</f>
        <v>5</v>
      </c>
      <c r="CT7">
        <f>'[2]Template '!$O$18</f>
        <v>3</v>
      </c>
      <c r="CU7">
        <f>'[2]Template '!$O$19</f>
        <v>1</v>
      </c>
      <c r="CV7">
        <f>'[2]Template '!$O$20</f>
        <v>1</v>
      </c>
      <c r="CW7">
        <f>'[2]Template '!$O$21</f>
        <v>2</v>
      </c>
      <c r="CX7">
        <f>'[2]Template '!$O$22</f>
        <v>3</v>
      </c>
      <c r="CY7">
        <f>'[2]Template '!$O$23</f>
        <v>3</v>
      </c>
      <c r="CZ7" s="5"/>
      <c r="DB7" s="5"/>
      <c r="DC7" s="2"/>
      <c r="DD7" s="2"/>
      <c r="DE7" s="5"/>
      <c r="DJ7"/>
      <c r="DL7"/>
      <c r="DO7"/>
    </row>
    <row r="8" spans="1:119" x14ac:dyDescent="0.2">
      <c r="BB8" s="14"/>
      <c r="BC8" s="14"/>
      <c r="BD8" s="13"/>
      <c r="BO8" s="5"/>
      <c r="BY8"/>
      <c r="CZ8" s="5"/>
      <c r="DB8" s="5"/>
      <c r="DC8" s="2"/>
      <c r="DD8" s="2"/>
      <c r="DE8" s="5"/>
      <c r="DJ8"/>
      <c r="DL8"/>
      <c r="DO8"/>
    </row>
    <row r="9" spans="1:119" x14ac:dyDescent="0.2">
      <c r="BB9" s="14"/>
      <c r="BC9" s="14"/>
      <c r="BD9" s="13"/>
      <c r="BO9" s="5"/>
      <c r="BY9"/>
      <c r="CZ9" s="5"/>
      <c r="DB9" s="5"/>
      <c r="DC9" s="2"/>
      <c r="DD9" s="2"/>
      <c r="DE9" s="5"/>
      <c r="DJ9"/>
      <c r="DL9"/>
      <c r="DO9"/>
    </row>
    <row r="10" spans="1:119" x14ac:dyDescent="0.2">
      <c r="BB10" s="14"/>
      <c r="BC10" s="14"/>
      <c r="BD10" s="13"/>
      <c r="BO10" s="5"/>
      <c r="BY10"/>
      <c r="CZ10" s="5"/>
      <c r="DB10" s="5"/>
      <c r="DC10" s="2"/>
      <c r="DD10" s="2"/>
      <c r="DE10" s="5"/>
      <c r="DJ10"/>
      <c r="DL10"/>
      <c r="DO10"/>
    </row>
    <row r="11" spans="1:119" x14ac:dyDescent="0.2">
      <c r="BB11" s="14"/>
      <c r="BC11" s="14"/>
      <c r="BD11" s="13"/>
      <c r="BO11" s="5"/>
      <c r="BY11"/>
      <c r="CZ11" s="5"/>
      <c r="DB11" s="5"/>
      <c r="DC11" s="2"/>
      <c r="DD11" s="2"/>
      <c r="DE11" s="5"/>
      <c r="DJ11"/>
      <c r="DL11"/>
      <c r="DO11"/>
    </row>
    <row r="12" spans="1:119" x14ac:dyDescent="0.2">
      <c r="B12" t="s">
        <v>105</v>
      </c>
      <c r="D12" t="str">
        <f t="shared" si="0"/>
        <v>M_014.xlsx</v>
      </c>
      <c r="F12" t="str">
        <f>'[2]Template '!$C$2</f>
        <v>D+M</v>
      </c>
      <c r="H12">
        <f>'[2]Template '!$C$29</f>
        <v>0.3888888888888889</v>
      </c>
      <c r="I12" t="str">
        <f>'[2]Template '!$C$30</f>
        <v>n/a</v>
      </c>
      <c r="J12">
        <f>'[2]Template '!$C$31</f>
        <v>0.41666666666666663</v>
      </c>
      <c r="K12">
        <f>'[2]Template '!$C$32</f>
        <v>0.66911764705882359</v>
      </c>
      <c r="L12">
        <f>'[2]Template '!$C$33</f>
        <v>0.76984126984126977</v>
      </c>
      <c r="N12">
        <f>'[2]Template '!$C$74</f>
        <v>0.65454545454545454</v>
      </c>
      <c r="O12" t="str">
        <f>'[2]Template '!$C$75</f>
        <v>n/a</v>
      </c>
      <c r="P12">
        <f>'[2]Template '!$C$76</f>
        <v>0.39285714285714285</v>
      </c>
      <c r="Q12">
        <f>'[2]Template '!$C$77</f>
        <v>0.40476190476190477</v>
      </c>
      <c r="R12">
        <f>'[2]Template '!$C$78</f>
        <v>0.74603174603174605</v>
      </c>
      <c r="T12">
        <f>'[2]Template '!$C$96</f>
        <v>0.66666666666666663</v>
      </c>
      <c r="U12">
        <f>'[2]Template '!$C$97</f>
        <v>0.40740740740740738</v>
      </c>
      <c r="V12">
        <f>'[2]Template '!$C$98</f>
        <v>0.5</v>
      </c>
      <c r="W12">
        <f>'[2]Template '!$C$99</f>
        <v>0.46897546897546899</v>
      </c>
      <c r="X12">
        <f>'[2]Template '!$C$100</f>
        <v>0.68333333333333324</v>
      </c>
      <c r="Z12">
        <f>'[2]Template '!$C$52</f>
        <v>0.7857142857142857</v>
      </c>
      <c r="AA12">
        <f>'[2]Template '!$C$53</f>
        <v>0.40740740740740738</v>
      </c>
      <c r="AB12">
        <f>'[2]Template '!$C$54</f>
        <v>0.5</v>
      </c>
      <c r="AC12">
        <f>'[2]Template '!$C$55</f>
        <v>0.5</v>
      </c>
      <c r="AD12">
        <f>'[2]Template '!$C$56</f>
        <v>0.74682539682539684</v>
      </c>
      <c r="AF12">
        <f>'[2]Template '!$Z$30</f>
        <v>0</v>
      </c>
      <c r="AG12">
        <f>'[2]Template '!$AB$75</f>
        <v>0</v>
      </c>
      <c r="AH12">
        <f>'[2]Template '!$AD$75</f>
        <v>0</v>
      </c>
      <c r="AI12">
        <f>'[2]Template '!$AF$75</f>
        <v>0</v>
      </c>
      <c r="AJ12">
        <f>'[2]Template '!$AR$97</f>
        <v>0</v>
      </c>
      <c r="AK12">
        <f>'[2]Template '!$AS$97</f>
        <v>0</v>
      </c>
      <c r="AL12">
        <f>'[2]Template '!$AZ$97</f>
        <v>0</v>
      </c>
      <c r="AM12">
        <f>'[2]Template '!$BB$97</f>
        <v>1</v>
      </c>
      <c r="AN12">
        <f>'[2]Template '!$AU$53</f>
        <v>1</v>
      </c>
      <c r="AO12">
        <f>'[2]Template '!$AV$53</f>
        <v>1</v>
      </c>
      <c r="AP12">
        <f>'[2]Template '!$AY$53</f>
        <v>1</v>
      </c>
      <c r="AQ12">
        <f>'[2]Template '!$AX$53</f>
        <v>1</v>
      </c>
      <c r="AR12">
        <f>'[2]Template '!$AZ$53</f>
        <v>0</v>
      </c>
      <c r="AS12">
        <f>'[2]Template '!$BF$53</f>
        <v>0</v>
      </c>
      <c r="AT12">
        <f t="shared" ref="AT12:AT27" si="2">SUM(AF12,AG12,AH12,AI12)</f>
        <v>0</v>
      </c>
      <c r="AU12">
        <f t="shared" ref="AU12:AU27" si="3">SUM(AJ12:AS12)</f>
        <v>5</v>
      </c>
      <c r="AV12">
        <f t="shared" ref="AV12:AV27" si="4">AT12+AU12</f>
        <v>5</v>
      </c>
      <c r="BO12" s="5"/>
      <c r="BY12"/>
      <c r="CZ12" s="5"/>
      <c r="DB12" s="5"/>
      <c r="DE12" s="5"/>
      <c r="DJ12"/>
      <c r="DL12"/>
      <c r="DO12"/>
    </row>
    <row r="13" spans="1:119" x14ac:dyDescent="0.2">
      <c r="B13" t="s">
        <v>106</v>
      </c>
      <c r="D13" t="str">
        <f t="shared" si="0"/>
        <v>M_021.xlsx</v>
      </c>
      <c r="F13" t="str">
        <f>'[3]Template '!$C$2</f>
        <v>D+M</v>
      </c>
      <c r="H13">
        <f>'[3]Template '!$C$29</f>
        <v>0.3888888888888889</v>
      </c>
      <c r="I13" t="str">
        <f>'[3]Template '!$C$30</f>
        <v>n/a</v>
      </c>
      <c r="J13">
        <f>'[3]Template '!$C$31</f>
        <v>0.33333333333333331</v>
      </c>
      <c r="K13">
        <f>'[3]Template '!$C$32</f>
        <v>0.47794117647058826</v>
      </c>
      <c r="L13">
        <f>'[3]Template '!$C$33</f>
        <v>0.67063492063492058</v>
      </c>
      <c r="N13">
        <f>'[3]Template '!$C$74</f>
        <v>0.7</v>
      </c>
      <c r="O13" t="str">
        <f>'[3]Template '!$C$75</f>
        <v>n/a</v>
      </c>
      <c r="P13">
        <f>'[3]Template '!$C$76</f>
        <v>0.42857142857142855</v>
      </c>
      <c r="Q13">
        <f>'[3]Template '!$C$77</f>
        <v>0.53422619047619047</v>
      </c>
      <c r="R13">
        <f>'[3]Template '!$C$78</f>
        <v>0.78373015873015872</v>
      </c>
      <c r="T13">
        <f>'[3]Template '!$C$96</f>
        <v>0.8</v>
      </c>
      <c r="U13">
        <f>'[3]Template '!$C$97</f>
        <v>0.72222222222222232</v>
      </c>
      <c r="V13">
        <f>'[3]Template '!$C$98</f>
        <v>0.5</v>
      </c>
      <c r="W13">
        <f>'[3]Template '!$C$99</f>
        <v>0.21428571428571422</v>
      </c>
      <c r="X13">
        <f>'[3]Template '!$C$100</f>
        <v>0.64603174603174607</v>
      </c>
      <c r="Z13">
        <f>'[3]Template '!$C$52</f>
        <v>0.69444444444444442</v>
      </c>
      <c r="AA13">
        <f>'[3]Template '!$C$53</f>
        <v>0.72222222222222232</v>
      </c>
      <c r="AB13">
        <f>'[3]Template '!$C$54</f>
        <v>0.5</v>
      </c>
      <c r="AC13">
        <f>'[3]Template '!$C$55</f>
        <v>0.24107142857142858</v>
      </c>
      <c r="AD13">
        <f>'[3]Template '!$C$56</f>
        <v>0.57658730158730165</v>
      </c>
      <c r="AF13">
        <f>'[3]Template '!$Z$30</f>
        <v>0</v>
      </c>
      <c r="AG13">
        <f>'[3]Template '!$AB$75</f>
        <v>0</v>
      </c>
      <c r="AH13">
        <f>'[3]Template '!$AD$75</f>
        <v>0</v>
      </c>
      <c r="AI13">
        <f>'[3]Template '!$AF$75</f>
        <v>0</v>
      </c>
      <c r="AJ13">
        <f>'[3]Template '!$AR$97</f>
        <v>0.5</v>
      </c>
      <c r="AK13">
        <f>'[3]Template '!$AS$97</f>
        <v>0</v>
      </c>
      <c r="AL13">
        <f>'[3]Template '!$AZ$97</f>
        <v>0</v>
      </c>
      <c r="AM13">
        <f>'[3]Template '!$BB$97</f>
        <v>0</v>
      </c>
      <c r="AN13">
        <f>'[3]Template '!$AU$53</f>
        <v>0</v>
      </c>
      <c r="AO13">
        <f>'[3]Template '!$AV$53</f>
        <v>0</v>
      </c>
      <c r="AP13">
        <f>'[3]Template '!$AY$53</f>
        <v>0</v>
      </c>
      <c r="AQ13">
        <f>'[3]Template '!$AX$53</f>
        <v>0</v>
      </c>
      <c r="AR13">
        <f>'[3]Template '!$AZ$53</f>
        <v>0</v>
      </c>
      <c r="AS13">
        <f>'[3]Template '!$BF$53</f>
        <v>0</v>
      </c>
      <c r="AT13">
        <f t="shared" si="2"/>
        <v>0</v>
      </c>
      <c r="AU13">
        <f t="shared" si="3"/>
        <v>0.5</v>
      </c>
      <c r="AV13">
        <f t="shared" si="4"/>
        <v>0.5</v>
      </c>
      <c r="BO13" s="5"/>
      <c r="BY13"/>
      <c r="CZ13" s="5"/>
      <c r="DB13" s="5"/>
      <c r="DE13" s="5"/>
      <c r="DJ13"/>
      <c r="DL13"/>
      <c r="DO13"/>
    </row>
    <row r="14" spans="1:119" x14ac:dyDescent="0.2">
      <c r="B14" t="s">
        <v>112</v>
      </c>
      <c r="D14" t="str">
        <f t="shared" si="0"/>
        <v>M_028.xlsx</v>
      </c>
      <c r="F14" t="str">
        <f>'[6]Template '!$C$2</f>
        <v>D+M</v>
      </c>
      <c r="H14">
        <f>'[6]Template '!$C$29</f>
        <v>0.41666666666666669</v>
      </c>
      <c r="I14" t="str">
        <f>'[6]Template '!$C$30</f>
        <v>n/a</v>
      </c>
      <c r="J14">
        <f>'[6]Template '!$C$31</f>
        <v>0.83333333333333326</v>
      </c>
      <c r="K14">
        <f>'[6]Template '!$C$32</f>
        <v>0.49183006535947715</v>
      </c>
      <c r="L14">
        <f>'[6]Template '!$C$33</f>
        <v>0.75198412698412687</v>
      </c>
      <c r="N14">
        <f>'[6]Template '!$C$74</f>
        <v>0.65454545454545454</v>
      </c>
      <c r="O14" t="str">
        <f>'[6]Template '!$C$75</f>
        <v>n/a</v>
      </c>
      <c r="P14">
        <f>'[6]Template '!$C$76</f>
        <v>0.7142857142857143</v>
      </c>
      <c r="Q14">
        <f>'[6]Template '!$C$77</f>
        <v>0.73809523809523814</v>
      </c>
      <c r="R14">
        <f>'[6]Template '!$C$78</f>
        <v>0.86706349206349209</v>
      </c>
      <c r="T14">
        <f>'[6]Template '!$C$96</f>
        <v>0.75</v>
      </c>
      <c r="U14">
        <f>'[6]Template '!$C$97</f>
        <v>0.53703703703703709</v>
      </c>
      <c r="V14">
        <f>'[6]Template '!$C$98</f>
        <v>1</v>
      </c>
      <c r="W14">
        <f>'[6]Template '!$C$99</f>
        <v>0.49278499278499277</v>
      </c>
      <c r="X14">
        <f>'[6]Template '!$C$100</f>
        <v>0.68134920634920648</v>
      </c>
      <c r="Z14">
        <f>'[6]Template '!$C$52</f>
        <v>0.75</v>
      </c>
      <c r="AA14">
        <f>'[6]Template '!$C$53</f>
        <v>0.53703703703703709</v>
      </c>
      <c r="AB14">
        <f>'[6]Template '!$C$54</f>
        <v>0</v>
      </c>
      <c r="AC14">
        <f>'[6]Template '!$C$55</f>
        <v>0.13541666666666666</v>
      </c>
      <c r="AD14">
        <f>'[6]Template '!$C$56</f>
        <v>0.75674603174603172</v>
      </c>
      <c r="AF14">
        <f>'[6]Template '!$Z$30</f>
        <v>0</v>
      </c>
      <c r="AG14">
        <f>'[6]Template '!$AB$75</f>
        <v>1</v>
      </c>
      <c r="AH14">
        <f>'[6]Template '!$AD$75</f>
        <v>1</v>
      </c>
      <c r="AI14">
        <f>'[6]Template '!$AF$75</f>
        <v>0</v>
      </c>
      <c r="AJ14">
        <f>'[6]Template '!$AR$97</f>
        <v>0</v>
      </c>
      <c r="AK14">
        <f>'[6]Template '!$AS$97</f>
        <v>0</v>
      </c>
      <c r="AL14">
        <f>'[6]Template '!$AZ$97</f>
        <v>0.5</v>
      </c>
      <c r="AM14">
        <f>'[6]Template '!$BB$97</f>
        <v>0.5</v>
      </c>
      <c r="AN14">
        <f>'[6]Template '!$AU$53</f>
        <v>0</v>
      </c>
      <c r="AO14">
        <f>'[6]Template '!$AV$53</f>
        <v>0</v>
      </c>
      <c r="AP14">
        <f>'[6]Template '!$AY$53</f>
        <v>0</v>
      </c>
      <c r="AQ14">
        <f>'[6]Template '!$AX$53</f>
        <v>0</v>
      </c>
      <c r="AR14">
        <f>'[6]Template '!$AZ$53</f>
        <v>0</v>
      </c>
      <c r="AS14">
        <f>'[6]Template '!$BF$53</f>
        <v>0</v>
      </c>
      <c r="AT14">
        <f t="shared" si="2"/>
        <v>2</v>
      </c>
      <c r="AU14">
        <f t="shared" si="3"/>
        <v>1</v>
      </c>
      <c r="AV14">
        <f t="shared" si="4"/>
        <v>3</v>
      </c>
      <c r="BO14" s="5"/>
      <c r="BY14"/>
      <c r="CZ14" s="5"/>
      <c r="DB14" s="5"/>
      <c r="DE14" s="5"/>
      <c r="DJ14"/>
      <c r="DL14"/>
      <c r="DO14"/>
    </row>
    <row r="15" spans="1:119" x14ac:dyDescent="0.2">
      <c r="B15" t="s">
        <v>113</v>
      </c>
      <c r="D15" t="str">
        <f t="shared" si="0"/>
        <v>M_029.xlsx</v>
      </c>
      <c r="F15" t="str">
        <f>'[7]Template '!$C$2</f>
        <v>D+M</v>
      </c>
      <c r="H15">
        <f>'[7]Template '!$C$29</f>
        <v>0.83333333333333337</v>
      </c>
      <c r="I15" t="str">
        <f>'[7]Template '!$C$30</f>
        <v>n/a</v>
      </c>
      <c r="J15">
        <f>'[7]Template '!$C$31</f>
        <v>0.41666666666666663</v>
      </c>
      <c r="K15">
        <f>'[7]Template '!$C$32</f>
        <v>0.61029411764705888</v>
      </c>
      <c r="L15">
        <f>'[7]Template '!$C$33</f>
        <v>0.59126984126984128</v>
      </c>
      <c r="N15">
        <f>'[7]Template '!$C$74</f>
        <v>0.49545454545454548</v>
      </c>
      <c r="O15" t="str">
        <f>'[7]Template '!$C$75</f>
        <v>n/a</v>
      </c>
      <c r="P15">
        <f>'[7]Template '!$C$76</f>
        <v>3.5714285714285712E-2</v>
      </c>
      <c r="Q15">
        <f>'[7]Template '!$C$77</f>
        <v>0.47619047619047616</v>
      </c>
      <c r="R15">
        <f>'[7]Template '!$C$78</f>
        <v>0.4424603174603175</v>
      </c>
      <c r="T15">
        <f>'[7]Template '!$C$96</f>
        <v>0.6875</v>
      </c>
      <c r="U15">
        <f>'[7]Template '!$C$97</f>
        <v>0.37407407407407406</v>
      </c>
      <c r="V15">
        <f>'[7]Template '!$C$98</f>
        <v>0.5</v>
      </c>
      <c r="W15">
        <f>'[7]Template '!$C$99</f>
        <v>0.35425685425685427</v>
      </c>
      <c r="X15">
        <f>'[7]Template '!$C$100</f>
        <v>0.51904761904761909</v>
      </c>
      <c r="Z15">
        <f>'[7]Template '!$C$52</f>
        <v>0.68055555555555558</v>
      </c>
      <c r="AA15">
        <f>'[7]Template '!$C$53</f>
        <v>0.37407407407407406</v>
      </c>
      <c r="AB15">
        <f>'[7]Template '!$C$54</f>
        <v>0.5</v>
      </c>
      <c r="AC15">
        <f>'[7]Template '!$C$55</f>
        <v>0.27083333333333331</v>
      </c>
      <c r="AD15">
        <f>'[7]Template '!$C$56</f>
        <v>0.65</v>
      </c>
      <c r="AF15">
        <f>'[7]Template '!$Z$30</f>
        <v>0</v>
      </c>
      <c r="AG15">
        <f>'[7]Template '!$AB$75</f>
        <v>0</v>
      </c>
      <c r="AH15">
        <f>'[7]Template '!$AD$75</f>
        <v>0</v>
      </c>
      <c r="AI15">
        <f>'[7]Template '!$AF$75</f>
        <v>0</v>
      </c>
      <c r="AJ15">
        <f>'[7]Template '!$AR$97</f>
        <v>0</v>
      </c>
      <c r="AK15">
        <f>'[7]Template '!$AS$97</f>
        <v>0</v>
      </c>
      <c r="AL15">
        <f>'[7]Template '!$AZ$97</f>
        <v>0</v>
      </c>
      <c r="AM15">
        <f>'[7]Template '!$BB$97</f>
        <v>0</v>
      </c>
      <c r="AN15">
        <f>'[7]Template '!$AU$53</f>
        <v>0</v>
      </c>
      <c r="AO15">
        <f>'[7]Template '!$AV$53</f>
        <v>0</v>
      </c>
      <c r="AP15">
        <f>'[7]Template '!$AY$53</f>
        <v>0</v>
      </c>
      <c r="AQ15">
        <f>'[7]Template '!$AX$53</f>
        <v>0</v>
      </c>
      <c r="AR15">
        <f>'[7]Template '!$AZ$53</f>
        <v>0</v>
      </c>
      <c r="AS15">
        <f>'[7]Template '!$BF$53</f>
        <v>0</v>
      </c>
      <c r="AT15">
        <f t="shared" si="2"/>
        <v>0</v>
      </c>
      <c r="AU15">
        <f t="shared" si="3"/>
        <v>0</v>
      </c>
      <c r="AV15">
        <f t="shared" si="4"/>
        <v>0</v>
      </c>
      <c r="BY15"/>
    </row>
    <row r="16" spans="1:119" x14ac:dyDescent="0.2">
      <c r="B16" t="s">
        <v>114</v>
      </c>
      <c r="D16" t="str">
        <f t="shared" si="0"/>
        <v>M_030.xlsx</v>
      </c>
      <c r="F16" t="str">
        <f>'[8]Template '!$C$2</f>
        <v>D+M</v>
      </c>
      <c r="H16">
        <f>'[8]Template '!$C$29</f>
        <v>0.3888888888888889</v>
      </c>
      <c r="I16" t="str">
        <f>'[8]Template '!$C$30</f>
        <v>n/a</v>
      </c>
      <c r="J16">
        <f>'[8]Template '!$C$31</f>
        <v>0.58333333333333326</v>
      </c>
      <c r="K16">
        <f>'[8]Template '!$C$32</f>
        <v>0.51470588235294112</v>
      </c>
      <c r="L16">
        <f>'[8]Template '!$C$33</f>
        <v>0.58333333333333337</v>
      </c>
      <c r="N16">
        <f>'[8]Template '!$C$74</f>
        <v>0.65454545454545454</v>
      </c>
      <c r="O16" t="str">
        <f>'[8]Template '!$C$75</f>
        <v>n/a</v>
      </c>
      <c r="P16">
        <f>'[8]Template '!$C$76</f>
        <v>0.5</v>
      </c>
      <c r="Q16">
        <f>'[8]Template '!$C$77</f>
        <v>0.48809523809523803</v>
      </c>
      <c r="R16">
        <f>'[8]Template '!$C$78</f>
        <v>0.68253968253968245</v>
      </c>
      <c r="T16">
        <f>'[8]Template '!$C$96</f>
        <v>0.70833333333333326</v>
      </c>
      <c r="U16">
        <f>'[8]Template '!$C$97</f>
        <v>0.44444444444444442</v>
      </c>
      <c r="V16">
        <f>'[8]Template '!$C$98</f>
        <v>0.25</v>
      </c>
      <c r="W16">
        <f>'[8]Template '!$C$99</f>
        <v>0.43873610050080636</v>
      </c>
      <c r="X16">
        <f>'[8]Template '!$C$100</f>
        <v>0.70515873015873021</v>
      </c>
      <c r="Z16">
        <f>'[8]Template '!$C$52</f>
        <v>0.70833333333333326</v>
      </c>
      <c r="AA16">
        <f>'[8]Template '!$C$53</f>
        <v>0.44444444444444442</v>
      </c>
      <c r="AB16">
        <f>'[8]Template '!$C$54</f>
        <v>0</v>
      </c>
      <c r="AC16">
        <f>'[8]Template '!$C$55</f>
        <v>0.52083333333333337</v>
      </c>
      <c r="AD16">
        <f>'[8]Template '!$C$56</f>
        <v>0.68333333333333324</v>
      </c>
      <c r="AF16">
        <f>'[8]Template '!$Z$30</f>
        <v>0</v>
      </c>
      <c r="AG16">
        <f>'[8]Template '!$AB$75</f>
        <v>0</v>
      </c>
      <c r="AH16">
        <f>'[8]Template '!$AD$75</f>
        <v>0</v>
      </c>
      <c r="AI16">
        <f>'[8]Template '!$AF$75</f>
        <v>0</v>
      </c>
      <c r="AJ16">
        <f>'[8]Template '!$AR$97</f>
        <v>0</v>
      </c>
      <c r="AK16">
        <f>'[8]Template '!$AS$97</f>
        <v>1</v>
      </c>
      <c r="AL16">
        <f>'[8]Template '!$AZ$97</f>
        <v>0</v>
      </c>
      <c r="AM16">
        <f>'[8]Template '!$BB$97</f>
        <v>0</v>
      </c>
      <c r="AN16">
        <f>'[8]Template '!$AU$53</f>
        <v>1</v>
      </c>
      <c r="AO16">
        <f>'[8]Template '!$AV$53</f>
        <v>0</v>
      </c>
      <c r="AP16">
        <f>'[8]Template '!$AY$53</f>
        <v>0</v>
      </c>
      <c r="AQ16">
        <f>'[8]Template '!$AX$53</f>
        <v>0</v>
      </c>
      <c r="AR16">
        <f>'[8]Template '!$AZ$53</f>
        <v>0</v>
      </c>
      <c r="AS16">
        <f>'[8]Template '!$BF$53</f>
        <v>0.5</v>
      </c>
      <c r="AT16">
        <f t="shared" si="2"/>
        <v>0</v>
      </c>
      <c r="AU16">
        <f t="shared" si="3"/>
        <v>2.5</v>
      </c>
      <c r="AV16">
        <f t="shared" si="4"/>
        <v>2.5</v>
      </c>
      <c r="BY16"/>
    </row>
    <row r="17" spans="2:119" x14ac:dyDescent="0.2">
      <c r="B17" t="s">
        <v>116</v>
      </c>
      <c r="D17" t="str">
        <f t="shared" si="0"/>
        <v>M_032.xlsx</v>
      </c>
      <c r="F17" t="str">
        <f>'[10]Template '!$C$2</f>
        <v>D+M</v>
      </c>
      <c r="H17">
        <f>'[10]Template '!$C$29</f>
        <v>0.41666666666666669</v>
      </c>
      <c r="I17" t="str">
        <f>'[10]Template '!$C$30</f>
        <v>n/a</v>
      </c>
      <c r="J17">
        <f>'[10]Template '!$C$31</f>
        <v>0.25</v>
      </c>
      <c r="K17">
        <f>'[10]Template '!$C$32</f>
        <v>0.875</v>
      </c>
      <c r="L17">
        <f>'[10]Template '!$C$33</f>
        <v>0.95833333333333337</v>
      </c>
      <c r="N17">
        <f>'[10]Template '!$C$74</f>
        <v>0.7</v>
      </c>
      <c r="O17" t="str">
        <f>'[10]Template '!$C$75</f>
        <v>n/a</v>
      </c>
      <c r="P17">
        <f>'[10]Template '!$C$76</f>
        <v>0.5357142857142857</v>
      </c>
      <c r="Q17">
        <f>'[10]Template '!$C$77</f>
        <v>0.64285714285714279</v>
      </c>
      <c r="R17">
        <f>'[10]Template '!$C$78</f>
        <v>0.8392857142857143</v>
      </c>
      <c r="T17">
        <f>'[10]Template '!$C$96</f>
        <v>0.8</v>
      </c>
      <c r="U17">
        <f>'[10]Template '!$C$97</f>
        <v>0.57777777777777783</v>
      </c>
      <c r="V17">
        <f>'[10]Template '!$C$98</f>
        <v>0.5</v>
      </c>
      <c r="W17">
        <f>'[10]Template '!$C$99</f>
        <v>0.78626602156013925</v>
      </c>
      <c r="X17">
        <f>'[10]Template '!$C$100</f>
        <v>0.90714285714285703</v>
      </c>
      <c r="Z17">
        <f>'[10]Template '!$C$52</f>
        <v>0.69444444444444442</v>
      </c>
      <c r="AA17">
        <f>'[10]Template '!$C$53</f>
        <v>0.57777777777777783</v>
      </c>
      <c r="AB17">
        <f>'[10]Template '!$C$54</f>
        <v>0.5</v>
      </c>
      <c r="AC17">
        <f>'[10]Template '!$C$55</f>
        <v>0.3125</v>
      </c>
      <c r="AD17">
        <f>'[10]Template '!$C$56</f>
        <v>0.90674603174603163</v>
      </c>
      <c r="AF17">
        <f>'[10]Template '!$Z$30</f>
        <v>1</v>
      </c>
      <c r="AG17">
        <f>'[10]Template '!$AB$75</f>
        <v>0</v>
      </c>
      <c r="AH17">
        <f>'[10]Template '!$AD$75</f>
        <v>1</v>
      </c>
      <c r="AI17">
        <f>'[10]Template '!$AF$75</f>
        <v>0</v>
      </c>
      <c r="AJ17">
        <f>'[10]Template '!$AR$97</f>
        <v>1</v>
      </c>
      <c r="AK17">
        <f>'[10]Template '!$AS$97</f>
        <v>1</v>
      </c>
      <c r="AL17">
        <f>'[10]Template '!$AZ$97</f>
        <v>1</v>
      </c>
      <c r="AM17">
        <f>'[10]Template '!$BB$97</f>
        <v>1</v>
      </c>
      <c r="AN17">
        <f>'[10]Template '!$AU$53</f>
        <v>1</v>
      </c>
      <c r="AO17">
        <f>'[10]Template '!$AV$53</f>
        <v>1</v>
      </c>
      <c r="AP17">
        <f>'[10]Template '!$AY$53</f>
        <v>0.5</v>
      </c>
      <c r="AQ17">
        <f>'[10]Template '!$AX$53</f>
        <v>1</v>
      </c>
      <c r="AR17">
        <f>'[10]Template '!$AZ$53</f>
        <v>0</v>
      </c>
      <c r="AS17">
        <f>'[10]Template '!$BF$53</f>
        <v>0</v>
      </c>
      <c r="AT17">
        <f t="shared" si="2"/>
        <v>2</v>
      </c>
      <c r="AU17">
        <f t="shared" si="3"/>
        <v>7.5</v>
      </c>
      <c r="AV17">
        <f t="shared" si="4"/>
        <v>9.5</v>
      </c>
      <c r="BY17"/>
    </row>
    <row r="18" spans="2:119" x14ac:dyDescent="0.2">
      <c r="B18" t="s">
        <v>118</v>
      </c>
      <c r="D18" t="str">
        <f t="shared" si="0"/>
        <v>M_034.xlsx</v>
      </c>
      <c r="F18" t="str">
        <f>'[12]Template '!$C$2</f>
        <v>D+M</v>
      </c>
      <c r="H18">
        <f>'[12]Template '!$C$29</f>
        <v>0.3888888888888889</v>
      </c>
      <c r="I18" t="str">
        <f>'[12]Template '!$C$30</f>
        <v>n/a</v>
      </c>
      <c r="J18">
        <f>'[12]Template '!$C$31</f>
        <v>0.66666666666666663</v>
      </c>
      <c r="K18">
        <f>'[12]Template '!$C$32</f>
        <v>0.60294117647058831</v>
      </c>
      <c r="L18">
        <f>'[12]Template '!$C$33</f>
        <v>0.78968253968253954</v>
      </c>
      <c r="N18">
        <f>'[12]Template '!$C$74</f>
        <v>0.63181818181818183</v>
      </c>
      <c r="O18" t="str">
        <f>'[12]Template '!$C$75</f>
        <v>n/a</v>
      </c>
      <c r="P18">
        <f>'[12]Template '!$C$76</f>
        <v>0.21428571428571427</v>
      </c>
      <c r="Q18">
        <f>'[12]Template '!$C$77</f>
        <v>0.48809523809523803</v>
      </c>
      <c r="R18">
        <f>'[12]Template '!$C$78</f>
        <v>0.71031746031746035</v>
      </c>
      <c r="T18">
        <f>'[12]Template '!$C$96</f>
        <v>0.71875</v>
      </c>
      <c r="U18">
        <f>'[12]Template '!$C$97</f>
        <v>0.47407407407407415</v>
      </c>
      <c r="V18">
        <f>'[12]Template '!$C$98</f>
        <v>0.5</v>
      </c>
      <c r="W18">
        <f>'[12]Template '!$C$99</f>
        <v>0.44408369408369402</v>
      </c>
      <c r="X18">
        <f>'[12]Template '!$C$100</f>
        <v>0.74246031746031749</v>
      </c>
      <c r="Z18">
        <f>'[12]Template '!$C$52</f>
        <v>0.72222222222222232</v>
      </c>
      <c r="AA18">
        <f>'[12]Template '!$C$53</f>
        <v>0.47407407407407415</v>
      </c>
      <c r="AB18">
        <f>'[12]Template '!$C$54</f>
        <v>0.5</v>
      </c>
      <c r="AC18">
        <f>'[12]Template '!$C$55</f>
        <v>0.34375</v>
      </c>
      <c r="AD18">
        <f>'[12]Template '!$C$56</f>
        <v>0.84563492063492063</v>
      </c>
      <c r="AF18">
        <f>'[12]Template '!$Z$30</f>
        <v>0</v>
      </c>
      <c r="AG18">
        <f>'[12]Template '!$AB$75</f>
        <v>0</v>
      </c>
      <c r="AH18">
        <f>'[12]Template '!$AD$75</f>
        <v>0</v>
      </c>
      <c r="AI18">
        <f>'[12]Template '!$AF$75</f>
        <v>0</v>
      </c>
      <c r="AJ18">
        <f>'[12]Template '!$AR$97</f>
        <v>0.5</v>
      </c>
      <c r="AK18">
        <f>'[12]Template '!$AS$97</f>
        <v>0</v>
      </c>
      <c r="AL18">
        <f>'[12]Template '!$AZ$97</f>
        <v>0</v>
      </c>
      <c r="AM18">
        <f>'[12]Template '!$BB$97</f>
        <v>0</v>
      </c>
      <c r="AN18">
        <f>'[12]Template '!$AU$53</f>
        <v>0.5</v>
      </c>
      <c r="AO18">
        <f>'[12]Template '!$AV$53</f>
        <v>0.5</v>
      </c>
      <c r="AP18">
        <f>'[12]Template '!$AY$53</f>
        <v>0</v>
      </c>
      <c r="AQ18">
        <f>'[12]Template '!$AX$53</f>
        <v>0</v>
      </c>
      <c r="AR18">
        <f>'[12]Template '!$AZ$53</f>
        <v>0</v>
      </c>
      <c r="AS18">
        <f>'[12]Template '!$BF$53</f>
        <v>0</v>
      </c>
      <c r="AT18">
        <f t="shared" si="2"/>
        <v>0</v>
      </c>
      <c r="AU18">
        <f t="shared" si="3"/>
        <v>1.5</v>
      </c>
      <c r="AV18">
        <f t="shared" si="4"/>
        <v>1.5</v>
      </c>
      <c r="BY18"/>
    </row>
    <row r="19" spans="2:119" x14ac:dyDescent="0.2">
      <c r="B19" t="s">
        <v>121</v>
      </c>
      <c r="D19" t="str">
        <f t="shared" si="0"/>
        <v>M_038.xlsx</v>
      </c>
      <c r="F19" t="str">
        <f>'[15]Template '!$C$2</f>
        <v>D+M</v>
      </c>
      <c r="H19">
        <f>'[15]Template '!$C$29</f>
        <v>0.5</v>
      </c>
      <c r="I19" t="str">
        <f>'[15]Template '!$C$30</f>
        <v>n/a</v>
      </c>
      <c r="J19">
        <f>'[15]Template '!$C$31</f>
        <v>0.33333333333333331</v>
      </c>
      <c r="K19">
        <f>'[15]Template '!$C$32</f>
        <v>0.60294117647058831</v>
      </c>
      <c r="L19">
        <f>'[15]Template '!$C$33</f>
        <v>0.79365079365079361</v>
      </c>
      <c r="N19">
        <f>'[15]Template '!$C$74</f>
        <v>0.51818181818181819</v>
      </c>
      <c r="O19" t="str">
        <f>'[15]Template '!$C$75</f>
        <v>n/a</v>
      </c>
      <c r="P19">
        <f>'[15]Template '!$C$76</f>
        <v>0.4642857142857143</v>
      </c>
      <c r="Q19">
        <f>'[15]Template '!$C$77</f>
        <v>0.5</v>
      </c>
      <c r="R19">
        <f>'[15]Template '!$C$78</f>
        <v>0.87301587301587302</v>
      </c>
      <c r="T19">
        <f>'[15]Template '!$C$96</f>
        <v>0.35416666666666663</v>
      </c>
      <c r="U19">
        <f>'[15]Template '!$C$97</f>
        <v>0.6518518518518519</v>
      </c>
      <c r="V19">
        <f>'[15]Template '!$C$98</f>
        <v>0</v>
      </c>
      <c r="W19">
        <f>'[15]Template '!$C$99</f>
        <v>0.33706816059757233</v>
      </c>
      <c r="X19">
        <f>'[15]Template '!$C$100</f>
        <v>0.90476190476190477</v>
      </c>
      <c r="Z19">
        <f>'[15]Template '!$C$52</f>
        <v>0.49365079365079362</v>
      </c>
      <c r="AA19">
        <f>'[15]Template '!$C$53</f>
        <v>0.6518518518518519</v>
      </c>
      <c r="AB19">
        <f>'[15]Template '!$C$54</f>
        <v>0</v>
      </c>
      <c r="AC19">
        <f>'[15]Template '!$C$55</f>
        <v>0.33035714285714285</v>
      </c>
      <c r="AD19">
        <f>'[15]Template '!$C$56</f>
        <v>0.81428571428571439</v>
      </c>
      <c r="AF19">
        <f>'[15]Template '!$Z$30</f>
        <v>0</v>
      </c>
      <c r="AG19">
        <f>'[15]Template '!$AB$75</f>
        <v>0</v>
      </c>
      <c r="AH19">
        <f>'[15]Template '!$AD$75</f>
        <v>0</v>
      </c>
      <c r="AI19">
        <f>'[15]Template '!$AF$75</f>
        <v>0</v>
      </c>
      <c r="AJ19">
        <f>'[15]Template '!$AR$97</f>
        <v>0</v>
      </c>
      <c r="AK19">
        <f>'[15]Template '!$AS$97</f>
        <v>0</v>
      </c>
      <c r="AL19">
        <f>'[15]Template '!$AZ$97</f>
        <v>0</v>
      </c>
      <c r="AM19">
        <f>'[15]Template '!$BB$97</f>
        <v>0</v>
      </c>
      <c r="AN19">
        <f>'[15]Template '!$AU$53</f>
        <v>0</v>
      </c>
      <c r="AO19">
        <f>'[15]Template '!$AV$53</f>
        <v>0</v>
      </c>
      <c r="AP19">
        <f>'[15]Template '!$AY$53</f>
        <v>0</v>
      </c>
      <c r="AQ19">
        <f>'[15]Template '!$AX$53</f>
        <v>0</v>
      </c>
      <c r="AR19">
        <f>'[15]Template '!$AZ$53</f>
        <v>1</v>
      </c>
      <c r="AS19">
        <f>'[15]Template '!$BF$53</f>
        <v>0</v>
      </c>
      <c r="AT19">
        <f t="shared" si="2"/>
        <v>0</v>
      </c>
      <c r="AU19">
        <f t="shared" si="3"/>
        <v>1</v>
      </c>
      <c r="AV19">
        <f t="shared" si="4"/>
        <v>1</v>
      </c>
      <c r="BY19"/>
    </row>
    <row r="20" spans="2:119" x14ac:dyDescent="0.2">
      <c r="B20" t="s">
        <v>125</v>
      </c>
      <c r="D20" t="str">
        <f t="shared" si="0"/>
        <v>M_045.xlsx</v>
      </c>
      <c r="F20" t="str">
        <f>'[19]Template '!$C$2</f>
        <v>D+M</v>
      </c>
      <c r="H20">
        <f>'[19]Template '!$C$29</f>
        <v>0.3888888888888889</v>
      </c>
      <c r="I20" t="str">
        <f>'[19]Template '!$C$30</f>
        <v>n/a</v>
      </c>
      <c r="J20">
        <f>'[19]Template '!$C$31</f>
        <v>0.66666666666666663</v>
      </c>
      <c r="K20">
        <f>'[19]Template '!$C$32</f>
        <v>0.54411764705882359</v>
      </c>
      <c r="L20">
        <f>'[19]Template '!$C$33</f>
        <v>0.79960317460317454</v>
      </c>
      <c r="N20">
        <f>'[19]Template '!$C$74</f>
        <v>0.54090909090909101</v>
      </c>
      <c r="O20" t="str">
        <f>'[19]Template '!$C$75</f>
        <v>n/a</v>
      </c>
      <c r="P20">
        <f>'[19]Template '!$C$76</f>
        <v>0.39285714285714285</v>
      </c>
      <c r="Q20">
        <f>'[19]Template '!$C$77</f>
        <v>0.47619047619047616</v>
      </c>
      <c r="R20">
        <f>'[19]Template '!$C$78</f>
        <v>0.75595238095238093</v>
      </c>
      <c r="T20">
        <f>'[19]Template '!$C$96</f>
        <v>0.75</v>
      </c>
      <c r="U20">
        <f>'[19]Template '!$C$97</f>
        <v>0.44444444444444442</v>
      </c>
      <c r="V20">
        <f>'[19]Template '!$C$98</f>
        <v>0.5</v>
      </c>
      <c r="W20">
        <f>'[19]Template '!$C$99</f>
        <v>0.70274170274170267</v>
      </c>
      <c r="X20">
        <f>'[19]Template '!$C$100</f>
        <v>0.84523809523809523</v>
      </c>
      <c r="Z20">
        <f>'[19]Template '!$C$52</f>
        <v>0.66666666666666663</v>
      </c>
      <c r="AA20">
        <f>'[19]Template '!$C$53</f>
        <v>0.44444444444444442</v>
      </c>
      <c r="AB20">
        <f>'[19]Template '!$C$54</f>
        <v>0.5</v>
      </c>
      <c r="AC20">
        <f>'[19]Template '!$C$55</f>
        <v>0.33333333333333331</v>
      </c>
      <c r="AD20">
        <f>'[19]Template '!$C$56</f>
        <v>0.88293650793650791</v>
      </c>
      <c r="AF20">
        <f>'[19]Template '!$Z$30</f>
        <v>0</v>
      </c>
      <c r="AG20">
        <f>'[19]Template '!$AB$75</f>
        <v>0</v>
      </c>
      <c r="AH20">
        <f>'[19]Template '!$AD$75</f>
        <v>0</v>
      </c>
      <c r="AI20">
        <f>'[19]Template '!$AF$75</f>
        <v>0</v>
      </c>
      <c r="AJ20">
        <f>'[19]Template '!$AR$97</f>
        <v>0.5</v>
      </c>
      <c r="AK20">
        <f>'[19]Template '!$AS$97</f>
        <v>0</v>
      </c>
      <c r="AL20">
        <f>'[19]Template '!$AZ$97</f>
        <v>0.5</v>
      </c>
      <c r="AM20">
        <f>'[19]Template '!$BB$97</f>
        <v>1</v>
      </c>
      <c r="AN20">
        <f>'[19]Template '!$AU$53</f>
        <v>1</v>
      </c>
      <c r="AO20">
        <f>'[19]Template '!$AV$53</f>
        <v>1</v>
      </c>
      <c r="AP20">
        <f>'[19]Template '!$AY$53</f>
        <v>1</v>
      </c>
      <c r="AQ20">
        <f>'[19]Template '!$AX$53</f>
        <v>0</v>
      </c>
      <c r="AR20">
        <f>'[19]Template '!$AZ$53</f>
        <v>0</v>
      </c>
      <c r="AS20">
        <f>'[19]Template '!$BF$53</f>
        <v>0</v>
      </c>
      <c r="AT20">
        <f t="shared" si="2"/>
        <v>0</v>
      </c>
      <c r="AU20">
        <f t="shared" si="3"/>
        <v>5</v>
      </c>
      <c r="AV20">
        <f t="shared" si="4"/>
        <v>5</v>
      </c>
      <c r="BY20"/>
    </row>
    <row r="21" spans="2:119" x14ac:dyDescent="0.2">
      <c r="B21" t="s">
        <v>126</v>
      </c>
      <c r="D21" t="str">
        <f t="shared" si="0"/>
        <v>M_046.xlsx</v>
      </c>
      <c r="F21" t="str">
        <f>'[20]Template '!$C$2</f>
        <v>D+M</v>
      </c>
      <c r="H21">
        <f>'[20]Template '!$C$29</f>
        <v>0.3888888888888889</v>
      </c>
      <c r="I21" t="str">
        <f>'[20]Template '!$C$30</f>
        <v>n/a</v>
      </c>
      <c r="J21">
        <f>'[20]Template '!$C$31</f>
        <v>0.66666666666666663</v>
      </c>
      <c r="K21">
        <f>'[20]Template '!$C$32</f>
        <v>0.72794117647058831</v>
      </c>
      <c r="L21">
        <f>'[20]Template '!$C$33</f>
        <v>0.77777777777777768</v>
      </c>
      <c r="N21">
        <f>'[20]Template '!$C$74</f>
        <v>0.7</v>
      </c>
      <c r="O21" t="str">
        <f>'[20]Template '!$C$75</f>
        <v>n/a</v>
      </c>
      <c r="P21">
        <f>'[20]Template '!$C$76</f>
        <v>0.5357142857142857</v>
      </c>
      <c r="Q21">
        <f>'[20]Template '!$C$77</f>
        <v>0.61904761904761907</v>
      </c>
      <c r="R21">
        <f>'[20]Template '!$C$78</f>
        <v>0.85119047619047616</v>
      </c>
      <c r="T21">
        <f>'[20]Template '!$C$96</f>
        <v>0.75</v>
      </c>
      <c r="U21">
        <f>'[20]Template '!$C$97</f>
        <v>0.31111111111111112</v>
      </c>
      <c r="V21">
        <f>'[20]Template '!$C$98</f>
        <v>0.5</v>
      </c>
      <c r="W21">
        <f>'[20]Template '!$C$99</f>
        <v>0.88888888888888884</v>
      </c>
      <c r="X21">
        <f>'[20]Template '!$C$100</f>
        <v>0.97023809523809523</v>
      </c>
      <c r="Z21">
        <f>'[20]Template '!$C$52</f>
        <v>0.75</v>
      </c>
      <c r="AA21">
        <f>'[20]Template '!$C$53</f>
        <v>0.31111111111111112</v>
      </c>
      <c r="AB21">
        <f>'[20]Template '!$C$54</f>
        <v>0.5</v>
      </c>
      <c r="AC21">
        <f>'[20]Template '!$C$55</f>
        <v>0.70238095238095244</v>
      </c>
      <c r="AD21">
        <f>'[20]Template '!$C$56</f>
        <v>0.9007936507936507</v>
      </c>
      <c r="AF21">
        <f>'[20]Template '!$Z$30</f>
        <v>0</v>
      </c>
      <c r="AG21">
        <f>'[20]Template '!$AB$75</f>
        <v>0</v>
      </c>
      <c r="AH21">
        <f>'[20]Template '!$AD$75</f>
        <v>1</v>
      </c>
      <c r="AI21">
        <f>'[20]Template '!$AF$75</f>
        <v>0</v>
      </c>
      <c r="AJ21">
        <f>'[20]Template '!$AR$97</f>
        <v>1</v>
      </c>
      <c r="AK21">
        <f>'[20]Template '!$AS$97</f>
        <v>1</v>
      </c>
      <c r="AL21">
        <f>'[20]Template '!$AZ$97</f>
        <v>1</v>
      </c>
      <c r="AM21">
        <f>'[20]Template '!$BB$97</f>
        <v>1</v>
      </c>
      <c r="AN21">
        <f>'[20]Template '!$AU$53</f>
        <v>1</v>
      </c>
      <c r="AO21">
        <f>'[20]Template '!$AV$53</f>
        <v>1</v>
      </c>
      <c r="AP21">
        <f>'[20]Template '!$AY$53</f>
        <v>0</v>
      </c>
      <c r="AQ21">
        <f>'[20]Template '!$AX$53</f>
        <v>0</v>
      </c>
      <c r="AR21">
        <f>'[20]Template '!$AZ$53</f>
        <v>0</v>
      </c>
      <c r="AS21">
        <f>'[20]Template '!$BF$53</f>
        <v>1</v>
      </c>
      <c r="AT21">
        <f t="shared" si="2"/>
        <v>1</v>
      </c>
      <c r="AU21">
        <f t="shared" si="3"/>
        <v>7</v>
      </c>
      <c r="AV21">
        <f t="shared" si="4"/>
        <v>8</v>
      </c>
      <c r="BY21"/>
    </row>
    <row r="22" spans="2:119" x14ac:dyDescent="0.2">
      <c r="B22" t="s">
        <v>127</v>
      </c>
      <c r="D22" t="str">
        <f t="shared" si="0"/>
        <v>M_047.xlsx</v>
      </c>
      <c r="F22" t="str">
        <f>'[21]Template '!$C$2</f>
        <v>D+M</v>
      </c>
      <c r="H22">
        <f>'[21]Template '!$C$29</f>
        <v>0.88888888888888884</v>
      </c>
      <c r="I22" t="str">
        <f>'[21]Template '!$C$30</f>
        <v>n/a</v>
      </c>
      <c r="J22">
        <f>'[21]Template '!$C$31</f>
        <v>0.33333333333333331</v>
      </c>
      <c r="K22">
        <f>'[21]Template '!$C$32</f>
        <v>0.72794117647058831</v>
      </c>
      <c r="L22">
        <f>'[21]Template '!$C$33</f>
        <v>0.81746031746031733</v>
      </c>
      <c r="N22">
        <f>'[21]Template '!$C$74</f>
        <v>0.51818181818181819</v>
      </c>
      <c r="O22" t="str">
        <f>'[21]Template '!$C$75</f>
        <v>n/a</v>
      </c>
      <c r="P22">
        <f>'[21]Template '!$C$76</f>
        <v>0.2857142857142857</v>
      </c>
      <c r="Q22">
        <f>'[21]Template '!$C$77</f>
        <v>0.5</v>
      </c>
      <c r="R22">
        <f>'[21]Template '!$C$78</f>
        <v>0.72619047619047616</v>
      </c>
      <c r="T22">
        <f>'[21]Template '!$C$96</f>
        <v>0.46874999999999994</v>
      </c>
      <c r="U22">
        <f>'[21]Template '!$C$97</f>
        <v>0.31111111111111112</v>
      </c>
      <c r="V22">
        <f>'[21]Template '!$C$98</f>
        <v>0</v>
      </c>
      <c r="W22">
        <f>'[21]Template '!$C$99</f>
        <v>0.61832611832611828</v>
      </c>
      <c r="X22">
        <f>'[21]Template '!$C$100</f>
        <v>0.87142857142857133</v>
      </c>
      <c r="Z22">
        <f>'[21]Template '!$C$52</f>
        <v>0.75</v>
      </c>
      <c r="AA22">
        <f>'[21]Template '!$C$53</f>
        <v>0.31111111111111112</v>
      </c>
      <c r="AB22">
        <f>'[21]Template '!$C$54</f>
        <v>0</v>
      </c>
      <c r="AC22">
        <f>'[21]Template '!$C$55</f>
        <v>0.52380952380952384</v>
      </c>
      <c r="AD22">
        <f>'[21]Template '!$C$56</f>
        <v>0.94047619047619035</v>
      </c>
      <c r="AF22">
        <f>'[21]Template '!$Z$30</f>
        <v>0</v>
      </c>
      <c r="AG22">
        <f>'[21]Template '!$AB$75</f>
        <v>0</v>
      </c>
      <c r="AH22">
        <f>'[21]Template '!$AD$75</f>
        <v>0</v>
      </c>
      <c r="AI22">
        <f>'[21]Template '!$AF$75</f>
        <v>0</v>
      </c>
      <c r="AJ22">
        <f>'[21]Template '!$AR$97</f>
        <v>1</v>
      </c>
      <c r="AK22">
        <f>'[21]Template '!$AS$97</f>
        <v>1</v>
      </c>
      <c r="AL22">
        <f>'[21]Template '!$AZ$97</f>
        <v>0.5</v>
      </c>
      <c r="AM22">
        <f>'[21]Template '!$BB$97</f>
        <v>1</v>
      </c>
      <c r="AN22">
        <f>'[21]Template '!$AU$53</f>
        <v>0.5</v>
      </c>
      <c r="AO22">
        <f>'[21]Template '!$AV$53</f>
        <v>0</v>
      </c>
      <c r="AP22">
        <f>'[21]Template '!$AY$53</f>
        <v>0</v>
      </c>
      <c r="AQ22">
        <f>'[21]Template '!$AX$53</f>
        <v>0</v>
      </c>
      <c r="AR22">
        <f>'[21]Template '!$AZ$53</f>
        <v>0</v>
      </c>
      <c r="AS22">
        <f>'[21]Template '!$BF$53</f>
        <v>0.5</v>
      </c>
      <c r="AT22">
        <f t="shared" si="2"/>
        <v>0</v>
      </c>
      <c r="AU22">
        <f t="shared" si="3"/>
        <v>4.5</v>
      </c>
      <c r="AV22">
        <f t="shared" si="4"/>
        <v>4.5</v>
      </c>
      <c r="BY22"/>
    </row>
    <row r="23" spans="2:119" x14ac:dyDescent="0.2">
      <c r="B23" t="s">
        <v>130</v>
      </c>
      <c r="D23" t="str">
        <f t="shared" si="0"/>
        <v>M_083.xlsx</v>
      </c>
      <c r="F23" t="str">
        <f>'[24]Template '!$C$2</f>
        <v>D+M</v>
      </c>
      <c r="H23">
        <f>'[24]Template '!$C$29</f>
        <v>0.22222222222222221</v>
      </c>
      <c r="I23" t="str">
        <f>'[24]Template '!$C$30</f>
        <v>n/a</v>
      </c>
      <c r="J23">
        <f>'[24]Template '!$C$31</f>
        <v>0</v>
      </c>
      <c r="K23">
        <f>'[24]Template '!$C$32</f>
        <v>0.60294117647058831</v>
      </c>
      <c r="L23">
        <f>'[24]Template '!$C$33</f>
        <v>0.88492063492063477</v>
      </c>
      <c r="N23">
        <f>'[24]Template '!$C$74</f>
        <v>0.60909090909090913</v>
      </c>
      <c r="O23" t="str">
        <f>'[24]Template '!$C$75</f>
        <v>n/a</v>
      </c>
      <c r="P23">
        <f>'[24]Template '!$C$76</f>
        <v>0.21428571428571427</v>
      </c>
      <c r="Q23">
        <f>'[24]Template '!$C$77</f>
        <v>0.52380952380952372</v>
      </c>
      <c r="R23">
        <f>'[24]Template '!$C$78</f>
        <v>0.77380952380952372</v>
      </c>
      <c r="T23">
        <f>'[24]Template '!$C$96</f>
        <v>0.4375</v>
      </c>
      <c r="U23">
        <f>'[24]Template '!$C$97</f>
        <v>0.51111111111111107</v>
      </c>
      <c r="V23">
        <f>'[24]Template '!$C$98</f>
        <v>0.5</v>
      </c>
      <c r="W23">
        <f>'[24]Template '!$C$99</f>
        <v>0.64646464646464641</v>
      </c>
      <c r="X23">
        <f>'[24]Template '!$C$100</f>
        <v>0.97619047619047616</v>
      </c>
      <c r="Z23">
        <f>'[24]Template '!$C$52</f>
        <v>0.20555555555555557</v>
      </c>
      <c r="AA23">
        <f>'[24]Template '!$C$53</f>
        <v>0.51111111111111107</v>
      </c>
      <c r="AB23">
        <f>'[24]Template '!$C$54</f>
        <v>0</v>
      </c>
      <c r="AC23">
        <f>'[24]Template '!$C$55</f>
        <v>0.41666666666666669</v>
      </c>
      <c r="AD23">
        <f>'[24]Template '!$C$56</f>
        <v>0.90873015873015872</v>
      </c>
      <c r="AF23">
        <f>'[24]Template '!$Z$30</f>
        <v>0</v>
      </c>
      <c r="AG23">
        <f>'[24]Template '!$AB$75</f>
        <v>0</v>
      </c>
      <c r="AH23">
        <f>'[24]Template '!$AD$75</f>
        <v>0</v>
      </c>
      <c r="AI23">
        <f>'[24]Template '!$AF$75</f>
        <v>0</v>
      </c>
      <c r="AJ23">
        <f>'[24]Template '!$AR$97</f>
        <v>1</v>
      </c>
      <c r="AK23">
        <f>'[24]Template '!$AS$97</f>
        <v>1</v>
      </c>
      <c r="AL23">
        <f>'[24]Template '!$AZ$97</f>
        <v>0</v>
      </c>
      <c r="AM23">
        <f>'[24]Template '!$BB$97</f>
        <v>0</v>
      </c>
      <c r="AN23">
        <f>'[24]Template '!$AU$53</f>
        <v>1</v>
      </c>
      <c r="AO23">
        <f>'[24]Template '!$AV$53</f>
        <v>1</v>
      </c>
      <c r="AP23">
        <f>'[24]Template '!$AY$53</f>
        <v>0</v>
      </c>
      <c r="AQ23">
        <f>'[24]Template '!$AX$53</f>
        <v>1</v>
      </c>
      <c r="AR23">
        <f>'[24]Template '!$AZ$53</f>
        <v>0</v>
      </c>
      <c r="AS23">
        <f>'[24]Template '!$BF$53</f>
        <v>0</v>
      </c>
      <c r="AT23">
        <f t="shared" si="2"/>
        <v>0</v>
      </c>
      <c r="AU23">
        <f t="shared" si="3"/>
        <v>5</v>
      </c>
      <c r="AV23">
        <f t="shared" si="4"/>
        <v>5</v>
      </c>
      <c r="BY23"/>
    </row>
    <row r="24" spans="2:119" x14ac:dyDescent="0.2">
      <c r="B24" t="s">
        <v>132</v>
      </c>
      <c r="D24" t="str">
        <f t="shared" si="0"/>
        <v>M_085.xlsx</v>
      </c>
      <c r="F24" t="str">
        <f>'[26]Template '!$C$2</f>
        <v>D+M</v>
      </c>
      <c r="H24">
        <f>'[26]Template '!$C$29</f>
        <v>0.44444444444444448</v>
      </c>
      <c r="I24" t="str">
        <f>'[26]Template '!$C$30</f>
        <v>n/a</v>
      </c>
      <c r="J24">
        <f>'[26]Template '!$C$31</f>
        <v>0</v>
      </c>
      <c r="K24">
        <f>'[26]Template '!$C$32</f>
        <v>0.68954248366013071</v>
      </c>
      <c r="L24">
        <f>'[26]Template '!$C$33</f>
        <v>0.64682539682539675</v>
      </c>
      <c r="N24">
        <f>'[26]Template '!$C$74</f>
        <v>0.7</v>
      </c>
      <c r="O24" t="str">
        <f>'[26]Template '!$C$75</f>
        <v>n/a</v>
      </c>
      <c r="P24">
        <f>'[26]Template '!$C$76</f>
        <v>0.3571428571428571</v>
      </c>
      <c r="Q24">
        <f>'[26]Template '!$C$77</f>
        <v>0.59226190476190466</v>
      </c>
      <c r="R24">
        <f>'[26]Template '!$C$78</f>
        <v>0.5357142857142857</v>
      </c>
      <c r="T24">
        <f>'[26]Template '!$C$96</f>
        <v>0.75</v>
      </c>
      <c r="U24">
        <f>'[26]Template '!$C$97</f>
        <v>0.5185185185185186</v>
      </c>
      <c r="V24">
        <f>'[26]Template '!$C$98</f>
        <v>0</v>
      </c>
      <c r="W24">
        <f>'[26]Template '!$C$99</f>
        <v>0.45598845598845594</v>
      </c>
      <c r="X24">
        <f>'[26]Template '!$C$100</f>
        <v>0.74761904761904763</v>
      </c>
      <c r="Z24">
        <f>'[26]Template '!$C$52</f>
        <v>0.47222222222222221</v>
      </c>
      <c r="AA24">
        <f>'[26]Template '!$C$53</f>
        <v>0.5185185185185186</v>
      </c>
      <c r="AB24">
        <f>'[26]Template '!$C$54</f>
        <v>0</v>
      </c>
      <c r="AC24">
        <f>'[26]Template '!$C$55</f>
        <v>0.31018518518518517</v>
      </c>
      <c r="AD24">
        <f>'[26]Template '!$C$56</f>
        <v>0.61269841269841274</v>
      </c>
      <c r="AF24">
        <f>'[26]Template '!$Z$30</f>
        <v>0</v>
      </c>
      <c r="AG24">
        <f>'[26]Template '!$AB$75</f>
        <v>0</v>
      </c>
      <c r="AH24">
        <f>'[26]Template '!$AD$75</f>
        <v>0</v>
      </c>
      <c r="AI24">
        <f>'[26]Template '!$AF$75</f>
        <v>0</v>
      </c>
      <c r="AJ24">
        <f>'[26]Template '!$AR$97</f>
        <v>0</v>
      </c>
      <c r="AK24">
        <f>'[26]Template '!$AS$97</f>
        <v>1</v>
      </c>
      <c r="AL24">
        <f>'[26]Template '!$AZ$97</f>
        <v>0</v>
      </c>
      <c r="AM24">
        <f>'[26]Template '!$BB$97</f>
        <v>0</v>
      </c>
      <c r="AN24">
        <f>'[26]Template '!$AU$53</f>
        <v>1</v>
      </c>
      <c r="AO24">
        <f>'[26]Template '!$AV$53</f>
        <v>1</v>
      </c>
      <c r="AP24">
        <f>'[26]Template '!$AY$53</f>
        <v>0</v>
      </c>
      <c r="AQ24">
        <f>'[26]Template '!$AX$53</f>
        <v>0</v>
      </c>
      <c r="AR24">
        <f>'[26]Template '!$AZ$53</f>
        <v>0</v>
      </c>
      <c r="AS24">
        <f>'[26]Template '!$BF$53</f>
        <v>0</v>
      </c>
      <c r="AT24">
        <f t="shared" si="2"/>
        <v>0</v>
      </c>
      <c r="AU24">
        <f t="shared" si="3"/>
        <v>3</v>
      </c>
      <c r="AV24">
        <f t="shared" si="4"/>
        <v>3</v>
      </c>
      <c r="BY24"/>
    </row>
    <row r="25" spans="2:119" x14ac:dyDescent="0.2">
      <c r="B25" t="s">
        <v>136</v>
      </c>
      <c r="D25" t="str">
        <f t="shared" si="0"/>
        <v>M_090.xlsx</v>
      </c>
      <c r="F25" t="str">
        <f>'[28]Template '!$C$2</f>
        <v>D+M</v>
      </c>
      <c r="H25">
        <f>'[28]Template '!$C$29</f>
        <v>0.3888888888888889</v>
      </c>
      <c r="I25" t="str">
        <f>'[28]Template '!$C$30</f>
        <v>n/a</v>
      </c>
      <c r="J25">
        <f>'[28]Template '!$C$31</f>
        <v>0.58333333333333326</v>
      </c>
      <c r="K25">
        <f>'[28]Template '!$C$32</f>
        <v>0.54411764705882359</v>
      </c>
      <c r="L25">
        <f>'[28]Template '!$C$33</f>
        <v>0.54761904761904756</v>
      </c>
      <c r="N25">
        <f>'[28]Template '!$C$74</f>
        <v>0.7</v>
      </c>
      <c r="O25" t="str">
        <f>'[28]Template '!$C$75</f>
        <v>n/a</v>
      </c>
      <c r="P25">
        <f>'[28]Template '!$C$76</f>
        <v>0.4642857142857143</v>
      </c>
      <c r="Q25">
        <f>'[28]Template '!$C$77</f>
        <v>0.61904761904761907</v>
      </c>
      <c r="R25">
        <f>'[28]Template '!$C$78</f>
        <v>0.78571428571428559</v>
      </c>
      <c r="T25">
        <f>'[28]Template '!$C$96</f>
        <v>0.66666666666666663</v>
      </c>
      <c r="U25">
        <f>'[28]Template '!$C$97</f>
        <v>0.24444444444444446</v>
      </c>
      <c r="V25">
        <f>'[28]Template '!$C$98</f>
        <v>0.5</v>
      </c>
      <c r="W25">
        <f>'[28]Template '!$C$99</f>
        <v>0.50360750360750361</v>
      </c>
      <c r="X25">
        <f>'[28]Template '!$C$100</f>
        <v>0.56666666666666665</v>
      </c>
      <c r="Z25">
        <f>'[28]Template '!$C$52</f>
        <v>0.64444444444444438</v>
      </c>
      <c r="AA25">
        <f>'[28]Template '!$C$53</f>
        <v>0.24444444444444446</v>
      </c>
      <c r="AB25">
        <f>'[28]Template '!$C$54</f>
        <v>0.5</v>
      </c>
      <c r="AC25">
        <f>'[28]Template '!$C$55</f>
        <v>0.1875</v>
      </c>
      <c r="AD25">
        <f>'[28]Template '!$C$56</f>
        <v>0.70198412698412704</v>
      </c>
      <c r="AF25">
        <f>'[28]Template '!$Z$30</f>
        <v>0</v>
      </c>
      <c r="AG25">
        <f>'[28]Template '!$AB$75</f>
        <v>0.5</v>
      </c>
      <c r="AH25">
        <f>'[28]Template '!$AD$75</f>
        <v>0.5</v>
      </c>
      <c r="AI25">
        <f>'[28]Template '!$AF$75</f>
        <v>0</v>
      </c>
      <c r="AJ25">
        <f>'[28]Template '!$AR$97</f>
        <v>1</v>
      </c>
      <c r="AK25">
        <f>'[28]Template '!$AS$97</f>
        <v>1</v>
      </c>
      <c r="AL25">
        <f>'[28]Template '!$AZ$97</f>
        <v>0</v>
      </c>
      <c r="AM25">
        <f>'[28]Template '!$BB$97</f>
        <v>0</v>
      </c>
      <c r="AN25">
        <f>'[28]Template '!$AU$53</f>
        <v>0</v>
      </c>
      <c r="AO25">
        <f>'[28]Template '!$AV$53</f>
        <v>0</v>
      </c>
      <c r="AP25">
        <f>'[28]Template '!$AY$53</f>
        <v>0</v>
      </c>
      <c r="AQ25">
        <f>'[28]Template '!$AX$53</f>
        <v>0</v>
      </c>
      <c r="AR25">
        <f>'[28]Template '!$AZ$53</f>
        <v>0</v>
      </c>
      <c r="AS25">
        <f>'[28]Template '!$BF$53</f>
        <v>0</v>
      </c>
      <c r="AT25">
        <f t="shared" si="2"/>
        <v>1</v>
      </c>
      <c r="AU25">
        <f t="shared" si="3"/>
        <v>2</v>
      </c>
      <c r="AV25">
        <f t="shared" si="4"/>
        <v>3</v>
      </c>
      <c r="BY25"/>
    </row>
    <row r="26" spans="2:119" x14ac:dyDescent="0.2">
      <c r="B26" t="s">
        <v>137</v>
      </c>
      <c r="D26" t="str">
        <f t="shared" si="0"/>
        <v>M_091.xlsx</v>
      </c>
      <c r="F26" t="str">
        <f>'[29]Template '!$C$2</f>
        <v>D+M</v>
      </c>
      <c r="H26">
        <f>'[29]Template '!$C$29</f>
        <v>0.27777777777777779</v>
      </c>
      <c r="I26" t="str">
        <f>'[29]Template '!$C$30</f>
        <v>n/a</v>
      </c>
      <c r="J26">
        <f>'[29]Template '!$C$31</f>
        <v>0.58333333333333326</v>
      </c>
      <c r="K26">
        <f>'[29]Template '!$C$32</f>
        <v>0.54411764705882359</v>
      </c>
      <c r="L26">
        <f>'[29]Template '!$C$33</f>
        <v>0.80952380952380942</v>
      </c>
      <c r="N26">
        <f>'[29]Template '!$C$74</f>
        <v>0.7</v>
      </c>
      <c r="O26" t="str">
        <f>'[29]Template '!$C$75</f>
        <v>n/a</v>
      </c>
      <c r="P26">
        <f>'[29]Template '!$C$76</f>
        <v>0.4642857142857143</v>
      </c>
      <c r="Q26">
        <f>'[29]Template '!$C$77</f>
        <v>0.64285714285714279</v>
      </c>
      <c r="R26">
        <f>'[29]Template '!$C$78</f>
        <v>0.93253968253968245</v>
      </c>
      <c r="T26">
        <f>'[29]Template '!$C$96</f>
        <v>0.75</v>
      </c>
      <c r="U26">
        <f>'[29]Template '!$C$97</f>
        <v>0.58518518518518514</v>
      </c>
      <c r="V26">
        <f>'[29]Template '!$C$98</f>
        <v>0.5</v>
      </c>
      <c r="W26">
        <f>'[29]Template '!$C$99</f>
        <v>0.74603174603174605</v>
      </c>
      <c r="X26">
        <f>'[29]Template '!$C$100</f>
        <v>0.98809523809523814</v>
      </c>
      <c r="Z26">
        <f>'[29]Template '!$C$52</f>
        <v>0.7</v>
      </c>
      <c r="AA26">
        <f>'[29]Template '!$C$53</f>
        <v>0.58518518518518514</v>
      </c>
      <c r="AB26">
        <f>'[29]Template '!$C$54</f>
        <v>0.5</v>
      </c>
      <c r="AC26">
        <f>'[29]Template '!$C$55</f>
        <v>0.45833333333333331</v>
      </c>
      <c r="AD26">
        <f>'[29]Template '!$C$56</f>
        <v>0.90952380952380951</v>
      </c>
      <c r="AF26">
        <f>'[29]Template '!$Z$30</f>
        <v>0</v>
      </c>
      <c r="AG26">
        <f>'[29]Template '!$AB$75</f>
        <v>0</v>
      </c>
      <c r="AH26">
        <f>'[29]Template '!$AD$75</f>
        <v>1</v>
      </c>
      <c r="AI26">
        <f>'[29]Template '!$AF$75</f>
        <v>0</v>
      </c>
      <c r="AJ26">
        <f>'[29]Template '!$AR$97</f>
        <v>1</v>
      </c>
      <c r="AK26">
        <f>'[29]Template '!$AS$97</f>
        <v>1</v>
      </c>
      <c r="AL26">
        <f>'[29]Template '!$AZ$97</f>
        <v>1</v>
      </c>
      <c r="AM26">
        <f>'[29]Template '!$BB$97</f>
        <v>1</v>
      </c>
      <c r="AN26">
        <f>'[29]Template '!$AU$53</f>
        <v>1</v>
      </c>
      <c r="AO26">
        <f>'[29]Template '!$AV$53</f>
        <v>1</v>
      </c>
      <c r="AP26">
        <f>'[29]Template '!$AY$53</f>
        <v>1</v>
      </c>
      <c r="AQ26">
        <f>'[29]Template '!$AX$53</f>
        <v>0</v>
      </c>
      <c r="AR26">
        <f>'[29]Template '!$AZ$53</f>
        <v>0</v>
      </c>
      <c r="AS26">
        <f>'[29]Template '!$BF$53</f>
        <v>0</v>
      </c>
      <c r="AT26">
        <f t="shared" si="2"/>
        <v>1</v>
      </c>
      <c r="AU26">
        <f t="shared" si="3"/>
        <v>7</v>
      </c>
      <c r="AV26">
        <f t="shared" si="4"/>
        <v>8</v>
      </c>
      <c r="BY26"/>
    </row>
    <row r="27" spans="2:119" x14ac:dyDescent="0.2">
      <c r="B27" t="s">
        <v>142</v>
      </c>
      <c r="D27" t="str">
        <f t="shared" si="0"/>
        <v>M_096.xlsx</v>
      </c>
      <c r="F27" t="str">
        <f>'[34]Template '!$C$2</f>
        <v>D+M</v>
      </c>
      <c r="H27">
        <f>'[34]Template '!$C$29</f>
        <v>0.3888888888888889</v>
      </c>
      <c r="I27" t="str">
        <f>'[34]Template '!$C$30</f>
        <v>n/a</v>
      </c>
      <c r="J27">
        <f>'[34]Template '!$C$31</f>
        <v>0.33333333333333331</v>
      </c>
      <c r="K27">
        <f>'[34]Template '!$C$32</f>
        <v>0.81617647058823528</v>
      </c>
      <c r="L27">
        <f>'[34]Template '!$C$33</f>
        <v>0.70238095238095222</v>
      </c>
      <c r="N27">
        <f>'[34]Template '!$C$74</f>
        <v>0.47272727272727272</v>
      </c>
      <c r="O27" t="str">
        <f>'[34]Template '!$C$75</f>
        <v>n/a</v>
      </c>
      <c r="P27">
        <f>'[34]Template '!$C$76</f>
        <v>0.4642857142857143</v>
      </c>
      <c r="Q27">
        <f>'[34]Template '!$C$77</f>
        <v>0.52380952380952372</v>
      </c>
      <c r="R27">
        <f>'[34]Template '!$C$78</f>
        <v>0.70238095238095222</v>
      </c>
      <c r="T27">
        <f>'[34]Template '!$C$96</f>
        <v>0.75</v>
      </c>
      <c r="U27">
        <f>'[34]Template '!$C$97</f>
        <v>0.2074074074074074</v>
      </c>
      <c r="V27">
        <f>'[34]Template '!$C$98</f>
        <v>0</v>
      </c>
      <c r="W27">
        <f>'[34]Template '!$C$99</f>
        <v>0.51659451659451661</v>
      </c>
      <c r="X27">
        <f>'[34]Template '!$C$100</f>
        <v>0.94047619047619035</v>
      </c>
      <c r="Z27">
        <f>'[34]Template '!$C$52</f>
        <v>0.69444444444444442</v>
      </c>
      <c r="AA27">
        <f>'[34]Template '!$C$53</f>
        <v>0.2074074074074074</v>
      </c>
      <c r="AB27">
        <f>'[34]Template '!$C$54</f>
        <v>0.5</v>
      </c>
      <c r="AC27">
        <f>'[34]Template '!$C$55</f>
        <v>0.33035714285714285</v>
      </c>
      <c r="AD27">
        <f>'[34]Template '!$C$56</f>
        <v>0.70238095238095244</v>
      </c>
      <c r="AF27">
        <f>'[34]Template '!$Z$30</f>
        <v>1</v>
      </c>
      <c r="AG27">
        <f>'[34]Template '!$AB$75</f>
        <v>0</v>
      </c>
      <c r="AH27">
        <f>'[34]Template '!$AD$75</f>
        <v>0</v>
      </c>
      <c r="AI27">
        <f>'[34]Template '!$AF$75</f>
        <v>0</v>
      </c>
      <c r="AJ27">
        <f>'[34]Template '!$AR$97</f>
        <v>0</v>
      </c>
      <c r="AK27">
        <f>'[34]Template '!$AS$97</f>
        <v>0</v>
      </c>
      <c r="AL27">
        <f>'[34]Template '!$AZ$97</f>
        <v>0</v>
      </c>
      <c r="AM27">
        <f>'[34]Template '!$BB$97</f>
        <v>1</v>
      </c>
      <c r="AN27">
        <f>'[34]Template '!$AU$53</f>
        <v>0</v>
      </c>
      <c r="AO27">
        <f>'[34]Template '!$AV$53</f>
        <v>0</v>
      </c>
      <c r="AP27">
        <f>'[34]Template '!$AY$53</f>
        <v>0</v>
      </c>
      <c r="AQ27">
        <f>'[34]Template '!$AX$53</f>
        <v>0</v>
      </c>
      <c r="AR27">
        <f>'[34]Template '!$AZ$53</f>
        <v>1</v>
      </c>
      <c r="AS27">
        <f>'[34]Template '!$BF$53</f>
        <v>0</v>
      </c>
      <c r="AT27">
        <f t="shared" si="2"/>
        <v>1</v>
      </c>
      <c r="AU27">
        <f t="shared" si="3"/>
        <v>2</v>
      </c>
      <c r="AV27">
        <f t="shared" si="4"/>
        <v>3</v>
      </c>
      <c r="BY27"/>
    </row>
    <row r="28" spans="2:119" x14ac:dyDescent="0.2">
      <c r="B28" t="s">
        <v>143</v>
      </c>
      <c r="D28" t="str">
        <f>CONCATENATE(B28,".xlsx")</f>
        <v>M_098.xlsx</v>
      </c>
      <c r="F28" t="str">
        <f>'[35]Template '!$C$2</f>
        <v>D+M</v>
      </c>
      <c r="H28">
        <f>'[35]Template '!$C$29</f>
        <v>0.44444444444444448</v>
      </c>
      <c r="I28" t="str">
        <f>'[35]Template '!$C$30</f>
        <v>n/a</v>
      </c>
      <c r="J28">
        <f>'[35]Template '!$C$31</f>
        <v>0.33333333333333331</v>
      </c>
      <c r="K28">
        <f>'[35]Template '!$C$32</f>
        <v>0.72794117647058831</v>
      </c>
      <c r="L28">
        <f>'[35]Template '!$C$33</f>
        <v>0.78174603174603163</v>
      </c>
      <c r="N28">
        <f>'[35]Template '!$C$74</f>
        <v>0.60909090909090913</v>
      </c>
      <c r="O28" t="str">
        <f>'[35]Template '!$C$75</f>
        <v>n/a</v>
      </c>
      <c r="P28">
        <f>'[35]Template '!$C$76</f>
        <v>0.21428571428571427</v>
      </c>
      <c r="Q28">
        <f>'[35]Template '!$C$77</f>
        <v>0.52380952380952372</v>
      </c>
      <c r="R28">
        <f>'[35]Template '!$C$78</f>
        <v>0.87301587301587291</v>
      </c>
      <c r="T28">
        <f>'[35]Template '!$C$96</f>
        <v>0.8</v>
      </c>
      <c r="U28">
        <f>'[35]Template '!$C$97</f>
        <v>0.37777777777777777</v>
      </c>
      <c r="V28">
        <f>'[35]Template '!$C$98</f>
        <v>0.5</v>
      </c>
      <c r="W28">
        <f>'[35]Template '!$C$99</f>
        <v>0.76767676767676762</v>
      </c>
      <c r="X28">
        <f>'[35]Template '!$C$100</f>
        <v>0.97619047619047616</v>
      </c>
      <c r="Z28">
        <f>'[35]Template '!$C$52</f>
        <v>0.75</v>
      </c>
      <c r="AA28">
        <f>'[35]Template '!$C$53</f>
        <v>0.37777777777777777</v>
      </c>
      <c r="AB28">
        <f>'[35]Template '!$C$54</f>
        <v>0.5</v>
      </c>
      <c r="AC28">
        <f>'[35]Template '!$C$55</f>
        <v>0.35416666666666669</v>
      </c>
      <c r="AD28">
        <f>'[35]Template '!$C$56</f>
        <v>0.92857142857142849</v>
      </c>
      <c r="AF28">
        <f>'[35]Template '!$Z$30</f>
        <v>0</v>
      </c>
      <c r="AG28">
        <f>'[35]Template '!$AB$75</f>
        <v>0</v>
      </c>
      <c r="AH28">
        <f>'[35]Template '!$AD$75</f>
        <v>0</v>
      </c>
      <c r="AI28">
        <f>'[35]Template '!$AF$75</f>
        <v>0</v>
      </c>
      <c r="AJ28">
        <f>'[35]Template '!$AR$97</f>
        <v>1</v>
      </c>
      <c r="AK28">
        <f>'[35]Template '!$AS$97</f>
        <v>1</v>
      </c>
      <c r="AL28">
        <f>'[35]Template '!$AZ$97</f>
        <v>1</v>
      </c>
      <c r="AM28">
        <f>'[35]Template '!$BB$97</f>
        <v>0</v>
      </c>
      <c r="AN28">
        <f>'[35]Template '!$AU$53</f>
        <v>1</v>
      </c>
      <c r="AO28">
        <f>'[35]Template '!$AV$53</f>
        <v>0</v>
      </c>
      <c r="AP28">
        <f>'[35]Template '!$AY$53</f>
        <v>0</v>
      </c>
      <c r="AQ28">
        <f>'[35]Template '!$AX$53</f>
        <v>0</v>
      </c>
      <c r="AR28">
        <f>'[35]Template '!$AZ$53</f>
        <v>0</v>
      </c>
      <c r="AS28">
        <f>'[35]Template '!$BF$53</f>
        <v>0</v>
      </c>
      <c r="AT28">
        <f>SUM(AF28,AG28,AH28,AI28)</f>
        <v>0</v>
      </c>
      <c r="AU28">
        <f>SUM(AJ28:AS28)</f>
        <v>4</v>
      </c>
      <c r="AV28">
        <f>AT28+AU28</f>
        <v>4</v>
      </c>
      <c r="BY28"/>
    </row>
    <row r="29" spans="2:119" x14ac:dyDescent="0.2">
      <c r="BY29"/>
    </row>
    <row r="30" spans="2:119" x14ac:dyDescent="0.2">
      <c r="BY30"/>
    </row>
    <row r="31" spans="2:119" x14ac:dyDescent="0.2">
      <c r="BY31"/>
    </row>
    <row r="32" spans="2:119" s="22" customFormat="1" x14ac:dyDescent="0.2">
      <c r="DJ32" s="23"/>
      <c r="DL32" s="23"/>
      <c r="DO32" s="23"/>
    </row>
    <row r="33" spans="1:77" x14ac:dyDescent="0.2">
      <c r="BY33"/>
    </row>
    <row r="34" spans="1:77" x14ac:dyDescent="0.2">
      <c r="A34" t="s">
        <v>156</v>
      </c>
      <c r="H34">
        <f>AVERAGE(H6:H33)</f>
        <v>0.43859649122807032</v>
      </c>
      <c r="J34">
        <f>AVERAGE(J6:J33)</f>
        <v>0.4517543859649123</v>
      </c>
      <c r="K34">
        <f>AVERAGE(K6:K33)</f>
        <v>0.63377192982456154</v>
      </c>
      <c r="L34">
        <f>AVERAGE(L6:L33)</f>
        <v>0.7578320802005013</v>
      </c>
      <c r="N34">
        <f>AVERAGE(N6:N33)</f>
        <v>0.62703349282296639</v>
      </c>
      <c r="P34">
        <f>AVERAGE(P6:P33)</f>
        <v>0.41165413533834583</v>
      </c>
      <c r="Q34">
        <f>AVERAGE(Q6:Q33)</f>
        <v>0.53798558897243109</v>
      </c>
      <c r="R34">
        <f>AVERAGE(R6:R33)</f>
        <v>0.75814536340852146</v>
      </c>
      <c r="T34">
        <f>AVERAGE(T6:T33)</f>
        <v>0.68815789473684219</v>
      </c>
      <c r="U34">
        <f>AVERAGE(U6:U33)</f>
        <v>0.45009746588693966</v>
      </c>
      <c r="V34">
        <f>AVERAGE(V6:V33)</f>
        <v>0.43421052631578949</v>
      </c>
      <c r="W34">
        <f>AVERAGE(W6:W33)</f>
        <v>0.54125956602736791</v>
      </c>
      <c r="X34">
        <f>AVERAGE(X6:X33)</f>
        <v>0.79730576441102741</v>
      </c>
      <c r="Z34">
        <f>AVERAGE(Z6:Z33)</f>
        <v>0.66409774436090208</v>
      </c>
      <c r="AA34">
        <f>AVERAGE(AA6:AA33)</f>
        <v>0.45009746588693966</v>
      </c>
      <c r="AB34">
        <f>AVERAGE(AB6:AB33)</f>
        <v>0.36842105263157893</v>
      </c>
      <c r="AC34">
        <f>AVERAGE(AC6:AC33)</f>
        <v>0.37339007240323036</v>
      </c>
      <c r="AD34">
        <f>AVERAGE(AD6:AD33)</f>
        <v>0.79413116123642435</v>
      </c>
      <c r="AF34">
        <f t="shared" ref="AF34:AV34" si="5">AVERAGE(AF6:AF33)</f>
        <v>0.10526315789473684</v>
      </c>
      <c r="AG34">
        <f t="shared" si="5"/>
        <v>7.8947368421052627E-2</v>
      </c>
      <c r="AH34">
        <f t="shared" si="5"/>
        <v>0.23684210526315788</v>
      </c>
      <c r="AI34">
        <f t="shared" si="5"/>
        <v>0</v>
      </c>
      <c r="AJ34">
        <f t="shared" si="5"/>
        <v>0.44736842105263158</v>
      </c>
      <c r="AK34">
        <f t="shared" si="5"/>
        <v>0.5</v>
      </c>
      <c r="AL34">
        <f t="shared" si="5"/>
        <v>0.28947368421052633</v>
      </c>
      <c r="AM34">
        <f t="shared" si="5"/>
        <v>0.44736842105263158</v>
      </c>
      <c r="AN34">
        <f t="shared" si="5"/>
        <v>0.63157894736842102</v>
      </c>
      <c r="AO34">
        <f t="shared" si="5"/>
        <v>0.47368421052631576</v>
      </c>
      <c r="AP34">
        <f t="shared" si="5"/>
        <v>0.26315789473684209</v>
      </c>
      <c r="AQ34">
        <f t="shared" si="5"/>
        <v>0.26315789473684209</v>
      </c>
      <c r="AR34">
        <f t="shared" si="5"/>
        <v>0.10526315789473684</v>
      </c>
      <c r="AS34">
        <f t="shared" si="5"/>
        <v>0.10526315789473684</v>
      </c>
      <c r="AT34">
        <f t="shared" si="5"/>
        <v>0.42105263157894735</v>
      </c>
      <c r="AU34">
        <f t="shared" si="5"/>
        <v>3.5263157894736841</v>
      </c>
      <c r="AV34">
        <f t="shared" si="5"/>
        <v>3.9473684210526314</v>
      </c>
      <c r="BY34"/>
    </row>
    <row r="35" spans="1:77" x14ac:dyDescent="0.2">
      <c r="A35" t="s">
        <v>157</v>
      </c>
      <c r="H35">
        <f>STDEV(H6:H34)</f>
        <v>0.15572749148953161</v>
      </c>
      <c r="J35">
        <f>STDEV(J6:J34)</f>
        <v>0.22991828810668688</v>
      </c>
      <c r="K35">
        <f>STDEV(K6:K34)</f>
        <v>0.10531891269907791</v>
      </c>
      <c r="L35">
        <f>STDEV(L6:L34)</f>
        <v>0.11029783833664886</v>
      </c>
      <c r="N35">
        <f>STDEV(N6:N34)</f>
        <v>7.7187874664602973E-2</v>
      </c>
      <c r="P35">
        <f>STDEV(P6:P34)</f>
        <v>0.16766242948103566</v>
      </c>
      <c r="Q35">
        <f>STDEV(Q6:Q34)</f>
        <v>8.269927566798943E-2</v>
      </c>
      <c r="R35">
        <f>STDEV(R6:R34)</f>
        <v>0.11413727018912562</v>
      </c>
      <c r="T35">
        <f>STDEV(T6:T34)</f>
        <v>0.12528485932340314</v>
      </c>
      <c r="U35">
        <f>STDEV(U6:U34)</f>
        <v>0.12986260557487234</v>
      </c>
      <c r="V35">
        <f>STDEV(V6:V34)</f>
        <v>0.27912109783679501</v>
      </c>
      <c r="W35">
        <f>STDEV(W6:W34)</f>
        <v>0.17086164874399448</v>
      </c>
      <c r="X35">
        <f>STDEV(X6:X34)</f>
        <v>0.14310758348964173</v>
      </c>
      <c r="Z35">
        <f>STDEV(Z6:Z34)</f>
        <v>0.13481108681187751</v>
      </c>
      <c r="AA35">
        <f>STDEV(AA6:AA34)</f>
        <v>0.12986260557487234</v>
      </c>
      <c r="AB35">
        <f>STDEV(AB6:AB34)</f>
        <v>0.27348170645824382</v>
      </c>
      <c r="AC35">
        <f>STDEV(AC6:AC34)</f>
        <v>0.13174292519947187</v>
      </c>
      <c r="AD35">
        <f>STDEV(AD6:AD34)</f>
        <v>0.11316147197594351</v>
      </c>
      <c r="AF35">
        <f t="shared" ref="AF35:AV35" si="6">STDEV(AF6:AF33)</f>
        <v>0.31530176764230577</v>
      </c>
      <c r="AG35">
        <f t="shared" si="6"/>
        <v>0.25072992856063953</v>
      </c>
      <c r="AH35">
        <f t="shared" si="6"/>
        <v>0.42059551209602991</v>
      </c>
      <c r="AI35">
        <f t="shared" si="6"/>
        <v>0</v>
      </c>
      <c r="AJ35">
        <f t="shared" si="6"/>
        <v>0.46829290579084698</v>
      </c>
      <c r="AK35">
        <f t="shared" si="6"/>
        <v>0.5</v>
      </c>
      <c r="AL35">
        <f t="shared" si="6"/>
        <v>0.4188539082916955</v>
      </c>
      <c r="AM35">
        <f t="shared" si="6"/>
        <v>0.49706742338621718</v>
      </c>
      <c r="AN35">
        <f t="shared" si="6"/>
        <v>0.46672931910256243</v>
      </c>
      <c r="AO35">
        <f t="shared" si="6"/>
        <v>0.48515988803595905</v>
      </c>
      <c r="AP35">
        <f t="shared" si="6"/>
        <v>0.42059551209602991</v>
      </c>
      <c r="AQ35">
        <f t="shared" si="6"/>
        <v>0.45241392835886407</v>
      </c>
      <c r="AR35">
        <f t="shared" si="6"/>
        <v>0.31530176764230577</v>
      </c>
      <c r="AS35">
        <f t="shared" si="6"/>
        <v>0.26765168951565538</v>
      </c>
      <c r="AT35">
        <f t="shared" si="6"/>
        <v>0.69248260898212466</v>
      </c>
      <c r="AU35">
        <f t="shared" si="6"/>
        <v>2.2880953032946558</v>
      </c>
      <c r="AV35">
        <f t="shared" si="6"/>
        <v>2.5434815205961367</v>
      </c>
      <c r="BY35"/>
    </row>
    <row r="36" spans="1:77" x14ac:dyDescent="0.2">
      <c r="BY36"/>
    </row>
    <row r="37" spans="1:77" x14ac:dyDescent="0.2">
      <c r="BY37"/>
    </row>
    <row r="38" spans="1:77" x14ac:dyDescent="0.2">
      <c r="BY38"/>
    </row>
    <row r="39" spans="1:77" x14ac:dyDescent="0.2">
      <c r="F39" t="s">
        <v>158</v>
      </c>
      <c r="H39" s="13">
        <f>TTEST(H6:H33,'Didactic only'!H6:H28,2,2)</f>
        <v>9.9553193202171615E-6</v>
      </c>
      <c r="J39">
        <f>TTEST(J6:J33,'Didactic only'!J6:J28,2,2)</f>
        <v>0.38138964608322856</v>
      </c>
      <c r="K39" s="13">
        <f>TTEST(K6:K33,'Didactic only'!K6:K28,2,2)</f>
        <v>1.2476618029218995E-3</v>
      </c>
      <c r="L39" s="13">
        <f>TTEST(L6:L33,'Didactic only'!L6:L28,2,2)</f>
        <v>5.171241687020692E-6</v>
      </c>
      <c r="N39" s="13">
        <f>TTEST(N6:N33,'Didactic only'!N6:N28,2,2)</f>
        <v>4.4350781463020132E-6</v>
      </c>
      <c r="P39">
        <f>TTEST(P6:P33,'Didactic only'!P6:P28,2,2)</f>
        <v>0.11242132833949502</v>
      </c>
      <c r="Q39">
        <f>TTEST(Q6:Q33,'Didactic only'!Q6:Q28,2,2)</f>
        <v>2.3439104755881349E-2</v>
      </c>
      <c r="R39" s="13">
        <f>TTEST(R6:R33,'Didactic only'!R6:R28,2,2)</f>
        <v>7.9873639548649675E-6</v>
      </c>
      <c r="T39" s="13">
        <f>TTEST(T6:T33,'Didactic only'!T6:T28,2,2)</f>
        <v>1.0758739104955141E-4</v>
      </c>
      <c r="U39">
        <f>TTEST(U6:U33,'Didactic only'!U6:U28,2,2)</f>
        <v>0.35144686410197978</v>
      </c>
      <c r="V39">
        <f>TTEST(V6:V33,'Didactic only'!V6:V28,2,2)</f>
        <v>0.34359042141230145</v>
      </c>
      <c r="W39" s="13">
        <f>TTEST(W6:W33,'Didactic only'!W6:W28,2,2)</f>
        <v>1.3744946659445938E-4</v>
      </c>
      <c r="X39" s="13">
        <f>TTEST(X6:X33,'Didactic only'!X6:X28,2,2)</f>
        <v>2.8985369118461455E-4</v>
      </c>
      <c r="Z39" s="13">
        <f>TTEST(Z6:Z33,'Didactic only'!Z6:Z28,2,2)</f>
        <v>3.3856575298694526E-7</v>
      </c>
      <c r="AA39">
        <f>TTEST(AA6:AA33,'Didactic only'!AA6:AA28,2,2)</f>
        <v>0.35144686410197978</v>
      </c>
      <c r="AB39">
        <f>TTEST(AB6:AB33,'Didactic only'!AB6:AB28,2,2)</f>
        <v>0.59522128564334298</v>
      </c>
      <c r="AC39">
        <f>TTEST(AC6:AC33,'Didactic only'!AC6:AC28,2,2)</f>
        <v>5.2023814137277941E-2</v>
      </c>
      <c r="AD39" s="13">
        <f>TTEST(AD6:AD33,'Didactic only'!AD6:AD28,2,2)</f>
        <v>5.9280933485379586E-5</v>
      </c>
      <c r="AT39">
        <f>TTEST(AT6:AT33,'Didactic only'!AT6:AT28,2,2)</f>
        <v>0.88697161493074839</v>
      </c>
      <c r="AU39" s="13">
        <f>TTEST(AU6:AU33,'Didactic only'!AU6:AU28,2,2)</f>
        <v>3.6306290592471205E-3</v>
      </c>
      <c r="AV39" s="13">
        <f>TTEST(AV6:AV33,'Didactic only'!AV6:AV28,2,2)</f>
        <v>1.1011397469591183E-2</v>
      </c>
      <c r="BY39"/>
    </row>
    <row r="40" spans="1:77" x14ac:dyDescent="0.2">
      <c r="BY40"/>
    </row>
    <row r="41" spans="1:77" x14ac:dyDescent="0.2">
      <c r="BY41"/>
    </row>
    <row r="42" spans="1:77" x14ac:dyDescent="0.2">
      <c r="BY42"/>
    </row>
    <row r="43" spans="1:77" x14ac:dyDescent="0.2">
      <c r="BY43"/>
    </row>
    <row r="44" spans="1:77" x14ac:dyDescent="0.2">
      <c r="BY44"/>
    </row>
    <row r="45" spans="1:77" x14ac:dyDescent="0.2">
      <c r="BY45"/>
    </row>
    <row r="46" spans="1:77" x14ac:dyDescent="0.2">
      <c r="BY46"/>
    </row>
    <row r="47" spans="1:77" x14ac:dyDescent="0.2">
      <c r="BY47"/>
    </row>
    <row r="48" spans="1:77" x14ac:dyDescent="0.2">
      <c r="BY48"/>
    </row>
    <row r="49" spans="77:119" x14ac:dyDescent="0.2">
      <c r="BY49"/>
    </row>
    <row r="50" spans="77:119" x14ac:dyDescent="0.2">
      <c r="BY50"/>
    </row>
    <row r="51" spans="77:119" x14ac:dyDescent="0.2">
      <c r="BY51" s="20"/>
      <c r="DJ51" s="6"/>
      <c r="DL51" s="6"/>
      <c r="DO51" s="6"/>
    </row>
    <row r="52" spans="77:119" x14ac:dyDescent="0.2">
      <c r="BY52" s="20"/>
      <c r="DJ52" s="6"/>
      <c r="DL52" s="6"/>
      <c r="DO52" s="6"/>
    </row>
    <row r="53" spans="77:119" x14ac:dyDescent="0.2">
      <c r="BY53" s="20"/>
      <c r="DJ53" s="6"/>
      <c r="DL53" s="6"/>
      <c r="DO53" s="6"/>
    </row>
    <row r="54" spans="77:119" x14ac:dyDescent="0.2">
      <c r="BY54" s="21"/>
      <c r="DJ54" s="7"/>
      <c r="DL54" s="7"/>
      <c r="DO54" s="7"/>
    </row>
    <row r="55" spans="77:119" x14ac:dyDescent="0.2">
      <c r="BY55" s="21"/>
      <c r="DJ55" s="7"/>
      <c r="DL55" s="7"/>
      <c r="DO55" s="7"/>
    </row>
    <row r="56" spans="77:119" x14ac:dyDescent="0.2">
      <c r="BY56" s="21"/>
      <c r="DJ56" s="7"/>
      <c r="DL56" s="7"/>
      <c r="DO56" s="7"/>
    </row>
    <row r="57" spans="77:119" x14ac:dyDescent="0.2">
      <c r="BY57"/>
    </row>
    <row r="58" spans="77:119" x14ac:dyDescent="0.2">
      <c r="BY58"/>
    </row>
    <row r="59" spans="77:119" x14ac:dyDescent="0.2">
      <c r="BY59"/>
    </row>
    <row r="60" spans="77:119" x14ac:dyDescent="0.2">
      <c r="BY60"/>
    </row>
    <row r="61" spans="77:119" x14ac:dyDescent="0.2">
      <c r="BY61"/>
    </row>
    <row r="62" spans="77:119" x14ac:dyDescent="0.2">
      <c r="BY62"/>
    </row>
    <row r="63" spans="77:119" x14ac:dyDescent="0.2">
      <c r="BY63"/>
    </row>
    <row r="64" spans="77:119" x14ac:dyDescent="0.2">
      <c r="BY64"/>
    </row>
    <row r="65" spans="77:77" x14ac:dyDescent="0.2">
      <c r="BY65"/>
    </row>
    <row r="66" spans="77:77" x14ac:dyDescent="0.2">
      <c r="BY66"/>
    </row>
    <row r="67" spans="77:77" x14ac:dyDescent="0.2">
      <c r="BY67"/>
    </row>
    <row r="68" spans="77:77" x14ac:dyDescent="0.2">
      <c r="BY68"/>
    </row>
    <row r="69" spans="77:77" x14ac:dyDescent="0.2">
      <c r="BY69"/>
    </row>
    <row r="70" spans="77:77" x14ac:dyDescent="0.2">
      <c r="BY70"/>
    </row>
    <row r="71" spans="77:77" x14ac:dyDescent="0.2">
      <c r="BY71"/>
    </row>
    <row r="72" spans="77:77" x14ac:dyDescent="0.2">
      <c r="BY72"/>
    </row>
    <row r="73" spans="77:77" x14ac:dyDescent="0.2">
      <c r="BY73"/>
    </row>
    <row r="74" spans="77:77" x14ac:dyDescent="0.2">
      <c r="BY74"/>
    </row>
    <row r="75" spans="77:77" x14ac:dyDescent="0.2">
      <c r="BY75"/>
    </row>
    <row r="76" spans="77:77" x14ac:dyDescent="0.2">
      <c r="BY76"/>
    </row>
    <row r="77" spans="77:77" x14ac:dyDescent="0.2">
      <c r="BY77"/>
    </row>
    <row r="78" spans="77:77" x14ac:dyDescent="0.2">
      <c r="BY78"/>
    </row>
    <row r="79" spans="77:77" x14ac:dyDescent="0.2">
      <c r="BY79"/>
    </row>
    <row r="80" spans="77:77" x14ac:dyDescent="0.2">
      <c r="BY80"/>
    </row>
    <row r="81" spans="77:77" x14ac:dyDescent="0.2">
      <c r="BY81"/>
    </row>
    <row r="82" spans="77:77" x14ac:dyDescent="0.2">
      <c r="BY82"/>
    </row>
    <row r="83" spans="77:77" x14ac:dyDescent="0.2">
      <c r="BY83"/>
    </row>
    <row r="84" spans="77:77" x14ac:dyDescent="0.2">
      <c r="BY84"/>
    </row>
    <row r="85" spans="77:77" x14ac:dyDescent="0.2">
      <c r="BY85"/>
    </row>
    <row r="86" spans="77:77" x14ac:dyDescent="0.2">
      <c r="BY86"/>
    </row>
    <row r="87" spans="77:77" x14ac:dyDescent="0.2">
      <c r="BY87"/>
    </row>
    <row r="88" spans="77:77" x14ac:dyDescent="0.2">
      <c r="BY88"/>
    </row>
    <row r="89" spans="77:77" x14ac:dyDescent="0.2">
      <c r="BY89"/>
    </row>
    <row r="90" spans="77:77" x14ac:dyDescent="0.2">
      <c r="BY90"/>
    </row>
    <row r="91" spans="77:77" x14ac:dyDescent="0.2">
      <c r="BY91"/>
    </row>
    <row r="92" spans="77:77" x14ac:dyDescent="0.2">
      <c r="BY92"/>
    </row>
    <row r="93" spans="77:77" x14ac:dyDescent="0.2">
      <c r="BY93"/>
    </row>
    <row r="94" spans="77:77" x14ac:dyDescent="0.2">
      <c r="BY94"/>
    </row>
    <row r="95" spans="77:77" x14ac:dyDescent="0.2">
      <c r="BY95"/>
    </row>
    <row r="96" spans="77:77" x14ac:dyDescent="0.2">
      <c r="BY96"/>
    </row>
    <row r="97" spans="77:77" x14ac:dyDescent="0.2">
      <c r="BY97"/>
    </row>
    <row r="98" spans="77:77" x14ac:dyDescent="0.2">
      <c r="BY98"/>
    </row>
    <row r="99" spans="77:77" x14ac:dyDescent="0.2">
      <c r="BY99"/>
    </row>
    <row r="100" spans="77:77" x14ac:dyDescent="0.2">
      <c r="BY100"/>
    </row>
    <row r="101" spans="77:77" x14ac:dyDescent="0.2">
      <c r="BY101"/>
    </row>
    <row r="102" spans="77:77" x14ac:dyDescent="0.2">
      <c r="BY102"/>
    </row>
    <row r="103" spans="77:77" x14ac:dyDescent="0.2">
      <c r="BY103"/>
    </row>
    <row r="104" spans="77:77" x14ac:dyDescent="0.2">
      <c r="BY104"/>
    </row>
    <row r="105" spans="77:77" x14ac:dyDescent="0.2">
      <c r="BY105"/>
    </row>
    <row r="106" spans="77:77" x14ac:dyDescent="0.2">
      <c r="BY106"/>
    </row>
    <row r="107" spans="77:77" x14ac:dyDescent="0.2">
      <c r="BY107"/>
    </row>
    <row r="108" spans="77:77" x14ac:dyDescent="0.2">
      <c r="BY108"/>
    </row>
    <row r="109" spans="77:77" x14ac:dyDescent="0.2">
      <c r="BY109"/>
    </row>
    <row r="110" spans="77:77" x14ac:dyDescent="0.2">
      <c r="BY110"/>
    </row>
    <row r="111" spans="77:77" x14ac:dyDescent="0.2">
      <c r="BY111"/>
    </row>
    <row r="112" spans="77:77" x14ac:dyDescent="0.2">
      <c r="BY112"/>
    </row>
    <row r="113" spans="77:77" x14ac:dyDescent="0.2">
      <c r="BY113"/>
    </row>
    <row r="114" spans="77:77" x14ac:dyDescent="0.2">
      <c r="BY114"/>
    </row>
    <row r="115" spans="77:77" x14ac:dyDescent="0.2">
      <c r="BY115"/>
    </row>
    <row r="116" spans="77:77" x14ac:dyDescent="0.2">
      <c r="BY116"/>
    </row>
    <row r="117" spans="77:77" x14ac:dyDescent="0.2">
      <c r="BY117"/>
    </row>
    <row r="118" spans="77:77" x14ac:dyDescent="0.2">
      <c r="BY118"/>
    </row>
    <row r="119" spans="77:77" x14ac:dyDescent="0.2">
      <c r="BY119"/>
    </row>
    <row r="120" spans="77:77" x14ac:dyDescent="0.2">
      <c r="BY120"/>
    </row>
    <row r="121" spans="77:77" x14ac:dyDescent="0.2">
      <c r="BY121"/>
    </row>
    <row r="122" spans="77:77" x14ac:dyDescent="0.2">
      <c r="BY122"/>
    </row>
    <row r="123" spans="77:77" x14ac:dyDescent="0.2">
      <c r="BY123"/>
    </row>
    <row r="124" spans="77:77" x14ac:dyDescent="0.2">
      <c r="BY124"/>
    </row>
    <row r="125" spans="77:77" x14ac:dyDescent="0.2">
      <c r="BY125"/>
    </row>
    <row r="126" spans="77:77" x14ac:dyDescent="0.2">
      <c r="BY126"/>
    </row>
    <row r="127" spans="77:77" x14ac:dyDescent="0.2">
      <c r="BY127"/>
    </row>
    <row r="128" spans="77:77" x14ac:dyDescent="0.2">
      <c r="BY128"/>
    </row>
    <row r="129" spans="77:77" x14ac:dyDescent="0.2">
      <c r="BY129"/>
    </row>
    <row r="130" spans="77:77" x14ac:dyDescent="0.2">
      <c r="BY130"/>
    </row>
    <row r="131" spans="77:77" x14ac:dyDescent="0.2">
      <c r="BY131"/>
    </row>
    <row r="132" spans="77:77" x14ac:dyDescent="0.2">
      <c r="BY132"/>
    </row>
    <row r="133" spans="77:77" x14ac:dyDescent="0.2">
      <c r="BY133"/>
    </row>
    <row r="134" spans="77:77" x14ac:dyDescent="0.2">
      <c r="BY134"/>
    </row>
    <row r="135" spans="77:77" x14ac:dyDescent="0.2">
      <c r="BY135"/>
    </row>
    <row r="136" spans="77:77" x14ac:dyDescent="0.2">
      <c r="BY136"/>
    </row>
    <row r="137" spans="77:77" x14ac:dyDescent="0.2">
      <c r="BY137"/>
    </row>
    <row r="138" spans="77:77" x14ac:dyDescent="0.2">
      <c r="BY138"/>
    </row>
    <row r="139" spans="77:77" x14ac:dyDescent="0.2">
      <c r="BY139"/>
    </row>
    <row r="140" spans="77:77" x14ac:dyDescent="0.2">
      <c r="BY140"/>
    </row>
    <row r="141" spans="77:77" x14ac:dyDescent="0.2">
      <c r="BY141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B23C-8A42-44E1-9788-9FCD8D78A484}">
  <dimension ref="A1:DM51"/>
  <sheetViews>
    <sheetView workbookViewId="0">
      <selection activeCell="AK21" sqref="AK21"/>
    </sheetView>
  </sheetViews>
  <sheetFormatPr baseColWidth="10" defaultColWidth="8.83203125" defaultRowHeight="15" x14ac:dyDescent="0.2"/>
  <cols>
    <col min="2" max="2" width="14" bestFit="1" customWidth="1"/>
    <col min="3" max="3" width="1.6640625" customWidth="1"/>
    <col min="4" max="4" width="14" customWidth="1"/>
    <col min="5" max="5" width="1.83203125" customWidth="1"/>
    <col min="6" max="6" width="9.1640625" customWidth="1"/>
    <col min="7" max="7" width="1.83203125" customWidth="1"/>
    <col min="8" max="8" width="10.33203125" customWidth="1"/>
    <col min="9" max="9" width="16.33203125" customWidth="1"/>
    <col min="10" max="10" width="13.33203125" customWidth="1"/>
    <col min="11" max="11" width="11.83203125" customWidth="1"/>
    <col min="12" max="12" width="10.1640625" customWidth="1"/>
    <col min="13" max="13" width="1.83203125" customWidth="1"/>
    <col min="14" max="14" width="8.6640625" customWidth="1"/>
    <col min="15" max="15" width="15.6640625" customWidth="1"/>
    <col min="16" max="16" width="12.33203125" customWidth="1"/>
    <col min="17" max="17" width="10.6640625" customWidth="1"/>
    <col min="18" max="18" width="10.1640625" customWidth="1"/>
    <col min="19" max="19" width="1.83203125" customWidth="1"/>
    <col min="20" max="20" width="8.6640625" customWidth="1"/>
    <col min="21" max="21" width="15.6640625" customWidth="1"/>
    <col min="22" max="22" width="12.33203125" customWidth="1"/>
    <col min="23" max="23" width="10.6640625" customWidth="1"/>
    <col min="24" max="24" width="10.1640625" customWidth="1"/>
    <col min="25" max="25" width="1.83203125" customWidth="1"/>
    <col min="26" max="26" width="8.6640625" customWidth="1"/>
    <col min="27" max="27" width="15.6640625" customWidth="1"/>
    <col min="28" max="28" width="12.33203125" customWidth="1"/>
    <col min="29" max="29" width="10.6640625" customWidth="1"/>
    <col min="30" max="30" width="10.1640625" customWidth="1"/>
    <col min="31" max="31" width="2.1640625" customWidth="1"/>
    <col min="58" max="58" width="10.33203125" bestFit="1" customWidth="1"/>
    <col min="59" max="59" width="10.33203125" customWidth="1"/>
    <col min="62" max="62" width="9.83203125" bestFit="1" customWidth="1"/>
    <col min="64" max="64" width="10.33203125" bestFit="1" customWidth="1"/>
    <col min="65" max="65" width="13.1640625" bestFit="1" customWidth="1"/>
    <col min="67" max="67" width="13.6640625" bestFit="1" customWidth="1"/>
    <col min="68" max="68" width="14" bestFit="1" customWidth="1"/>
    <col min="69" max="69" width="15.33203125" bestFit="1" customWidth="1"/>
    <col min="70" max="70" width="12.33203125" bestFit="1" customWidth="1"/>
    <col min="71" max="71" width="14" bestFit="1" customWidth="1"/>
    <col min="72" max="72" width="11.1640625" bestFit="1" customWidth="1"/>
    <col min="73" max="73" width="13.1640625" bestFit="1" customWidth="1"/>
    <col min="74" max="74" width="11.6640625" bestFit="1" customWidth="1"/>
    <col min="75" max="75" width="21.6640625" style="5" customWidth="1"/>
    <col min="76" max="76" width="14" bestFit="1" customWidth="1"/>
    <col min="77" max="77" width="16.1640625" bestFit="1" customWidth="1"/>
    <col min="78" max="78" width="15.1640625" bestFit="1" customWidth="1"/>
    <col min="80" max="80" width="16" bestFit="1" customWidth="1"/>
    <col min="81" max="81" width="16.1640625" bestFit="1" customWidth="1"/>
    <col min="82" max="82" width="11.6640625" bestFit="1" customWidth="1"/>
    <col min="83" max="83" width="11.33203125" bestFit="1" customWidth="1"/>
    <col min="84" max="84" width="10.1640625" bestFit="1" customWidth="1"/>
    <col min="85" max="85" width="10.33203125" bestFit="1" customWidth="1"/>
    <col min="86" max="86" width="10.6640625" bestFit="1" customWidth="1"/>
    <col min="87" max="87" width="11.1640625" bestFit="1" customWidth="1"/>
    <col min="89" max="89" width="14.1640625" bestFit="1" customWidth="1"/>
    <col min="90" max="90" width="16.1640625" bestFit="1" customWidth="1"/>
    <col min="91" max="91" width="15.1640625" bestFit="1" customWidth="1"/>
    <col min="93" max="93" width="16" bestFit="1" customWidth="1"/>
    <col min="94" max="94" width="16.1640625" bestFit="1" customWidth="1"/>
    <col min="95" max="95" width="11.6640625" bestFit="1" customWidth="1"/>
    <col min="96" max="96" width="11.33203125" bestFit="1" customWidth="1"/>
    <col min="97" max="97" width="10.1640625" bestFit="1" customWidth="1"/>
    <col min="98" max="98" width="10.33203125" bestFit="1" customWidth="1"/>
    <col min="99" max="99" width="10.6640625" bestFit="1" customWidth="1"/>
    <col min="101" max="101" width="20.33203125" bestFit="1" customWidth="1"/>
    <col min="108" max="108" width="10.33203125" bestFit="1" customWidth="1"/>
    <col min="110" max="110" width="16.6640625" customWidth="1"/>
    <col min="111" max="111" width="22.33203125" customWidth="1"/>
    <col min="112" max="112" width="13.1640625" style="5" customWidth="1"/>
    <col min="113" max="113" width="9.33203125" bestFit="1" customWidth="1"/>
    <col min="114" max="114" width="2.33203125" style="5" customWidth="1"/>
    <col min="117" max="117" width="2.33203125" style="5" customWidth="1"/>
    <col min="118" max="118" width="11.33203125" bestFit="1" customWidth="1"/>
    <col min="119" max="119" width="14" bestFit="1" customWidth="1"/>
    <col min="120" max="120" width="13.83203125" customWidth="1"/>
  </cols>
  <sheetData>
    <row r="1" spans="1:117" x14ac:dyDescent="0.2">
      <c r="A1" s="1" t="s">
        <v>0</v>
      </c>
      <c r="H1" s="1" t="s">
        <v>1</v>
      </c>
      <c r="AF1" s="1" t="s">
        <v>2</v>
      </c>
      <c r="BW1" s="4"/>
      <c r="BX1" s="1" t="s">
        <v>3</v>
      </c>
      <c r="DH1" s="4"/>
      <c r="DJ1" s="4"/>
      <c r="DK1" s="8" t="s">
        <v>4</v>
      </c>
      <c r="DL1" s="8" t="s">
        <v>4</v>
      </c>
      <c r="DM1" s="4"/>
    </row>
    <row r="2" spans="1:117" x14ac:dyDescent="0.2">
      <c r="B2" s="1"/>
      <c r="C2" s="1"/>
      <c r="D2" s="1"/>
      <c r="E2" s="1"/>
      <c r="G2" s="1"/>
      <c r="M2" s="1"/>
      <c r="S2" s="1"/>
      <c r="Y2" s="1"/>
      <c r="BD2" t="s">
        <v>5</v>
      </c>
      <c r="BF2" s="2" t="s">
        <v>6</v>
      </c>
      <c r="BG2" s="2" t="s">
        <v>149</v>
      </c>
      <c r="BI2" s="2" t="s">
        <v>7</v>
      </c>
      <c r="BM2" s="2" t="s">
        <v>8</v>
      </c>
      <c r="BO2" s="4"/>
      <c r="BP2" s="3" t="s">
        <v>9</v>
      </c>
      <c r="BW2"/>
      <c r="CC2" s="3" t="s">
        <v>10</v>
      </c>
      <c r="CO2" s="2" t="s">
        <v>11</v>
      </c>
      <c r="CZ2" s="4"/>
      <c r="DA2" t="s">
        <v>12</v>
      </c>
      <c r="DB2" s="4"/>
      <c r="DC2" s="2" t="s">
        <v>13</v>
      </c>
      <c r="DD2" s="2" t="s">
        <v>1</v>
      </c>
      <c r="DE2" s="4"/>
      <c r="DF2" s="2" t="s">
        <v>2</v>
      </c>
      <c r="DG2" s="2" t="s">
        <v>2</v>
      </c>
      <c r="DH2" s="2" t="s">
        <v>14</v>
      </c>
      <c r="DJ2"/>
      <c r="DM2"/>
    </row>
    <row r="3" spans="1:117" x14ac:dyDescent="0.2">
      <c r="F3" s="2" t="s">
        <v>15</v>
      </c>
      <c r="H3" s="9" t="s">
        <v>16</v>
      </c>
      <c r="I3" s="2"/>
      <c r="J3" s="2"/>
      <c r="K3" s="2"/>
      <c r="L3" s="2"/>
      <c r="N3" s="9" t="s">
        <v>17</v>
      </c>
      <c r="O3" s="2"/>
      <c r="P3" s="2"/>
      <c r="Q3" s="2"/>
      <c r="R3" s="2"/>
      <c r="T3" s="9" t="s">
        <v>18</v>
      </c>
      <c r="U3" s="2"/>
      <c r="V3" s="2"/>
      <c r="W3" s="2"/>
      <c r="X3" s="2"/>
      <c r="Z3" s="9" t="s">
        <v>19</v>
      </c>
      <c r="AA3" s="2"/>
      <c r="AB3" s="2"/>
      <c r="AC3" s="2"/>
      <c r="AD3" s="2"/>
      <c r="AE3" s="2"/>
      <c r="AF3" s="9" t="s">
        <v>16</v>
      </c>
      <c r="AG3" s="9" t="s">
        <v>17</v>
      </c>
      <c r="AH3" s="2"/>
      <c r="AI3" s="2"/>
      <c r="AJ3" s="9" t="s">
        <v>18</v>
      </c>
      <c r="AK3" s="2"/>
      <c r="AL3" s="2"/>
      <c r="AM3" s="2"/>
      <c r="AN3" s="9" t="s">
        <v>19</v>
      </c>
      <c r="AO3" s="2"/>
      <c r="AP3" s="2"/>
      <c r="AQ3" s="2"/>
      <c r="AR3" s="2"/>
      <c r="AS3" s="2"/>
      <c r="AT3" s="9" t="s">
        <v>146</v>
      </c>
      <c r="AU3" s="9" t="s">
        <v>147</v>
      </c>
      <c r="AV3" s="9" t="s">
        <v>148</v>
      </c>
      <c r="AW3" s="2"/>
      <c r="AX3" s="2" t="s">
        <v>20</v>
      </c>
      <c r="BA3" s="2" t="s">
        <v>21</v>
      </c>
      <c r="BB3" s="2" t="s">
        <v>21</v>
      </c>
      <c r="BC3" s="2" t="s">
        <v>22</v>
      </c>
      <c r="BD3" s="2" t="s">
        <v>23</v>
      </c>
      <c r="BF3" s="2" t="s">
        <v>24</v>
      </c>
      <c r="BG3" s="2" t="s">
        <v>150</v>
      </c>
      <c r="BH3" t="s">
        <v>25</v>
      </c>
      <c r="BI3" s="2" t="s">
        <v>26</v>
      </c>
      <c r="BJ3" s="2" t="s">
        <v>8</v>
      </c>
      <c r="BK3" s="2" t="s">
        <v>27</v>
      </c>
      <c r="BL3" s="2" t="s">
        <v>8</v>
      </c>
      <c r="BM3" s="2" t="s">
        <v>28</v>
      </c>
      <c r="BN3" s="2" t="s">
        <v>29</v>
      </c>
      <c r="BO3" s="5"/>
      <c r="BP3" s="2" t="s">
        <v>30</v>
      </c>
      <c r="BQ3" s="2" t="s">
        <v>31</v>
      </c>
      <c r="BR3" s="2" t="s">
        <v>32</v>
      </c>
      <c r="BS3" s="2" t="s">
        <v>33</v>
      </c>
      <c r="BT3" s="2" t="s">
        <v>34</v>
      </c>
      <c r="BU3" s="2" t="s">
        <v>35</v>
      </c>
      <c r="BV3" s="2" t="s">
        <v>36</v>
      </c>
      <c r="BW3" s="2" t="s">
        <v>37</v>
      </c>
      <c r="BX3" s="2" t="s">
        <v>38</v>
      </c>
      <c r="BY3" s="2" t="s">
        <v>39</v>
      </c>
      <c r="BZ3" s="2" t="s">
        <v>40</v>
      </c>
      <c r="CA3" s="2" t="s">
        <v>41</v>
      </c>
      <c r="CC3" s="2" t="s">
        <v>30</v>
      </c>
      <c r="CD3" s="2" t="s">
        <v>31</v>
      </c>
      <c r="CE3" s="2" t="s">
        <v>32</v>
      </c>
      <c r="CF3" s="2" t="s">
        <v>33</v>
      </c>
      <c r="CG3" s="2" t="s">
        <v>34</v>
      </c>
      <c r="CH3" s="2" t="s">
        <v>35</v>
      </c>
      <c r="CI3" s="2" t="s">
        <v>36</v>
      </c>
      <c r="CJ3" s="2" t="s">
        <v>37</v>
      </c>
      <c r="CK3" s="2" t="s">
        <v>38</v>
      </c>
      <c r="CL3" s="2" t="s">
        <v>39</v>
      </c>
      <c r="CM3" s="2" t="s">
        <v>40</v>
      </c>
      <c r="CZ3" s="5"/>
      <c r="DB3" s="5"/>
      <c r="DC3" s="2"/>
      <c r="DD3" s="2"/>
      <c r="DE3" s="5"/>
      <c r="DF3" s="2" t="s">
        <v>42</v>
      </c>
      <c r="DG3" s="2" t="s">
        <v>43</v>
      </c>
      <c r="DH3"/>
      <c r="DJ3"/>
      <c r="DM3"/>
    </row>
    <row r="4" spans="1:117" x14ac:dyDescent="0.2">
      <c r="A4" s="2" t="s">
        <v>44</v>
      </c>
      <c r="B4" s="2" t="s">
        <v>45</v>
      </c>
      <c r="C4" s="2"/>
      <c r="D4" s="2" t="s">
        <v>46</v>
      </c>
      <c r="E4" s="2"/>
      <c r="F4" s="2" t="s">
        <v>47</v>
      </c>
      <c r="G4" s="2"/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/>
      <c r="N4" s="2" t="s">
        <v>48</v>
      </c>
      <c r="O4" s="2" t="s">
        <v>49</v>
      </c>
      <c r="P4" s="2" t="s">
        <v>50</v>
      </c>
      <c r="Q4" s="2" t="s">
        <v>51</v>
      </c>
      <c r="R4" s="2" t="s">
        <v>52</v>
      </c>
      <c r="S4" s="2"/>
      <c r="T4" s="2" t="s">
        <v>48</v>
      </c>
      <c r="U4" s="2" t="s">
        <v>49</v>
      </c>
      <c r="V4" s="2" t="s">
        <v>50</v>
      </c>
      <c r="W4" s="2" t="s">
        <v>51</v>
      </c>
      <c r="X4" s="2" t="s">
        <v>52</v>
      </c>
      <c r="Y4" s="2"/>
      <c r="Z4" s="2" t="s">
        <v>48</v>
      </c>
      <c r="AA4" s="2" t="s">
        <v>49</v>
      </c>
      <c r="AB4" s="2" t="s">
        <v>50</v>
      </c>
      <c r="AC4" s="2" t="s">
        <v>51</v>
      </c>
      <c r="AD4" s="2" t="s">
        <v>52</v>
      </c>
      <c r="AE4" s="2"/>
      <c r="AF4" s="2" t="s">
        <v>53</v>
      </c>
      <c r="AG4" s="2" t="s">
        <v>54</v>
      </c>
      <c r="AH4" s="2" t="s">
        <v>55</v>
      </c>
      <c r="AI4" s="2" t="s">
        <v>56</v>
      </c>
      <c r="AJ4" s="2" t="s">
        <v>57</v>
      </c>
      <c r="AK4" s="2" t="s">
        <v>58</v>
      </c>
      <c r="AL4" s="2" t="s">
        <v>59</v>
      </c>
      <c r="AM4" s="2" t="s">
        <v>60</v>
      </c>
      <c r="AN4" s="2" t="s">
        <v>61</v>
      </c>
      <c r="AO4" s="2" t="s">
        <v>62</v>
      </c>
      <c r="AP4" s="2" t="s">
        <v>63</v>
      </c>
      <c r="AQ4" s="2" t="s">
        <v>64</v>
      </c>
      <c r="AR4" s="2" t="s">
        <v>65</v>
      </c>
      <c r="AS4" s="2" t="s">
        <v>66</v>
      </c>
      <c r="AT4" s="2"/>
      <c r="AU4" s="2"/>
      <c r="AV4" s="2"/>
      <c r="AW4" s="2"/>
      <c r="AX4" s="2" t="s">
        <v>67</v>
      </c>
      <c r="AY4" t="s">
        <v>68</v>
      </c>
      <c r="AZ4" s="2" t="s">
        <v>69</v>
      </c>
      <c r="BA4" s="2" t="s">
        <v>70</v>
      </c>
      <c r="BB4" s="2" t="s">
        <v>71</v>
      </c>
      <c r="BC4" s="2" t="s">
        <v>71</v>
      </c>
      <c r="BD4" s="2" t="s">
        <v>72</v>
      </c>
      <c r="BE4" s="2" t="s">
        <v>73</v>
      </c>
      <c r="BF4" s="2" t="s">
        <v>74</v>
      </c>
      <c r="BG4" s="2" t="s">
        <v>74</v>
      </c>
      <c r="BH4" s="2" t="s">
        <v>75</v>
      </c>
      <c r="BI4" s="2" t="s">
        <v>76</v>
      </c>
      <c r="BJ4" s="2" t="s">
        <v>77</v>
      </c>
      <c r="BK4" s="2" t="s">
        <v>78</v>
      </c>
      <c r="BL4" s="2" t="s">
        <v>79</v>
      </c>
      <c r="BM4" s="2" t="s">
        <v>80</v>
      </c>
      <c r="BN4" s="2" t="s">
        <v>81</v>
      </c>
      <c r="BO4" s="5"/>
      <c r="BP4" s="2" t="s">
        <v>82</v>
      </c>
      <c r="BQ4" s="2" t="s">
        <v>83</v>
      </c>
      <c r="BR4" s="2" t="s">
        <v>84</v>
      </c>
      <c r="BS4" s="2" t="s">
        <v>85</v>
      </c>
      <c r="BT4" s="2" t="s">
        <v>86</v>
      </c>
      <c r="BU4" s="2" t="s">
        <v>87</v>
      </c>
      <c r="BV4" s="2" t="s">
        <v>88</v>
      </c>
      <c r="BW4" s="2" t="s">
        <v>89</v>
      </c>
      <c r="BX4" s="2" t="s">
        <v>90</v>
      </c>
      <c r="BY4" s="2" t="s">
        <v>91</v>
      </c>
      <c r="BZ4" s="2" t="s">
        <v>92</v>
      </c>
      <c r="CA4" s="2" t="s">
        <v>93</v>
      </c>
      <c r="CC4" s="2" t="s">
        <v>82</v>
      </c>
      <c r="CD4" s="2" t="s">
        <v>83</v>
      </c>
      <c r="CE4" s="2" t="s">
        <v>84</v>
      </c>
      <c r="CF4" s="2" t="s">
        <v>85</v>
      </c>
      <c r="CG4" s="2" t="s">
        <v>86</v>
      </c>
      <c r="CH4" s="2" t="s">
        <v>87</v>
      </c>
      <c r="CI4" s="2" t="s">
        <v>88</v>
      </c>
      <c r="CJ4" s="2" t="s">
        <v>89</v>
      </c>
      <c r="CK4" s="2" t="s">
        <v>90</v>
      </c>
      <c r="CL4" s="2" t="s">
        <v>91</v>
      </c>
      <c r="CM4" s="2" t="s">
        <v>92</v>
      </c>
      <c r="CO4" s="2" t="s">
        <v>94</v>
      </c>
      <c r="CP4" s="2" t="s">
        <v>16</v>
      </c>
      <c r="CQ4" s="2" t="s">
        <v>95</v>
      </c>
      <c r="CR4" s="2" t="s">
        <v>18</v>
      </c>
      <c r="CS4" s="2" t="s">
        <v>96</v>
      </c>
      <c r="CT4" s="2" t="s">
        <v>19</v>
      </c>
      <c r="CU4" s="2" t="s">
        <v>97</v>
      </c>
      <c r="CV4" s="2" t="s">
        <v>98</v>
      </c>
      <c r="CW4" s="2" t="s">
        <v>99</v>
      </c>
      <c r="CX4" s="2" t="s">
        <v>100</v>
      </c>
      <c r="CY4" s="2" t="s">
        <v>17</v>
      </c>
      <c r="CZ4" s="5"/>
      <c r="DB4" s="5"/>
      <c r="DE4" s="5"/>
      <c r="DH4"/>
      <c r="DJ4"/>
      <c r="DM4"/>
    </row>
    <row r="5" spans="1:117" x14ac:dyDescent="0.2">
      <c r="BC5" s="14"/>
      <c r="BF5" s="15"/>
      <c r="BG5" s="15"/>
      <c r="BO5" s="5"/>
      <c r="BW5"/>
      <c r="CZ5" s="5"/>
      <c r="DB5" s="5"/>
      <c r="DE5" s="5"/>
      <c r="DH5"/>
      <c r="DJ5"/>
      <c r="DM5"/>
    </row>
    <row r="6" spans="1:117" x14ac:dyDescent="0.2">
      <c r="B6" t="s">
        <v>101</v>
      </c>
      <c r="D6" t="str">
        <f>CONCATENATE(B6,".xlsx")</f>
        <v>M_007.xlsx</v>
      </c>
      <c r="F6" t="str">
        <f>'[38]Template '!$C$2</f>
        <v>D only</v>
      </c>
      <c r="H6">
        <f>'[38]Template '!$C$29</f>
        <v>0.22222222222222221</v>
      </c>
      <c r="I6" t="str">
        <f>'[38]Template '!$C$30</f>
        <v>n/a</v>
      </c>
      <c r="J6">
        <f>'[38]Template '!$C$31</f>
        <v>8.3333333333333329E-2</v>
      </c>
      <c r="K6">
        <f>'[38]Template '!$C$32</f>
        <v>0.54411764705882359</v>
      </c>
      <c r="L6">
        <f>'[38]Template '!$C$33</f>
        <v>0.70238095238095222</v>
      </c>
      <c r="N6">
        <f>'[38]Template '!$C$74</f>
        <v>0.43181818181818182</v>
      </c>
      <c r="O6" t="str">
        <f>'[38]Template '!$C$75</f>
        <v>n/a</v>
      </c>
      <c r="P6">
        <f>'[38]Template '!$C$76</f>
        <v>0.3214285714285714</v>
      </c>
      <c r="Q6">
        <f>'[38]Template '!$C$77</f>
        <v>0.48809523809523803</v>
      </c>
      <c r="R6">
        <f>'[38]Template '!$C$78</f>
        <v>0.7142857142857143</v>
      </c>
      <c r="T6">
        <f>'[38]Template '!$C$96</f>
        <v>0.5708333333333333</v>
      </c>
      <c r="U6">
        <f>'[38]Template '!$C$97</f>
        <v>0.37407407407407406</v>
      </c>
      <c r="V6">
        <f>'[38]Template '!$C$98</f>
        <v>0</v>
      </c>
      <c r="W6">
        <f>'[38]Template '!$C$99</f>
        <v>0.1028138528138528</v>
      </c>
      <c r="X6">
        <f>'[38]Template '!$C$100</f>
        <v>0.49087301587301591</v>
      </c>
      <c r="Z6">
        <f>'[38]Template '!$C$52</f>
        <v>0.24722222222222223</v>
      </c>
      <c r="AA6">
        <f>'[38]Template '!$C$53</f>
        <v>0.37407407407407406</v>
      </c>
      <c r="AB6">
        <f>'[38]Template '!$C$54</f>
        <v>0</v>
      </c>
      <c r="AC6">
        <f>'[38]Template '!$C$55</f>
        <v>0.13541666666666666</v>
      </c>
      <c r="AD6">
        <f>'[38]Template '!$C$56</f>
        <v>0.47142857142857136</v>
      </c>
      <c r="AF6">
        <f>'[38]Template '!$Z$30</f>
        <v>0</v>
      </c>
      <c r="AG6">
        <f>'[38]Template '!$AB$75</f>
        <v>0</v>
      </c>
      <c r="AH6">
        <f>'[38]Template '!$C$89</f>
        <v>0</v>
      </c>
      <c r="AI6">
        <f>'[38]Template '!$AF$75</f>
        <v>0</v>
      </c>
      <c r="AJ6">
        <f>'[38]Template '!$AR$97</f>
        <v>0</v>
      </c>
      <c r="AK6">
        <f>'[38]Template '!$AS$97</f>
        <v>0</v>
      </c>
      <c r="AL6">
        <f>'[38]Template '!$AZ$97</f>
        <v>0</v>
      </c>
      <c r="AM6">
        <f>'[38]Template '!$BB$97</f>
        <v>0</v>
      </c>
      <c r="AN6">
        <f>'[38]Template '!$AU$53</f>
        <v>0</v>
      </c>
      <c r="AO6">
        <f>'[38]Template '!$AV$53</f>
        <v>0</v>
      </c>
      <c r="AP6">
        <f>'[38]Template '!$AY$53</f>
        <v>0</v>
      </c>
      <c r="AQ6">
        <f>'[38]Template '!$AX$53</f>
        <v>0</v>
      </c>
      <c r="AR6">
        <f>'[38]Template '!$AZ$53</f>
        <v>0</v>
      </c>
      <c r="AS6">
        <f>'[38]Template '!$BF$53</f>
        <v>0</v>
      </c>
      <c r="AT6">
        <f>SUM(AF6:AI6)</f>
        <v>0</v>
      </c>
      <c r="AU6">
        <f>SUM(AJ6:AS6)</f>
        <v>0</v>
      </c>
      <c r="AV6">
        <f>AT6+AU6</f>
        <v>0</v>
      </c>
      <c r="AY6" t="str">
        <f>'[38]Template '!$E$2</f>
        <v>A</v>
      </c>
      <c r="AZ6">
        <f>'[38]Template '!$B$13</f>
        <v>1</v>
      </c>
      <c r="BA6">
        <f>'[38]Template '!$D$2</f>
        <v>1</v>
      </c>
      <c r="BB6" s="15" t="str">
        <f>'[38]Template '!$D$3</f>
        <v>9/20/2022</v>
      </c>
      <c r="BC6" s="14">
        <f>'[38]Template '!$F$2</f>
        <v>44964</v>
      </c>
      <c r="BD6" s="13">
        <f>DATEDIF(BB6,BC6,"m")</f>
        <v>4</v>
      </c>
      <c r="BE6">
        <f>'[38]Template '!$B$12</f>
        <v>22</v>
      </c>
      <c r="BF6" t="str">
        <f>'[38]Template '!$B$14</f>
        <v>6/20</v>
      </c>
      <c r="BG6" s="15" t="s">
        <v>159</v>
      </c>
      <c r="BH6">
        <f>'[38]Template '!$B$16</f>
        <v>31</v>
      </c>
      <c r="BI6">
        <f>'[38]Template '!$B$17</f>
        <v>0</v>
      </c>
      <c r="BJ6">
        <f>'[38]Template '!$B$18</f>
        <v>0</v>
      </c>
      <c r="BK6">
        <f>'[38]Template '!$B$19</f>
        <v>0</v>
      </c>
      <c r="BL6">
        <f>'[38]Template '!$B$20</f>
        <v>0</v>
      </c>
      <c r="BM6">
        <f>'[38]Template '!$B$21</f>
        <v>0</v>
      </c>
      <c r="BN6">
        <f>'[38]Template '!$B$22</f>
        <v>0</v>
      </c>
      <c r="BO6" s="5"/>
      <c r="BP6">
        <f>'[38]Template '!$I$13</f>
        <v>4</v>
      </c>
      <c r="BQ6">
        <f>'[38]Template '!$I$14</f>
        <v>4</v>
      </c>
      <c r="BR6">
        <f>'[38]Template '!$I$15</f>
        <v>4</v>
      </c>
      <c r="BS6">
        <f>'[38]Template '!$I$16</f>
        <v>3</v>
      </c>
      <c r="BT6">
        <f>'[38]Template '!$I$17</f>
        <v>4</v>
      </c>
      <c r="BU6">
        <f>'[38]Template '!$I$18</f>
        <v>3</v>
      </c>
      <c r="BV6">
        <f>'[38]Template '!$I$19</f>
        <v>5</v>
      </c>
      <c r="BW6">
        <f>'[38]Template '!$I$20</f>
        <v>3</v>
      </c>
      <c r="BX6">
        <f>'[38]Template '!$I$21</f>
        <v>4</v>
      </c>
      <c r="BY6">
        <f>'[38]Template '!$I$22</f>
        <v>3</v>
      </c>
      <c r="BZ6">
        <f>'[38]Template '!$I$23</f>
        <v>5</v>
      </c>
      <c r="CA6">
        <f>'[38]Template '!$I$24</f>
        <v>1</v>
      </c>
      <c r="CC6">
        <f>'[38]Template '!$L$13</f>
        <v>4</v>
      </c>
      <c r="CD6">
        <f>'[38]Template '!$L$14</f>
        <v>4</v>
      </c>
      <c r="CE6">
        <f>'[38]Template '!$L$15</f>
        <v>4</v>
      </c>
      <c r="CF6">
        <f>'[38]Template '!$L$16</f>
        <v>3</v>
      </c>
      <c r="CG6">
        <f>'[38]Template '!$L$17</f>
        <v>4</v>
      </c>
      <c r="CH6">
        <f>'[38]Template '!$L$18</f>
        <v>4</v>
      </c>
      <c r="CI6">
        <f>'[38]Template '!$L$19</f>
        <v>5</v>
      </c>
      <c r="CJ6">
        <f>'[38]Template '!$L$20</f>
        <v>2</v>
      </c>
      <c r="CK6">
        <f>'[38]Template '!$L$21</f>
        <v>2</v>
      </c>
      <c r="CL6">
        <f>'[38]Template '!$L$22</f>
        <v>2</v>
      </c>
      <c r="CM6">
        <f>'[38]Template '!$L$23</f>
        <v>5</v>
      </c>
      <c r="CO6">
        <f>'[38]Template '!$O$13</f>
        <v>3</v>
      </c>
      <c r="CP6">
        <f>'[38]Template '!$O$14</f>
        <v>2</v>
      </c>
      <c r="CQ6">
        <f>'[38]Template '!$O$15</f>
        <v>1</v>
      </c>
      <c r="CR6">
        <f>'[38]Template '!$O$16</f>
        <v>3</v>
      </c>
      <c r="CS6">
        <f>'[38]Template '!$O$17</f>
        <v>5</v>
      </c>
      <c r="CT6">
        <f>'[38]Template '!$O$18</f>
        <v>3</v>
      </c>
      <c r="CU6">
        <f>'[38]Template '!$O$19</f>
        <v>1</v>
      </c>
      <c r="CV6">
        <f>'[38]Template '!$O$20</f>
        <v>3</v>
      </c>
      <c r="CW6">
        <f>'[38]Template '!$O$21</f>
        <v>2</v>
      </c>
      <c r="CX6">
        <f>'[38]Template '!$O$22</f>
        <v>3</v>
      </c>
      <c r="CY6">
        <f>'[38]Template '!$O$23</f>
        <v>5</v>
      </c>
      <c r="CZ6" s="5"/>
      <c r="DB6" s="5"/>
      <c r="DE6" s="5"/>
      <c r="DH6"/>
      <c r="DJ6"/>
      <c r="DM6"/>
    </row>
    <row r="7" spans="1:117" x14ac:dyDescent="0.2">
      <c r="B7" t="s">
        <v>102</v>
      </c>
      <c r="D7" t="str">
        <f t="shared" ref="D7:D28" si="0">CONCATENATE(B7,".xlsx")</f>
        <v>M_009.xlsx</v>
      </c>
      <c r="F7" t="str">
        <f>'[39]Template '!$C$2</f>
        <v>D only</v>
      </c>
      <c r="H7">
        <f>'[39]Template '!$C$29</f>
        <v>0.22222222222222221</v>
      </c>
      <c r="I7" t="str">
        <f>'[39]Template '!$C$30</f>
        <v>n/a</v>
      </c>
      <c r="J7">
        <f>'[39]Template '!$C$31</f>
        <v>0.25</v>
      </c>
      <c r="K7">
        <f>'[39]Template '!$C$32</f>
        <v>0.48529411764705882</v>
      </c>
      <c r="L7">
        <f>'[39]Template '!$C$33</f>
        <v>0.33730158730158727</v>
      </c>
      <c r="N7">
        <f>'[39]Template '!$C$74</f>
        <v>0.29090909090909089</v>
      </c>
      <c r="O7" t="str">
        <f>'[39]Template '!$C$75</f>
        <v>n/a</v>
      </c>
      <c r="P7">
        <f>'[39]Template '!$C$76</f>
        <v>0.10714285714285714</v>
      </c>
      <c r="Q7">
        <f>'[39]Template '!$C$77</f>
        <v>0.51190476190476186</v>
      </c>
      <c r="R7">
        <f>'[39]Template '!$C$78</f>
        <v>0.40873015873015878</v>
      </c>
      <c r="T7">
        <f>'[39]Template '!$C$96</f>
        <v>0.43333333333333335</v>
      </c>
      <c r="U7">
        <f>'[39]Template '!$C$97</f>
        <v>0.37777777777777777</v>
      </c>
      <c r="V7">
        <f>'[39]Template '!$C$98</f>
        <v>0</v>
      </c>
      <c r="W7">
        <f>'[39]Template '!$C$99</f>
        <v>0.39754689754689748</v>
      </c>
      <c r="X7">
        <f>'[39]Template '!$C$100</f>
        <v>0.64444444444444438</v>
      </c>
      <c r="Z7">
        <f>'[39]Template '!$C$52</f>
        <v>0.33333333333333331</v>
      </c>
      <c r="AA7">
        <f>'[39]Template '!$C$53</f>
        <v>0.37777777777777777</v>
      </c>
      <c r="AB7">
        <f>'[39]Template '!$C$54</f>
        <v>0</v>
      </c>
      <c r="AC7">
        <f>'[39]Template '!$C$55</f>
        <v>0.30952380952380953</v>
      </c>
      <c r="AD7">
        <f>'[39]Template '!$C$56</f>
        <v>0.48412698412698413</v>
      </c>
      <c r="AF7">
        <f>'[39]Template '!$Z$30</f>
        <v>0</v>
      </c>
      <c r="AG7">
        <f>'[39]Template '!$AB$75</f>
        <v>0</v>
      </c>
      <c r="AH7">
        <f>'[39]Template '!$AD$75</f>
        <v>0.5</v>
      </c>
      <c r="AI7">
        <f>'[39]Template '!$AF$75</f>
        <v>0</v>
      </c>
      <c r="AJ7">
        <f>'[39]Template '!$AR$97</f>
        <v>0</v>
      </c>
      <c r="AK7">
        <f>'[39]Template '!$AS$97</f>
        <v>0</v>
      </c>
      <c r="AL7">
        <f>'[39]Template '!$AZ$97</f>
        <v>0</v>
      </c>
      <c r="AM7">
        <f>'[39]Template '!$BB$97</f>
        <v>0</v>
      </c>
      <c r="AN7">
        <f>'[39]Template '!$AU$53</f>
        <v>0</v>
      </c>
      <c r="AO7">
        <f>'[39]Template '!$AV$53</f>
        <v>0</v>
      </c>
      <c r="AP7">
        <f>'[39]Template '!$AY$53</f>
        <v>0</v>
      </c>
      <c r="AQ7">
        <f>'[39]Template '!$AX$53</f>
        <v>0</v>
      </c>
      <c r="AR7">
        <f>'[39]Template '!$AZ$53</f>
        <v>0</v>
      </c>
      <c r="AS7">
        <f>'[39]Template '!$BF$53</f>
        <v>0</v>
      </c>
      <c r="AT7">
        <f t="shared" ref="AT7:AT28" si="1">SUM(AF7:AI7)</f>
        <v>0.5</v>
      </c>
      <c r="AU7">
        <f t="shared" ref="AU7:AU28" si="2">SUM(AJ7:AS7)</f>
        <v>0</v>
      </c>
      <c r="AV7">
        <f t="shared" ref="AV7:AV28" si="3">AT7+AU7</f>
        <v>0.5</v>
      </c>
      <c r="BO7" s="5"/>
      <c r="BW7"/>
      <c r="CZ7" s="5"/>
      <c r="DB7" s="5"/>
      <c r="DE7" s="5"/>
      <c r="DH7"/>
      <c r="DJ7"/>
      <c r="DM7"/>
    </row>
    <row r="8" spans="1:117" x14ac:dyDescent="0.2">
      <c r="B8" t="s">
        <v>104</v>
      </c>
      <c r="D8" t="str">
        <f t="shared" si="0"/>
        <v>M_013.xlsx</v>
      </c>
      <c r="F8" t="str">
        <f>'[1]Template '!$C$2</f>
        <v>D only</v>
      </c>
      <c r="H8">
        <f>'[1]Template '!$C$29</f>
        <v>0</v>
      </c>
      <c r="I8" t="str">
        <f>'[1]Template '!$C$30</f>
        <v>n/a</v>
      </c>
      <c r="J8">
        <f>'[1]Template '!$C$31</f>
        <v>0.33333333333333331</v>
      </c>
      <c r="K8">
        <f>'[1]Template '!$C$32</f>
        <v>0.5845588235294118</v>
      </c>
      <c r="L8">
        <f>'[1]Template '!$C$33</f>
        <v>0</v>
      </c>
      <c r="N8">
        <f>'[1]Template '!$C$74</f>
        <v>0.51818181818181819</v>
      </c>
      <c r="O8" t="str">
        <f>'[1]Template '!$C$75</f>
        <v>n/a</v>
      </c>
      <c r="P8">
        <f>'[1]Template '!$C$76</f>
        <v>0.42857142857142855</v>
      </c>
      <c r="Q8">
        <f>'[1]Template '!$C$77</f>
        <v>0.48809523809523803</v>
      </c>
      <c r="R8">
        <f>'[1]Template '!$C$78</f>
        <v>0.47817460317460325</v>
      </c>
      <c r="T8">
        <f>'[1]Template '!$C$96</f>
        <v>0.58333333333333326</v>
      </c>
      <c r="U8">
        <f>'[1]Template '!$C$97</f>
        <v>0.48518518518518522</v>
      </c>
      <c r="V8">
        <f>'[1]Template '!$C$98</f>
        <v>0.5</v>
      </c>
      <c r="W8">
        <f>'[1]Template '!$C$99</f>
        <v>0.25252525252525254</v>
      </c>
      <c r="X8">
        <f>'[1]Template '!$C$100</f>
        <v>0.65793650793650793</v>
      </c>
      <c r="Z8">
        <f>'[1]Template '!$C$52</f>
        <v>0.55555555555555558</v>
      </c>
      <c r="AA8">
        <f>'[1]Template '!$C$53</f>
        <v>0.48518518518518522</v>
      </c>
      <c r="AB8">
        <f>'[1]Template '!$C$54</f>
        <v>0.5</v>
      </c>
      <c r="AC8">
        <f>'[1]Template '!$C$55</f>
        <v>0.3125</v>
      </c>
      <c r="AD8">
        <f>'[1]Template '!$C$56</f>
        <v>0.55476190476190479</v>
      </c>
      <c r="AF8">
        <f>'[1]Template '!$Z$30</f>
        <v>0</v>
      </c>
      <c r="AG8">
        <f>'[1]Template '!$AB$75</f>
        <v>0</v>
      </c>
      <c r="AH8">
        <f>'[1]Template '!$AD$75</f>
        <v>0</v>
      </c>
      <c r="AI8">
        <f>'[1]Template '!$AF$75</f>
        <v>0</v>
      </c>
      <c r="AJ8">
        <f>'[1]Template '!$AR$97</f>
        <v>0</v>
      </c>
      <c r="AK8">
        <f>'[1]Template '!$AS$97</f>
        <v>0</v>
      </c>
      <c r="AL8">
        <f>'[1]Template '!$AZ$97</f>
        <v>0</v>
      </c>
      <c r="AM8">
        <f>'[1]Template '!$BB$97</f>
        <v>0</v>
      </c>
      <c r="AN8">
        <f>'[1]Template '!$AU$53</f>
        <v>0</v>
      </c>
      <c r="AO8">
        <f>'[1]Template '!$AV$53</f>
        <v>0</v>
      </c>
      <c r="AP8">
        <f>'[1]Template '!$AY$53</f>
        <v>0</v>
      </c>
      <c r="AQ8">
        <f>'[1]Template '!$AX$53</f>
        <v>0</v>
      </c>
      <c r="AR8">
        <f>'[1]Template '!$AZ$53</f>
        <v>0</v>
      </c>
      <c r="AS8">
        <f>'[1]Template '!$BF$53</f>
        <v>0</v>
      </c>
      <c r="AT8">
        <f t="shared" si="1"/>
        <v>0</v>
      </c>
      <c r="AU8">
        <f t="shared" si="2"/>
        <v>0</v>
      </c>
      <c r="AV8">
        <f t="shared" si="3"/>
        <v>0</v>
      </c>
      <c r="BO8" s="5"/>
      <c r="BW8"/>
      <c r="CZ8" s="5"/>
      <c r="DB8" s="5"/>
      <c r="DE8" s="5"/>
      <c r="DH8"/>
      <c r="DJ8"/>
      <c r="DM8"/>
    </row>
    <row r="9" spans="1:117" x14ac:dyDescent="0.2">
      <c r="B9" t="s">
        <v>107</v>
      </c>
      <c r="D9" t="str">
        <f t="shared" si="0"/>
        <v>M_022.xlsx</v>
      </c>
      <c r="F9" t="str">
        <f>'[4]Template '!$C$2</f>
        <v>D only</v>
      </c>
      <c r="H9">
        <f>'[4]Template '!$C$29</f>
        <v>0.66666666666666663</v>
      </c>
      <c r="I9" t="str">
        <f>'[4]Template '!$C$30</f>
        <v>n/a</v>
      </c>
      <c r="J9">
        <f>'[4]Template '!$C$31</f>
        <v>0.16666666666666666</v>
      </c>
      <c r="K9">
        <f>'[4]Template '!$C$32</f>
        <v>0.54411764705882359</v>
      </c>
      <c r="L9">
        <f>'[4]Template '!$C$33</f>
        <v>0.65873015873015872</v>
      </c>
      <c r="N9">
        <f>'[4]Template '!$C$74</f>
        <v>0.51818181818181819</v>
      </c>
      <c r="O9" t="str">
        <f>'[4]Template '!$C$75</f>
        <v>n/a</v>
      </c>
      <c r="P9">
        <f>'[4]Template '!$C$76</f>
        <v>0.21428571428571427</v>
      </c>
      <c r="Q9">
        <f>'[4]Template '!$C$77</f>
        <v>0.11904761904761904</v>
      </c>
      <c r="R9">
        <f>'[4]Template '!$C$78</f>
        <v>0.28769841269841273</v>
      </c>
      <c r="T9">
        <f>'[4]Template '!$C$96</f>
        <v>0.64583333333333326</v>
      </c>
      <c r="U9">
        <f>'[4]Template '!$C$97</f>
        <v>0.34074074074074073</v>
      </c>
      <c r="V9">
        <f>'[4]Template '!$C$98</f>
        <v>0</v>
      </c>
      <c r="W9">
        <f>'[4]Template '!$C$99</f>
        <v>0.28787878787878785</v>
      </c>
      <c r="X9">
        <f>'[4]Template '!$C$100</f>
        <v>0.79007936507936505</v>
      </c>
      <c r="Z9">
        <f>'[4]Template '!$C$52</f>
        <v>0.77341269841269844</v>
      </c>
      <c r="AA9">
        <f>'[4]Template '!$C$53</f>
        <v>0.34074074074074073</v>
      </c>
      <c r="AB9">
        <f>'[4]Template '!$C$54</f>
        <v>0</v>
      </c>
      <c r="AC9">
        <f>'[4]Template '!$C$55</f>
        <v>0.43005952380952378</v>
      </c>
      <c r="AD9">
        <f>'[4]Template '!$C$56</f>
        <v>0.60079365079365077</v>
      </c>
      <c r="AF9">
        <f>'[4]Template '!$Z$30</f>
        <v>0</v>
      </c>
      <c r="AG9">
        <f>'[4]Template '!$AB$75</f>
        <v>0</v>
      </c>
      <c r="AH9">
        <f>'[4]Template '!$AD$75</f>
        <v>0</v>
      </c>
      <c r="AI9">
        <f>'[4]Template '!$AF$75</f>
        <v>0</v>
      </c>
      <c r="AJ9">
        <f>'[4]Template '!$AR$97</f>
        <v>1</v>
      </c>
      <c r="AK9">
        <f>'[4]Template '!$AS$97</f>
        <v>1</v>
      </c>
      <c r="AL9">
        <f>'[4]Template '!$AZ$97</f>
        <v>0.5</v>
      </c>
      <c r="AM9">
        <f>'[4]Template '!$BB$97</f>
        <v>0</v>
      </c>
      <c r="AN9">
        <f>'[4]Template '!$AU$53</f>
        <v>0.5</v>
      </c>
      <c r="AO9">
        <f>'[4]Template '!$AV$53</f>
        <v>0.5</v>
      </c>
      <c r="AP9">
        <f>'[4]Template '!$AY$53</f>
        <v>0</v>
      </c>
      <c r="AQ9">
        <f>'[4]Template '!$AX$53</f>
        <v>0.5</v>
      </c>
      <c r="AR9">
        <f>'[4]Template '!$AZ$53</f>
        <v>1</v>
      </c>
      <c r="AS9">
        <f>'[4]Template '!$BF$53</f>
        <v>0.5</v>
      </c>
      <c r="AT9">
        <f t="shared" si="1"/>
        <v>0</v>
      </c>
      <c r="AU9">
        <f t="shared" si="2"/>
        <v>5.5</v>
      </c>
      <c r="AV9">
        <f t="shared" si="3"/>
        <v>5.5</v>
      </c>
      <c r="BO9" s="5"/>
      <c r="BW9"/>
      <c r="CZ9" s="5"/>
      <c r="DB9" s="5"/>
      <c r="DE9" s="5"/>
      <c r="DH9"/>
      <c r="DJ9"/>
      <c r="DM9"/>
    </row>
    <row r="10" spans="1:117" x14ac:dyDescent="0.2">
      <c r="B10" t="s">
        <v>108</v>
      </c>
      <c r="D10" t="str">
        <f t="shared" si="0"/>
        <v>M_024.xlsx</v>
      </c>
      <c r="F10" t="str">
        <f>'[5]Template '!$C$2</f>
        <v>D only</v>
      </c>
      <c r="H10">
        <f>'[5]Template '!$C$29</f>
        <v>0</v>
      </c>
      <c r="I10" t="str">
        <f>'[5]Template '!$C$30</f>
        <v>n/a</v>
      </c>
      <c r="J10">
        <f>'[5]Template '!$C$31</f>
        <v>0</v>
      </c>
      <c r="K10">
        <f>'[5]Template '!$C$32</f>
        <v>0.23529411764705882</v>
      </c>
      <c r="L10">
        <f>'[5]Template '!$C$33</f>
        <v>0.48214285714285721</v>
      </c>
      <c r="N10">
        <f>'[5]Template '!$C$74</f>
        <v>0.65454545454545454</v>
      </c>
      <c r="O10" t="str">
        <f>'[5]Template '!$C$75</f>
        <v>n/a</v>
      </c>
      <c r="P10">
        <f>'[5]Template '!$C$76</f>
        <v>7.1428571428571425E-2</v>
      </c>
      <c r="Q10">
        <f>'[5]Template '!$C$77</f>
        <v>0.46428571428571425</v>
      </c>
      <c r="R10">
        <f>'[5]Template '!$C$78</f>
        <v>0.50595238095238093</v>
      </c>
      <c r="T10">
        <f>'[5]Template '!$C$96</f>
        <v>0.65625</v>
      </c>
      <c r="U10">
        <f>'[5]Template '!$C$97</f>
        <v>0.30740740740740741</v>
      </c>
      <c r="V10">
        <f>'[5]Template '!$C$98</f>
        <v>0</v>
      </c>
      <c r="W10">
        <f>'[5]Template '!$C$99</f>
        <v>0.34235209235209235</v>
      </c>
      <c r="X10">
        <f>'[5]Template '!$C$100</f>
        <v>0.61190476190476184</v>
      </c>
      <c r="Z10">
        <f>'[5]Template '!$C$52</f>
        <v>0</v>
      </c>
      <c r="AA10">
        <f>'[5]Template '!$C$53</f>
        <v>0.30740740740740741</v>
      </c>
      <c r="AB10">
        <f>'[5]Template '!$C$54</f>
        <v>0</v>
      </c>
      <c r="AC10">
        <f>'[5]Template '!$C$55</f>
        <v>0.32142857142857145</v>
      </c>
      <c r="AD10">
        <f>'[5]Template '!$C$56</f>
        <v>0.57857142857142863</v>
      </c>
      <c r="AF10">
        <f>'[5]Template '!$Z$30</f>
        <v>0</v>
      </c>
      <c r="AG10">
        <f>'[5]Template '!$AB$75</f>
        <v>0</v>
      </c>
      <c r="AH10">
        <f>'[5]Template '!$AD$75</f>
        <v>0</v>
      </c>
      <c r="AI10">
        <f>'[5]Template '!$AF$75</f>
        <v>0</v>
      </c>
      <c r="AJ10">
        <f>'[5]Template '!$AR$97</f>
        <v>0</v>
      </c>
      <c r="AK10">
        <f>'[5]Template '!$AS$97</f>
        <v>0</v>
      </c>
      <c r="AL10">
        <f>'[5]Template '!$AZ$97</f>
        <v>0</v>
      </c>
      <c r="AM10">
        <f>'[5]Template '!$BB$97</f>
        <v>0</v>
      </c>
      <c r="AN10">
        <f>'[5]Template '!$AU$53</f>
        <v>0</v>
      </c>
      <c r="AO10">
        <f>'[5]Template '!$AV$53</f>
        <v>0</v>
      </c>
      <c r="AP10">
        <f>'[5]Template '!$AY$53</f>
        <v>0</v>
      </c>
      <c r="AQ10">
        <f>'[5]Template '!$AX$53</f>
        <v>0</v>
      </c>
      <c r="AR10">
        <f>'[5]Template '!$AZ$53</f>
        <v>0</v>
      </c>
      <c r="AS10">
        <f>'[5]Template '!$BF$53</f>
        <v>0</v>
      </c>
      <c r="AT10">
        <f t="shared" si="1"/>
        <v>0</v>
      </c>
      <c r="AU10">
        <f t="shared" si="2"/>
        <v>0</v>
      </c>
      <c r="AV10">
        <f t="shared" si="3"/>
        <v>0</v>
      </c>
      <c r="BO10" s="5"/>
      <c r="BW10"/>
      <c r="CZ10" s="5"/>
      <c r="DB10" s="5"/>
      <c r="DE10" s="5"/>
      <c r="DH10"/>
      <c r="DJ10"/>
      <c r="DM10"/>
    </row>
    <row r="11" spans="1:117" x14ac:dyDescent="0.2">
      <c r="B11" t="s">
        <v>115</v>
      </c>
      <c r="D11" t="str">
        <f t="shared" si="0"/>
        <v>M_031.xlsx</v>
      </c>
      <c r="F11" t="str">
        <f>'[9]Template '!$C$2</f>
        <v>D only</v>
      </c>
      <c r="H11">
        <f>'[9]Template '!$C$29</f>
        <v>0.66666666666666663</v>
      </c>
      <c r="I11" t="str">
        <f>'[9]Template '!$C$30</f>
        <v>n/a</v>
      </c>
      <c r="J11">
        <f>'[9]Template '!$C$31</f>
        <v>0.58333333333333326</v>
      </c>
      <c r="K11">
        <f>'[9]Template '!$C$32</f>
        <v>0.19117647058823528</v>
      </c>
      <c r="L11">
        <f>'[9]Template '!$C$33</f>
        <v>0.34523809523809518</v>
      </c>
      <c r="N11">
        <f>'[9]Template '!$C$74</f>
        <v>0.47272727272727272</v>
      </c>
      <c r="O11" t="str">
        <f>'[9]Template '!$C$75</f>
        <v>n/a</v>
      </c>
      <c r="P11">
        <f>'[9]Template '!$C$76</f>
        <v>0.42857142857142855</v>
      </c>
      <c r="Q11">
        <f>'[9]Template '!$C$77</f>
        <v>0.54761904761904756</v>
      </c>
      <c r="R11">
        <f>'[9]Template '!$C$78</f>
        <v>0.3611111111111111</v>
      </c>
      <c r="T11">
        <f>'[9]Template '!$C$96</f>
        <v>0.8</v>
      </c>
      <c r="U11">
        <f>'[9]Template '!$C$97</f>
        <v>0.38148148148148148</v>
      </c>
      <c r="V11">
        <f>'[9]Template '!$C$98</f>
        <v>0.5</v>
      </c>
      <c r="W11">
        <f>'[9]Template '!$C$99</f>
        <v>0.20995670995670992</v>
      </c>
      <c r="X11">
        <f>'[9]Template '!$C$100</f>
        <v>0.55555555555555547</v>
      </c>
      <c r="Z11">
        <f>'[9]Template '!$C$52</f>
        <v>0.21349206349206351</v>
      </c>
      <c r="AA11">
        <f>'[9]Template '!$C$53</f>
        <v>0.38148148148148148</v>
      </c>
      <c r="AB11">
        <f>'[9]Template '!$C$54</f>
        <v>0.5</v>
      </c>
      <c r="AC11">
        <f>'[9]Template '!$C$55</f>
        <v>0.23958333333333334</v>
      </c>
      <c r="AD11">
        <f>'[9]Template '!$C$56</f>
        <v>0.32777777777777778</v>
      </c>
      <c r="AF11">
        <f>'[9]Template '!$Z$30</f>
        <v>0</v>
      </c>
      <c r="AG11">
        <f>'[9]Template '!$AB$75</f>
        <v>1</v>
      </c>
      <c r="AH11">
        <f>'[9]Template '!$AD$75</f>
        <v>0</v>
      </c>
      <c r="AI11">
        <f>'[9]Template '!$AF$75</f>
        <v>0</v>
      </c>
      <c r="AJ11">
        <f>'[9]Template '!$AR$97</f>
        <v>0</v>
      </c>
      <c r="AK11">
        <f>'[9]Template '!$AS$97</f>
        <v>1</v>
      </c>
      <c r="AL11">
        <f>'[9]Template '!$AZ$97</f>
        <v>0</v>
      </c>
      <c r="AM11">
        <f>'[9]Template '!$BB$97</f>
        <v>0</v>
      </c>
      <c r="AN11">
        <f>'[9]Template '!$AU$53</f>
        <v>0</v>
      </c>
      <c r="AO11">
        <f>'[9]Template '!$AV$53</f>
        <v>0</v>
      </c>
      <c r="AP11">
        <f>'[9]Template '!$AY$53</f>
        <v>0</v>
      </c>
      <c r="AQ11">
        <f>'[9]Template '!$AX$53</f>
        <v>0</v>
      </c>
      <c r="AR11">
        <f>'[9]Template '!$AZ$53</f>
        <v>0</v>
      </c>
      <c r="AS11">
        <f>'[9]Template '!$BF$53</f>
        <v>0</v>
      </c>
      <c r="AT11">
        <f t="shared" si="1"/>
        <v>1</v>
      </c>
      <c r="AU11">
        <f t="shared" si="2"/>
        <v>1</v>
      </c>
      <c r="AV11">
        <f t="shared" si="3"/>
        <v>2</v>
      </c>
      <c r="BO11" s="5"/>
      <c r="BW11"/>
      <c r="CZ11" s="5"/>
      <c r="DB11" s="5"/>
      <c r="DE11" s="5"/>
      <c r="DH11"/>
      <c r="DJ11"/>
      <c r="DM11"/>
    </row>
    <row r="12" spans="1:117" x14ac:dyDescent="0.2">
      <c r="B12" t="s">
        <v>117</v>
      </c>
      <c r="D12" t="str">
        <f t="shared" si="0"/>
        <v>M_033.xlsx</v>
      </c>
      <c r="F12" t="str">
        <f>'[11]Template '!$C$2</f>
        <v>D only</v>
      </c>
      <c r="H12">
        <f>'[11]Template '!$C$29</f>
        <v>0</v>
      </c>
      <c r="I12" t="str">
        <f>'[11]Template '!$C$30</f>
        <v>n/a</v>
      </c>
      <c r="J12">
        <f>'[11]Template '!$C$31</f>
        <v>0.41666666666666663</v>
      </c>
      <c r="K12">
        <f>'[11]Template '!$C$32</f>
        <v>0.56617647058823528</v>
      </c>
      <c r="L12">
        <f>'[11]Template '!$C$33</f>
        <v>0.65873015873015872</v>
      </c>
      <c r="N12">
        <f>'[11]Template '!$C$74</f>
        <v>0.29090909090909089</v>
      </c>
      <c r="O12" t="str">
        <f>'[11]Template '!$C$75</f>
        <v>n/a</v>
      </c>
      <c r="P12">
        <f>'[11]Template '!$C$76</f>
        <v>0.3571428571428571</v>
      </c>
      <c r="Q12">
        <f>'[11]Template '!$C$77</f>
        <v>0.46428571428571425</v>
      </c>
      <c r="R12">
        <f>'[11]Template '!$C$78</f>
        <v>0.62103174603174605</v>
      </c>
      <c r="T12">
        <f>'[11]Template '!$C$96</f>
        <v>0.40625</v>
      </c>
      <c r="U12">
        <f>'[11]Template '!$C$97</f>
        <v>0.24444444444444446</v>
      </c>
      <c r="V12">
        <f>'[11]Template '!$C$98</f>
        <v>0.5</v>
      </c>
      <c r="W12">
        <f>'[11]Template '!$C$99</f>
        <v>0.30014430014430016</v>
      </c>
      <c r="X12">
        <f>'[11]Template '!$C$100</f>
        <v>0.63650793650793647</v>
      </c>
      <c r="Z12">
        <f>'[11]Template '!$C$52</f>
        <v>0.14166666666666666</v>
      </c>
      <c r="AA12">
        <f>'[11]Template '!$C$53</f>
        <v>0.24444444444444446</v>
      </c>
      <c r="AB12">
        <f>'[11]Template '!$C$54</f>
        <v>0.5</v>
      </c>
      <c r="AC12">
        <f>'[11]Template '!$C$55</f>
        <v>0.25</v>
      </c>
      <c r="AD12">
        <f>'[11]Template '!$C$56</f>
        <v>0.67023809523809519</v>
      </c>
      <c r="AF12">
        <f>'[11]Template '!$Z$30</f>
        <v>0</v>
      </c>
      <c r="AG12">
        <f>'[11]Template '!$AB$75</f>
        <v>0</v>
      </c>
      <c r="AH12">
        <f>'[11]Template '!$AD$75</f>
        <v>0</v>
      </c>
      <c r="AI12">
        <f>'[11]Template '!$AF$75</f>
        <v>0</v>
      </c>
      <c r="AJ12">
        <f>'[11]Template '!$AR$97</f>
        <v>0</v>
      </c>
      <c r="AK12">
        <f>'[11]Template '!$AS$97</f>
        <v>0</v>
      </c>
      <c r="AL12">
        <f>'[11]Template '!$AZ$97</f>
        <v>0</v>
      </c>
      <c r="AM12">
        <f>'[11]Template '!$BB$97</f>
        <v>0</v>
      </c>
      <c r="AN12">
        <f>'[11]Template '!$AU$53</f>
        <v>0</v>
      </c>
      <c r="AO12">
        <f>'[11]Template '!$AV$53</f>
        <v>0</v>
      </c>
      <c r="AP12">
        <f>'[11]Template '!$AY$53</f>
        <v>0</v>
      </c>
      <c r="AQ12">
        <f>'[11]Template '!$AX$53</f>
        <v>0</v>
      </c>
      <c r="AR12">
        <f>'[11]Template '!$AZ$53</f>
        <v>0</v>
      </c>
      <c r="AS12">
        <f>'[11]Template '!$BF$53</f>
        <v>0</v>
      </c>
      <c r="AT12">
        <f t="shared" si="1"/>
        <v>0</v>
      </c>
      <c r="AU12">
        <f t="shared" si="2"/>
        <v>0</v>
      </c>
      <c r="AV12">
        <f t="shared" si="3"/>
        <v>0</v>
      </c>
      <c r="BO12" s="5"/>
      <c r="BW12"/>
      <c r="CZ12" s="5"/>
      <c r="DB12" s="5"/>
      <c r="DE12" s="5"/>
      <c r="DH12"/>
      <c r="DJ12"/>
      <c r="DM12"/>
    </row>
    <row r="13" spans="1:117" x14ac:dyDescent="0.2">
      <c r="B13" t="s">
        <v>119</v>
      </c>
      <c r="D13" t="str">
        <f t="shared" si="0"/>
        <v>M_035.xlsx</v>
      </c>
      <c r="F13" t="str">
        <f>'[13]Template '!$C$2</f>
        <v>D only</v>
      </c>
      <c r="H13">
        <f>'[13]Template '!$C$29</f>
        <v>0.27777777777777779</v>
      </c>
      <c r="I13" t="str">
        <f>'[13]Template '!$C$30</f>
        <v>n/a</v>
      </c>
      <c r="J13">
        <f>'[13]Template '!$C$31</f>
        <v>0.33333333333333331</v>
      </c>
      <c r="K13">
        <f>'[13]Template '!$C$32</f>
        <v>0.48529411764705882</v>
      </c>
      <c r="L13">
        <f>'[13]Template '!$C$33</f>
        <v>0.50396825396825395</v>
      </c>
      <c r="N13">
        <f>'[13]Template '!$C$74</f>
        <v>0.51818181818181819</v>
      </c>
      <c r="O13" t="str">
        <f>'[13]Template '!$C$75</f>
        <v>n/a</v>
      </c>
      <c r="P13">
        <f>'[13]Template '!$C$76</f>
        <v>0</v>
      </c>
      <c r="Q13">
        <f>'[13]Template '!$C$77</f>
        <v>0.19047619047619047</v>
      </c>
      <c r="R13">
        <f>'[13]Template '!$C$78</f>
        <v>0.24999999999999997</v>
      </c>
      <c r="T13">
        <f>'[13]Template '!$C$96</f>
        <v>0.26041666666666663</v>
      </c>
      <c r="U13">
        <f>'[13]Template '!$C$97</f>
        <v>0.27407407407407408</v>
      </c>
      <c r="V13">
        <f>'[13]Template '!$C$98</f>
        <v>0.5</v>
      </c>
      <c r="W13">
        <f>'[13]Template '!$C$99</f>
        <v>6.0606060606060608E-2</v>
      </c>
      <c r="X13">
        <f>'[13]Template '!$C$100</f>
        <v>0.20158730158730162</v>
      </c>
      <c r="Z13">
        <f>'[13]Template '!$C$52</f>
        <v>0</v>
      </c>
      <c r="AA13">
        <f>'[13]Template '!$C$53</f>
        <v>0.27407407407407408</v>
      </c>
      <c r="AB13">
        <f>'[13]Template '!$C$54</f>
        <v>0</v>
      </c>
      <c r="AC13">
        <f>'[13]Template '!$C$55</f>
        <v>0</v>
      </c>
      <c r="AD13">
        <f>'[13]Template '!$C$56</f>
        <v>0.24166666666666667</v>
      </c>
      <c r="AF13">
        <f>'[13]Template '!$Z$30</f>
        <v>0</v>
      </c>
      <c r="AG13">
        <f>'[13]Template '!$AB$75</f>
        <v>0</v>
      </c>
      <c r="AH13">
        <f>'[13]Template '!$AD$75</f>
        <v>0</v>
      </c>
      <c r="AI13">
        <f>'[13]Template '!$AF$75</f>
        <v>0</v>
      </c>
      <c r="AJ13">
        <f>'[13]Template '!$AR$97</f>
        <v>0</v>
      </c>
      <c r="AK13">
        <f>'[13]Template '!$AS$97</f>
        <v>0</v>
      </c>
      <c r="AL13">
        <f>'[13]Template '!$AZ$97</f>
        <v>0</v>
      </c>
      <c r="AM13">
        <f>'[13]Template '!$BB$97</f>
        <v>0</v>
      </c>
      <c r="AN13">
        <f>'[13]Template '!$AU$53</f>
        <v>0</v>
      </c>
      <c r="AO13">
        <f>'[13]Template '!$AV$53</f>
        <v>0</v>
      </c>
      <c r="AP13">
        <f>'[13]Template '!$AY$53</f>
        <v>0</v>
      </c>
      <c r="AQ13">
        <f>'[13]Template '!$AX$53</f>
        <v>0</v>
      </c>
      <c r="AR13">
        <f>'[13]Template '!$AZ$53</f>
        <v>0</v>
      </c>
      <c r="AS13">
        <f>'[13]Template '!$BF$53</f>
        <v>0</v>
      </c>
      <c r="AT13">
        <f t="shared" si="1"/>
        <v>0</v>
      </c>
      <c r="AU13">
        <f t="shared" si="2"/>
        <v>0</v>
      </c>
      <c r="AV13">
        <f t="shared" si="3"/>
        <v>0</v>
      </c>
    </row>
    <row r="14" spans="1:117" x14ac:dyDescent="0.2">
      <c r="B14" t="s">
        <v>120</v>
      </c>
      <c r="D14" t="str">
        <f t="shared" si="0"/>
        <v>M_036.xlsx</v>
      </c>
      <c r="F14" t="str">
        <f>'[14]Template '!$C$2</f>
        <v>D only</v>
      </c>
      <c r="H14">
        <f>'[14]Template '!$C$29</f>
        <v>5.5555555555555552E-2</v>
      </c>
      <c r="I14" t="str">
        <f>'[14]Template '!$C$30</f>
        <v>n/a</v>
      </c>
      <c r="J14">
        <f>'[14]Template '!$C$31</f>
        <v>0.25</v>
      </c>
      <c r="K14">
        <f>'[14]Template '!$C$32</f>
        <v>0.41176470588235292</v>
      </c>
      <c r="L14">
        <f>'[14]Template '!$C$33</f>
        <v>0.51388888888888895</v>
      </c>
      <c r="N14">
        <f>'[14]Template '!$C$74</f>
        <v>0.38181818181818183</v>
      </c>
      <c r="O14" t="str">
        <f>'[14]Template '!$C$75</f>
        <v>n/a</v>
      </c>
      <c r="P14">
        <f>'[14]Template '!$C$76</f>
        <v>0.14285714285714285</v>
      </c>
      <c r="Q14">
        <f>'[14]Template '!$C$77</f>
        <v>0.5</v>
      </c>
      <c r="R14">
        <f>'[14]Template '!$C$78</f>
        <v>0.66666666666666663</v>
      </c>
      <c r="T14">
        <f>'[14]Template '!$C$96</f>
        <v>0.19583333333333333</v>
      </c>
      <c r="U14">
        <f>'[14]Template '!$C$97</f>
        <v>0.57777777777777783</v>
      </c>
      <c r="V14">
        <f>'[14]Template '!$C$98</f>
        <v>0</v>
      </c>
      <c r="W14">
        <f>'[14]Template '!$C$99</f>
        <v>0.22222222222222221</v>
      </c>
      <c r="X14">
        <f>'[14]Template '!$C$100</f>
        <v>0.47301587301587306</v>
      </c>
      <c r="Z14">
        <f>'[14]Template '!$C$52</f>
        <v>0.27777777777777779</v>
      </c>
      <c r="AA14">
        <f>'[14]Template '!$C$53</f>
        <v>0.57777777777777783</v>
      </c>
      <c r="AB14">
        <f>'[14]Template '!$C$54</f>
        <v>0.25</v>
      </c>
      <c r="AC14">
        <f>'[14]Template '!$C$55</f>
        <v>0.27083333333333331</v>
      </c>
      <c r="AD14">
        <f>'[14]Template '!$C$56</f>
        <v>0.47936507936507944</v>
      </c>
      <c r="AF14">
        <f>'[14]Template '!$Z$30</f>
        <v>0</v>
      </c>
      <c r="AG14">
        <f>'[14]Template '!$AB$75</f>
        <v>0</v>
      </c>
      <c r="AH14">
        <f>'[14]Template '!$AD$75</f>
        <v>1</v>
      </c>
      <c r="AI14">
        <f>'[14]Template '!$AF$75</f>
        <v>0</v>
      </c>
      <c r="AJ14">
        <f>'[14]Template '!$AR$97</f>
        <v>0</v>
      </c>
      <c r="AK14">
        <f>'[14]Template '!$AS$97</f>
        <v>0</v>
      </c>
      <c r="AL14">
        <f>'[14]Template '!$AZ$97</f>
        <v>0</v>
      </c>
      <c r="AM14">
        <f>'[14]Template '!$BB$97</f>
        <v>0</v>
      </c>
      <c r="AN14">
        <f>'[14]Template '!$AU$53</f>
        <v>0</v>
      </c>
      <c r="AO14">
        <f>'[14]Template '!$AV$53</f>
        <v>0</v>
      </c>
      <c r="AP14">
        <f>'[14]Template '!$AY$53</f>
        <v>0</v>
      </c>
      <c r="AQ14">
        <f>'[14]Template '!$AX$53</f>
        <v>0</v>
      </c>
      <c r="AR14">
        <f>'[14]Template '!$AZ$53</f>
        <v>0.5</v>
      </c>
      <c r="AS14">
        <f>'[14]Template '!$BF$53</f>
        <v>0</v>
      </c>
      <c r="AT14">
        <f t="shared" si="1"/>
        <v>1</v>
      </c>
      <c r="AU14">
        <f t="shared" si="2"/>
        <v>0.5</v>
      </c>
      <c r="AV14">
        <f t="shared" si="3"/>
        <v>1.5</v>
      </c>
    </row>
    <row r="15" spans="1:117" x14ac:dyDescent="0.2">
      <c r="B15" t="s">
        <v>122</v>
      </c>
      <c r="D15" t="str">
        <f t="shared" si="0"/>
        <v>M_039.xlsx</v>
      </c>
      <c r="F15" t="str">
        <f>'[16]Template '!$C$2</f>
        <v>D only</v>
      </c>
      <c r="H15">
        <f>'[16]Template '!$C$29</f>
        <v>0</v>
      </c>
      <c r="I15" t="str">
        <f>'[16]Template '!$C$30</f>
        <v>n/a</v>
      </c>
      <c r="J15">
        <f>'[16]Template '!$C$31</f>
        <v>0.25</v>
      </c>
      <c r="K15">
        <f>'[16]Template '!$C$32</f>
        <v>0.20588235294117646</v>
      </c>
      <c r="L15">
        <f>'[16]Template '!$C$33</f>
        <v>0.44841269841269837</v>
      </c>
      <c r="N15">
        <f>'[16]Template '!$C$74</f>
        <v>0.51818181818181819</v>
      </c>
      <c r="O15" t="str">
        <f>'[16]Template '!$C$75</f>
        <v>n/a</v>
      </c>
      <c r="P15">
        <f>'[16]Template '!$C$76</f>
        <v>0.14285714285714285</v>
      </c>
      <c r="Q15">
        <f>'[16]Template '!$C$77</f>
        <v>0.46428571428571425</v>
      </c>
      <c r="R15">
        <f>'[16]Template '!$C$78</f>
        <v>0.50396825396825395</v>
      </c>
      <c r="T15">
        <f>'[16]Template '!$C$96</f>
        <v>0.4458333333333333</v>
      </c>
      <c r="U15">
        <f>'[16]Template '!$C$97</f>
        <v>0.37777777777777777</v>
      </c>
      <c r="V15">
        <f>'[16]Template '!$C$98</f>
        <v>0.5</v>
      </c>
      <c r="W15">
        <f>'[16]Template '!$C$99</f>
        <v>0.4386724386724386</v>
      </c>
      <c r="X15">
        <f>'[16]Template '!$C$100</f>
        <v>0.71349206349206329</v>
      </c>
      <c r="Z15">
        <f>'[16]Template '!$C$52</f>
        <v>0.37698412698412698</v>
      </c>
      <c r="AA15">
        <f>'[16]Template '!$C$53</f>
        <v>0.37777777777777777</v>
      </c>
      <c r="AB15">
        <f>'[16]Template '!$C$54</f>
        <v>0</v>
      </c>
      <c r="AC15">
        <f>'[16]Template '!$C$55</f>
        <v>0.3125</v>
      </c>
      <c r="AD15">
        <f>'[16]Template '!$C$56</f>
        <v>0.54920634920634914</v>
      </c>
      <c r="AF15">
        <f>'[16]Template '!$Z$30</f>
        <v>0</v>
      </c>
      <c r="AG15">
        <f>'[16]Template '!$AB$75</f>
        <v>0</v>
      </c>
      <c r="AH15">
        <f>'[16]Template '!$AD$75</f>
        <v>0</v>
      </c>
      <c r="AI15">
        <f>'[16]Template '!$AF$75</f>
        <v>0</v>
      </c>
      <c r="AJ15">
        <f>'[16]Template '!$AR$97</f>
        <v>0.5</v>
      </c>
      <c r="AK15">
        <f>'[16]Template '!$AS$97</f>
        <v>0</v>
      </c>
      <c r="AL15">
        <f>'[16]Template '!$AZ$97</f>
        <v>0.5</v>
      </c>
      <c r="AM15">
        <f>'[16]Template '!$BB$97</f>
        <v>0</v>
      </c>
      <c r="AN15">
        <f>'[16]Template '!$AU$53</f>
        <v>0</v>
      </c>
      <c r="AO15">
        <f>'[16]Template '!$AV$53</f>
        <v>0</v>
      </c>
      <c r="AP15">
        <f>'[16]Template '!$AY$53</f>
        <v>0</v>
      </c>
      <c r="AQ15">
        <f>'[16]Template '!$AX$53</f>
        <v>0</v>
      </c>
      <c r="AR15">
        <f>'[16]Template '!$AZ$53</f>
        <v>0</v>
      </c>
      <c r="AS15">
        <f>'[16]Template '!$BF$53</f>
        <v>0</v>
      </c>
      <c r="AT15">
        <f t="shared" si="1"/>
        <v>0</v>
      </c>
      <c r="AU15">
        <f t="shared" si="2"/>
        <v>1</v>
      </c>
      <c r="AV15">
        <f t="shared" si="3"/>
        <v>1</v>
      </c>
    </row>
    <row r="16" spans="1:117" x14ac:dyDescent="0.2">
      <c r="B16" t="s">
        <v>123</v>
      </c>
      <c r="D16" t="str">
        <f t="shared" si="0"/>
        <v>M_040.xlsx</v>
      </c>
      <c r="F16" t="str">
        <f>'[17]Template '!$C$2</f>
        <v>D only</v>
      </c>
      <c r="H16">
        <f>'[17]Template '!$C$29</f>
        <v>0.33333333333333331</v>
      </c>
      <c r="I16" t="str">
        <f>'[17]Template '!$C$30</f>
        <v>n/a</v>
      </c>
      <c r="J16">
        <f>'[17]Template '!$C$31</f>
        <v>0.58333333333333326</v>
      </c>
      <c r="K16">
        <f>'[17]Template '!$C$32</f>
        <v>0.7720588235294118</v>
      </c>
      <c r="L16">
        <f>'[17]Template '!$C$33</f>
        <v>0.66468253968253965</v>
      </c>
      <c r="N16">
        <f>'[17]Template '!$C$74</f>
        <v>0.7</v>
      </c>
      <c r="O16" t="str">
        <f>'[17]Template '!$C$75</f>
        <v>n/a</v>
      </c>
      <c r="P16">
        <f>'[17]Template '!$C$76</f>
        <v>0.42857142857142855</v>
      </c>
      <c r="Q16">
        <f>'[17]Template '!$C$77</f>
        <v>0.71428571428571419</v>
      </c>
      <c r="R16">
        <f>'[17]Template '!$C$78</f>
        <v>0.85515873015873012</v>
      </c>
      <c r="T16">
        <f>'[17]Template '!$C$96</f>
        <v>0.54166666666666663</v>
      </c>
      <c r="U16">
        <f>'[17]Template '!$C$97</f>
        <v>0.50370370370370376</v>
      </c>
      <c r="V16">
        <f>'[17]Template '!$C$98</f>
        <v>0.5</v>
      </c>
      <c r="W16">
        <f>'[17]Template '!$C$99</f>
        <v>0.40836940836940833</v>
      </c>
      <c r="X16">
        <f>'[17]Template '!$C$100</f>
        <v>0.75396825396825395</v>
      </c>
      <c r="Z16">
        <f>'[17]Template '!$C$52</f>
        <v>0.69444444444444442</v>
      </c>
      <c r="AA16">
        <f>'[17]Template '!$C$53</f>
        <v>0.50370370370370376</v>
      </c>
      <c r="AB16">
        <f>'[17]Template '!$C$54</f>
        <v>0.5</v>
      </c>
      <c r="AC16">
        <f>'[17]Template '!$C$55</f>
        <v>0.5446428571428571</v>
      </c>
      <c r="AD16">
        <f>'[17]Template '!$C$56</f>
        <v>0.74841269841269842</v>
      </c>
      <c r="AF16">
        <f>'[17]Template '!$Z$30</f>
        <v>0.5</v>
      </c>
      <c r="AG16">
        <f>'[17]Template '!$AB$75</f>
        <v>1</v>
      </c>
      <c r="AH16">
        <f>'[17]Template '!$AD$75</f>
        <v>1</v>
      </c>
      <c r="AI16">
        <f>'[17]Template '!$AF$75</f>
        <v>1</v>
      </c>
      <c r="AJ16">
        <f>'[17]Template '!$AR$97</f>
        <v>0.5</v>
      </c>
      <c r="AK16">
        <f>'[17]Template '!$AS$97</f>
        <v>0</v>
      </c>
      <c r="AL16">
        <f>'[17]Template '!$AZ$97</f>
        <v>0</v>
      </c>
      <c r="AM16">
        <f>'[17]Template '!$BB$97</f>
        <v>0</v>
      </c>
      <c r="AN16">
        <f>'[17]Template '!$AU$53</f>
        <v>1</v>
      </c>
      <c r="AO16">
        <f>'[17]Template '!$AV$53</f>
        <v>0</v>
      </c>
      <c r="AP16">
        <f>'[17]Template '!$AY$53</f>
        <v>0</v>
      </c>
      <c r="AQ16">
        <f>'[17]Template '!$AX$53</f>
        <v>0</v>
      </c>
      <c r="AR16">
        <f>'[17]Template '!$AZ$53</f>
        <v>0</v>
      </c>
      <c r="AS16">
        <f>'[17]Template '!$BF$53</f>
        <v>0.5</v>
      </c>
      <c r="AT16">
        <f t="shared" si="1"/>
        <v>3.5</v>
      </c>
      <c r="AU16">
        <f t="shared" si="2"/>
        <v>2</v>
      </c>
      <c r="AV16">
        <f t="shared" si="3"/>
        <v>5.5</v>
      </c>
    </row>
    <row r="17" spans="1:48" x14ac:dyDescent="0.2">
      <c r="B17" t="s">
        <v>124</v>
      </c>
      <c r="D17" t="str">
        <f t="shared" si="0"/>
        <v>M_041.xlsx</v>
      </c>
      <c r="F17" t="str">
        <f>'[18]Template '!$C$2</f>
        <v>D only</v>
      </c>
      <c r="H17">
        <f>'[18]Template '!$C$29</f>
        <v>0.1111111111111111</v>
      </c>
      <c r="I17" t="str">
        <f>'[18]Template '!$C$30</f>
        <v>n/a</v>
      </c>
      <c r="J17">
        <f>'[18]Template '!$C$31</f>
        <v>0.58333333333333326</v>
      </c>
      <c r="K17">
        <f>'[18]Template '!$C$32</f>
        <v>0.66911764705882359</v>
      </c>
      <c r="L17">
        <f>'[18]Template '!$C$33</f>
        <v>0.57936507936507931</v>
      </c>
      <c r="N17">
        <f>'[18]Template '!$C$74</f>
        <v>0.23636363636363636</v>
      </c>
      <c r="O17" t="str">
        <f>'[18]Template '!$C$75</f>
        <v>n/a</v>
      </c>
      <c r="P17">
        <f>'[18]Template '!$C$76</f>
        <v>0.4642857142857143</v>
      </c>
      <c r="Q17">
        <f>'[18]Template '!$C$77</f>
        <v>0.46428571428571425</v>
      </c>
      <c r="R17">
        <f>'[18]Template '!$C$78</f>
        <v>0.60119047619047616</v>
      </c>
      <c r="T17">
        <f>'[18]Template '!$C$96</f>
        <v>0.37291666666666662</v>
      </c>
      <c r="U17">
        <f>'[18]Template '!$C$97</f>
        <v>0.60740740740740751</v>
      </c>
      <c r="V17">
        <f>'[18]Template '!$C$98</f>
        <v>0.5</v>
      </c>
      <c r="W17">
        <f>'[18]Template '!$C$99</f>
        <v>0.45057720057720058</v>
      </c>
      <c r="X17">
        <f>'[18]Template '!$C$100</f>
        <v>0.70317460317460334</v>
      </c>
      <c r="Z17">
        <f>'[18]Template '!$C$52</f>
        <v>0.31507936507936507</v>
      </c>
      <c r="AA17">
        <f>'[18]Template '!$C$53</f>
        <v>0.60740740740740751</v>
      </c>
      <c r="AB17">
        <f>'[18]Template '!$C$54</f>
        <v>0.5</v>
      </c>
      <c r="AC17">
        <f>'[18]Template '!$C$55</f>
        <v>0.125</v>
      </c>
      <c r="AD17">
        <f>'[18]Template '!$C$56</f>
        <v>0.71904761904761916</v>
      </c>
      <c r="AF17">
        <f>'[18]Template '!$Z$30</f>
        <v>0</v>
      </c>
      <c r="AG17">
        <f>'[18]Template '!$AB$75</f>
        <v>0</v>
      </c>
      <c r="AH17">
        <f>'[18]Template '!$AD$75</f>
        <v>0</v>
      </c>
      <c r="AI17">
        <f>'[18]Template '!$AF$75</f>
        <v>0</v>
      </c>
      <c r="AJ17">
        <f>'[18]Template '!$AR$97</f>
        <v>0</v>
      </c>
      <c r="AK17">
        <f>'[18]Template '!$AS$97</f>
        <v>0.5</v>
      </c>
      <c r="AL17">
        <f>'[18]Template '!$AZ$97</f>
        <v>0</v>
      </c>
      <c r="AM17">
        <f>'[18]Template '!$BB$97</f>
        <v>0</v>
      </c>
      <c r="AN17">
        <f>'[18]Template '!$AU$53</f>
        <v>0</v>
      </c>
      <c r="AO17">
        <f>'[18]Template '!$AV$53</f>
        <v>0</v>
      </c>
      <c r="AP17">
        <f>'[18]Template '!$AY$53</f>
        <v>0</v>
      </c>
      <c r="AQ17">
        <f>'[18]Template '!$AX$53</f>
        <v>0</v>
      </c>
      <c r="AR17">
        <f>'[18]Template '!$AZ$53</f>
        <v>0</v>
      </c>
      <c r="AS17">
        <f>'[18]Template '!$BF$53</f>
        <v>0</v>
      </c>
      <c r="AT17">
        <f t="shared" si="1"/>
        <v>0</v>
      </c>
      <c r="AU17">
        <f t="shared" si="2"/>
        <v>0.5</v>
      </c>
      <c r="AV17">
        <f t="shared" si="3"/>
        <v>0.5</v>
      </c>
    </row>
    <row r="18" spans="1:48" x14ac:dyDescent="0.2">
      <c r="B18" t="s">
        <v>128</v>
      </c>
      <c r="D18" t="str">
        <f t="shared" si="0"/>
        <v>M_048.xlsx</v>
      </c>
      <c r="F18" t="str">
        <f>'[22]Template '!$C$2</f>
        <v>D only</v>
      </c>
      <c r="H18">
        <f>'[22]Template '!$C$29</f>
        <v>0.1111111111111111</v>
      </c>
      <c r="I18" t="str">
        <f>'[22]Template '!$C$30</f>
        <v>n/a</v>
      </c>
      <c r="J18">
        <f>'[22]Template '!$C$31</f>
        <v>0.25</v>
      </c>
      <c r="K18">
        <f>'[22]Template '!$C$32</f>
        <v>0.48529411764705882</v>
      </c>
      <c r="L18">
        <f>'[22]Template '!$C$33</f>
        <v>0.26785714285714285</v>
      </c>
      <c r="N18">
        <f>'[22]Template '!$C$74</f>
        <v>0.29090909090909089</v>
      </c>
      <c r="O18" t="str">
        <f>'[22]Template '!$C$75</f>
        <v>n/a</v>
      </c>
      <c r="P18">
        <f>'[22]Template '!$C$76</f>
        <v>0.2857142857142857</v>
      </c>
      <c r="Q18">
        <f>'[22]Template '!$C$77</f>
        <v>0.54613095238095233</v>
      </c>
      <c r="R18">
        <f>'[22]Template '!$C$78</f>
        <v>0.41071428571428564</v>
      </c>
      <c r="T18">
        <f>'[22]Template '!$C$96</f>
        <v>0.3125</v>
      </c>
      <c r="U18">
        <f>'[22]Template '!$C$97</f>
        <v>0.3</v>
      </c>
      <c r="V18">
        <f>'[22]Template '!$C$98</f>
        <v>0.5</v>
      </c>
      <c r="W18">
        <f>'[22]Template '!$C$99</f>
        <v>0.29797979797979796</v>
      </c>
      <c r="X18">
        <f>'[22]Template '!$C$100</f>
        <v>0.42698412698412697</v>
      </c>
      <c r="Z18">
        <f>'[22]Template '!$C$52</f>
        <v>0.33333333333333331</v>
      </c>
      <c r="AA18">
        <f>'[22]Template '!$C$53</f>
        <v>0.3</v>
      </c>
      <c r="AB18">
        <f>'[22]Template '!$C$54</f>
        <v>0.5</v>
      </c>
      <c r="AC18">
        <f>'[22]Template '!$C$55</f>
        <v>0.20833333333333334</v>
      </c>
      <c r="AD18">
        <f>'[22]Template '!$C$56</f>
        <v>0.2904761904761905</v>
      </c>
      <c r="AF18">
        <f>'[22]Template '!$Z$30</f>
        <v>0</v>
      </c>
      <c r="AG18">
        <f>'[22]Template '!$AB$75</f>
        <v>1</v>
      </c>
      <c r="AH18">
        <f>'[22]Template '!$AD$75</f>
        <v>0.5</v>
      </c>
      <c r="AI18">
        <f>'[22]Template '!$AF$75</f>
        <v>0</v>
      </c>
      <c r="AJ18">
        <f>'[22]Template '!$AR$97</f>
        <v>0</v>
      </c>
      <c r="AK18">
        <f>'[22]Template '!$AS$97</f>
        <v>0</v>
      </c>
      <c r="AL18">
        <f>'[22]Template '!$AZ$97</f>
        <v>0</v>
      </c>
      <c r="AM18">
        <f>'[22]Template '!$BB$97</f>
        <v>0</v>
      </c>
      <c r="AN18">
        <f>'[22]Template '!$AU$53</f>
        <v>0</v>
      </c>
      <c r="AO18">
        <f>'[22]Template '!$AV$53</f>
        <v>0</v>
      </c>
      <c r="AP18">
        <f>'[22]Template '!$AY$53</f>
        <v>0</v>
      </c>
      <c r="AQ18">
        <f>'[22]Template '!$AX$53</f>
        <v>0</v>
      </c>
      <c r="AR18">
        <f>'[22]Template '!$AZ$53</f>
        <v>0</v>
      </c>
      <c r="AS18">
        <f>'[22]Template '!$BF$53</f>
        <v>0</v>
      </c>
      <c r="AT18">
        <f t="shared" si="1"/>
        <v>1.5</v>
      </c>
      <c r="AU18">
        <f t="shared" si="2"/>
        <v>0</v>
      </c>
      <c r="AV18">
        <f t="shared" si="3"/>
        <v>1.5</v>
      </c>
    </row>
    <row r="19" spans="1:48" x14ac:dyDescent="0.2">
      <c r="B19" t="s">
        <v>129</v>
      </c>
      <c r="D19" t="str">
        <f t="shared" si="0"/>
        <v>M_049.xlsx</v>
      </c>
      <c r="F19" t="str">
        <f>'[23]Template '!$C$2</f>
        <v>D only</v>
      </c>
      <c r="H19">
        <f>'[23]Template '!$C$29</f>
        <v>0</v>
      </c>
      <c r="I19" t="str">
        <f>'[23]Template '!$C$30</f>
        <v>n/a</v>
      </c>
      <c r="J19">
        <f>'[23]Template '!$C$31</f>
        <v>0.41666666666666663</v>
      </c>
      <c r="K19">
        <f>'[23]Template '!$C$32</f>
        <v>0.3970588235294118</v>
      </c>
      <c r="L19">
        <f>'[23]Template '!$C$33</f>
        <v>0.13293650793650794</v>
      </c>
      <c r="N19">
        <f>'[23]Template '!$C$74</f>
        <v>0.29090909090909089</v>
      </c>
      <c r="O19" t="str">
        <f>'[23]Template '!$C$75</f>
        <v>n/a</v>
      </c>
      <c r="P19">
        <f>'[23]Template '!$C$76</f>
        <v>0.39285714285714285</v>
      </c>
      <c r="Q19">
        <f>'[23]Template '!$C$77</f>
        <v>0.5</v>
      </c>
      <c r="R19">
        <f>'[23]Template '!$C$78</f>
        <v>0.33928571428571425</v>
      </c>
      <c r="T19">
        <f>'[23]Template '!$C$96</f>
        <v>0.16666666666666666</v>
      </c>
      <c r="U19">
        <f>'[23]Template '!$C$97</f>
        <v>0.26666666666666666</v>
      </c>
      <c r="V19">
        <f>'[23]Template '!$C$98</f>
        <v>0.5</v>
      </c>
      <c r="W19">
        <f>'[23]Template '!$C$99</f>
        <v>3.0303030303030304E-2</v>
      </c>
      <c r="X19">
        <f>'[23]Template '!$C$100</f>
        <v>0.15873015873015872</v>
      </c>
      <c r="Z19">
        <f>'[23]Template '!$C$52</f>
        <v>0</v>
      </c>
      <c r="AA19">
        <f>'[23]Template '!$C$53</f>
        <v>0.26666666666666666</v>
      </c>
      <c r="AB19">
        <f>'[23]Template '!$C$54</f>
        <v>0.5</v>
      </c>
      <c r="AC19">
        <f>'[23]Template '!$C$55</f>
        <v>0.16666666666666666</v>
      </c>
      <c r="AD19">
        <f>'[23]Template '!$C$56</f>
        <v>0.31468253968253967</v>
      </c>
      <c r="AF19">
        <f>'[23]Template '!$Z$30</f>
        <v>0</v>
      </c>
      <c r="AG19">
        <f>'[23]Template '!$AB$75</f>
        <v>0</v>
      </c>
      <c r="AH19">
        <f>'[23]Template '!$AD$75</f>
        <v>0</v>
      </c>
      <c r="AI19">
        <f>'[23]Template '!$AF$75</f>
        <v>0</v>
      </c>
      <c r="AJ19">
        <f>'[23]Template '!$AR$97</f>
        <v>0</v>
      </c>
      <c r="AK19">
        <f>'[23]Template '!$AS$97</f>
        <v>0</v>
      </c>
      <c r="AL19">
        <f>'[23]Template '!$AZ$97</f>
        <v>0</v>
      </c>
      <c r="AM19">
        <f>'[23]Template '!$BB$97</f>
        <v>0</v>
      </c>
      <c r="AN19">
        <f>'[23]Template '!$AU$53</f>
        <v>0</v>
      </c>
      <c r="AO19">
        <f>'[23]Template '!$AV$53</f>
        <v>0</v>
      </c>
      <c r="AP19">
        <f>'[23]Template '!$AY$53</f>
        <v>0</v>
      </c>
      <c r="AQ19">
        <f>'[23]Template '!$AX$53</f>
        <v>0</v>
      </c>
      <c r="AR19">
        <f>'[23]Template '!$AZ$53</f>
        <v>0</v>
      </c>
      <c r="AS19">
        <f>'[23]Template '!$BF$53</f>
        <v>0</v>
      </c>
      <c r="AT19">
        <f t="shared" si="1"/>
        <v>0</v>
      </c>
      <c r="AU19">
        <f t="shared" si="2"/>
        <v>0</v>
      </c>
      <c r="AV19">
        <f t="shared" si="3"/>
        <v>0</v>
      </c>
    </row>
    <row r="20" spans="1:48" x14ac:dyDescent="0.2">
      <c r="B20" t="s">
        <v>131</v>
      </c>
      <c r="D20" t="str">
        <f t="shared" si="0"/>
        <v>M_084.xlsx</v>
      </c>
      <c r="F20" t="str">
        <f>'[25]Template '!$C$2</f>
        <v>D only</v>
      </c>
      <c r="H20">
        <f>'[25]Template '!$C$29</f>
        <v>0.25</v>
      </c>
      <c r="I20" t="str">
        <f>'[25]Template '!$C$30</f>
        <v>n/a</v>
      </c>
      <c r="J20">
        <f>'[25]Template '!$C$31</f>
        <v>0.41666666666666663</v>
      </c>
      <c r="K20">
        <f>'[25]Template '!$C$32</f>
        <v>0.63235294117647056</v>
      </c>
      <c r="L20">
        <f>'[25]Template '!$C$33</f>
        <v>0.52579365079365081</v>
      </c>
      <c r="N20">
        <f>'[25]Template '!$C$74</f>
        <v>0.38181818181818183</v>
      </c>
      <c r="O20" t="str">
        <f>'[25]Template '!$C$75</f>
        <v>n/a</v>
      </c>
      <c r="P20">
        <f>'[25]Template '!$C$76</f>
        <v>0.4821428571428571</v>
      </c>
      <c r="Q20">
        <f>'[25]Template '!$C$77</f>
        <v>0.54761904761904756</v>
      </c>
      <c r="R20">
        <f>'[25]Template '!$C$78</f>
        <v>0.51984126984126977</v>
      </c>
      <c r="T20">
        <f>'[25]Template '!$C$96</f>
        <v>0.4375</v>
      </c>
      <c r="U20">
        <f>'[25]Template '!$C$97</f>
        <v>0.3444444444444445</v>
      </c>
      <c r="V20">
        <f>'[25]Template '!$C$98</f>
        <v>0.5</v>
      </c>
      <c r="W20">
        <f>'[25]Template '!$C$99</f>
        <v>0.48088023088023085</v>
      </c>
      <c r="X20">
        <f>'[25]Template '!$C$100</f>
        <v>0.65992063492063491</v>
      </c>
      <c r="Z20">
        <f>'[25]Template '!$C$52</f>
        <v>0.375</v>
      </c>
      <c r="AA20">
        <f>'[25]Template '!$C$53</f>
        <v>0.3444444444444445</v>
      </c>
      <c r="AB20">
        <f>'[25]Template '!$C$54</f>
        <v>0.5</v>
      </c>
      <c r="AC20">
        <f>'[25]Template '!$C$55</f>
        <v>0.375</v>
      </c>
      <c r="AD20">
        <f>'[25]Template '!$C$56</f>
        <v>0.43650793650793651</v>
      </c>
      <c r="AF20">
        <f>'[25]Template '!$Z$30</f>
        <v>1</v>
      </c>
      <c r="AG20">
        <f>'[25]Template '!$AB$75</f>
        <v>1</v>
      </c>
      <c r="AH20">
        <f>'[25]Template '!$AD$75</f>
        <v>0</v>
      </c>
      <c r="AI20">
        <f>'[25]Template '!$AF$75</f>
        <v>0</v>
      </c>
      <c r="AJ20">
        <f>'[25]Template '!$AR$97</f>
        <v>1</v>
      </c>
      <c r="AK20">
        <f>'[25]Template '!$AS$97</f>
        <v>0</v>
      </c>
      <c r="AL20">
        <f>'[25]Template '!$AZ$97</f>
        <v>1</v>
      </c>
      <c r="AM20">
        <f>'[25]Template '!$BB$97</f>
        <v>0</v>
      </c>
      <c r="AN20">
        <f>'[25]Template '!$AU$53</f>
        <v>1</v>
      </c>
      <c r="AO20">
        <f>'[25]Template '!$AV$53</f>
        <v>1</v>
      </c>
      <c r="AP20">
        <f>'[25]Template '!$AY$53</f>
        <v>0</v>
      </c>
      <c r="AQ20">
        <f>'[25]Template '!$AX$53</f>
        <v>0</v>
      </c>
      <c r="AR20">
        <f>'[25]Template '!$AZ$53</f>
        <v>0</v>
      </c>
      <c r="AS20">
        <f>'[25]Template '!$BF$53</f>
        <v>0</v>
      </c>
      <c r="AT20">
        <f t="shared" si="1"/>
        <v>2</v>
      </c>
      <c r="AU20">
        <f t="shared" si="2"/>
        <v>4</v>
      </c>
      <c r="AV20">
        <f t="shared" si="3"/>
        <v>6</v>
      </c>
    </row>
    <row r="21" spans="1:48" x14ac:dyDescent="0.2">
      <c r="B21" t="s">
        <v>133</v>
      </c>
      <c r="D21" t="str">
        <f t="shared" si="0"/>
        <v>M_086.xlsx</v>
      </c>
      <c r="F21" t="str">
        <f>'[40]Template '!$C$2</f>
        <v>D only</v>
      </c>
      <c r="H21">
        <f>'[40]Template '!$C$29</f>
        <v>0.16666666666666666</v>
      </c>
      <c r="I21" t="str">
        <f>'[40]Template '!$C$30</f>
        <v>n/a</v>
      </c>
      <c r="J21">
        <f>'[40]Template '!$C$31</f>
        <v>0.20833333333333331</v>
      </c>
      <c r="K21">
        <f>'[40]Template '!$C$32</f>
        <v>0.56617647058823528</v>
      </c>
      <c r="L21">
        <f>'[40]Template '!$C$33</f>
        <v>0.53174603174603174</v>
      </c>
      <c r="N21">
        <f>'[40]Template '!$C$74</f>
        <v>0.65454545454545454</v>
      </c>
      <c r="O21" t="str">
        <f>'[40]Template '!$C$75</f>
        <v>n/a</v>
      </c>
      <c r="P21">
        <f>'[40]Template '!$C$76</f>
        <v>0.4642857142857143</v>
      </c>
      <c r="Q21">
        <f>'[40]Template '!$C$77</f>
        <v>0.63095238095238093</v>
      </c>
      <c r="R21">
        <f>'[40]Template '!$C$78</f>
        <v>0.53968253968253965</v>
      </c>
      <c r="T21">
        <f>'[40]Template '!$C$96</f>
        <v>0.58125000000000004</v>
      </c>
      <c r="U21">
        <f>'[40]Template '!$C$97</f>
        <v>0.3666666666666667</v>
      </c>
      <c r="V21">
        <f>'[40]Template '!$C$98</f>
        <v>0.25</v>
      </c>
      <c r="W21">
        <f>'[40]Template '!$C$99</f>
        <v>0.30375180375180372</v>
      </c>
      <c r="X21">
        <f>'[40]Template '!$C$100</f>
        <v>0.74047619047619051</v>
      </c>
      <c r="Z21">
        <f>'[40]Template '!$C$52</f>
        <v>0.19444444444444445</v>
      </c>
      <c r="AA21">
        <f>'[40]Template '!$C$53</f>
        <v>0.3666666666666667</v>
      </c>
      <c r="AB21">
        <f>'[40]Template '!$C$54</f>
        <v>0.25</v>
      </c>
      <c r="AC21">
        <f>'[40]Template '!$C$55</f>
        <v>0.46130952380952378</v>
      </c>
      <c r="AD21">
        <f>'[40]Template '!$C$56</f>
        <v>0.62142857142857144</v>
      </c>
      <c r="AF21">
        <f>'[40]Template '!$Z$30</f>
        <v>0</v>
      </c>
      <c r="AG21">
        <f>'[40]Template '!$AB$75</f>
        <v>0</v>
      </c>
      <c r="AH21">
        <f>'[40]Template '!$AD$75</f>
        <v>0</v>
      </c>
      <c r="AI21">
        <f>'[40]Template '!$AF$75</f>
        <v>0</v>
      </c>
      <c r="AJ21">
        <f>'[40]Template '!$AR$97</f>
        <v>0.5</v>
      </c>
      <c r="AK21">
        <f>'[40]Template '!$AS$97</f>
        <v>0</v>
      </c>
      <c r="AL21">
        <f>'[40]Template '!$AZ$97</f>
        <v>0.5</v>
      </c>
      <c r="AM21">
        <f>'[40]Template '!$BB$97</f>
        <v>0</v>
      </c>
      <c r="AN21">
        <f>'[40]Template '!$AU$53</f>
        <v>0</v>
      </c>
      <c r="AO21">
        <f>'[40]Template '!$AV$53</f>
        <v>0</v>
      </c>
      <c r="AP21">
        <f>'[40]Template '!$AY$53</f>
        <v>0</v>
      </c>
      <c r="AQ21">
        <f>'[40]Template '!$AX$53</f>
        <v>0</v>
      </c>
      <c r="AR21">
        <f>'[40]Template '!$AZ$53</f>
        <v>0</v>
      </c>
      <c r="AS21">
        <f>'[40]Template '!$BF$53</f>
        <v>0.5</v>
      </c>
      <c r="AT21">
        <f t="shared" ref="AT21" si="4">SUM(AF21:AI21)</f>
        <v>0</v>
      </c>
      <c r="AU21">
        <f t="shared" ref="AU21" si="5">SUM(AJ21:AS21)</f>
        <v>1.5</v>
      </c>
      <c r="AV21">
        <f t="shared" ref="AV21" si="6">AT21+AU21</f>
        <v>1.5</v>
      </c>
    </row>
    <row r="22" spans="1:48" x14ac:dyDescent="0.2">
      <c r="B22" t="s">
        <v>134</v>
      </c>
      <c r="D22" t="str">
        <f t="shared" si="0"/>
        <v>M_087.xlsx</v>
      </c>
      <c r="F22" t="str">
        <f>'[41]Template '!$C$2</f>
        <v>D only</v>
      </c>
      <c r="H22">
        <f>'[41]Template '!$C$29</f>
        <v>0.1111111111111111</v>
      </c>
      <c r="I22" t="str">
        <f>'[41]Template '!$C$30</f>
        <v>n/a</v>
      </c>
      <c r="J22">
        <f>'[41]Template '!$C$31</f>
        <v>0.58333333333333326</v>
      </c>
      <c r="K22">
        <f>'[41]Template '!$C$32</f>
        <v>0.66911764705882359</v>
      </c>
      <c r="L22">
        <f>'[41]Template '!$C$33</f>
        <v>0.42857142857142855</v>
      </c>
      <c r="N22">
        <f>'[41]Template '!$C$74</f>
        <v>0.56363636363636371</v>
      </c>
      <c r="O22" t="str">
        <f>'[41]Template '!$C$75</f>
        <v>n/a</v>
      </c>
      <c r="P22">
        <f>'[41]Template '!$C$76</f>
        <v>0.4642857142857143</v>
      </c>
      <c r="Q22">
        <f>'[41]Template '!$C$77</f>
        <v>0.3571428571428571</v>
      </c>
      <c r="R22">
        <f>'[41]Template '!$C$78</f>
        <v>0.35714285714285715</v>
      </c>
      <c r="T22">
        <f>'[41]Template '!$C$96</f>
        <v>0.2583333333333333</v>
      </c>
      <c r="U22">
        <f>'[41]Template '!$C$97</f>
        <v>0.54074074074074074</v>
      </c>
      <c r="V22">
        <f>'[41]Template '!$C$98</f>
        <v>0.5</v>
      </c>
      <c r="W22">
        <f>'[41]Template '!$C$99</f>
        <v>0.37806637806637805</v>
      </c>
      <c r="X22">
        <f>'[41]Template '!$C$100</f>
        <v>0.3436507936507936</v>
      </c>
      <c r="Z22">
        <f>'[41]Template '!$C$52</f>
        <v>0.61507936507936511</v>
      </c>
      <c r="AA22">
        <f>'[41]Template '!$C$53</f>
        <v>0.54074074074074074</v>
      </c>
      <c r="AB22">
        <f>'[41]Template '!$C$54</f>
        <v>0.5</v>
      </c>
      <c r="AC22">
        <f>'[41]Template '!$C$55</f>
        <v>0.41369047619047622</v>
      </c>
      <c r="AD22">
        <f>'[41]Template '!$C$56</f>
        <v>0.81904761904761914</v>
      </c>
      <c r="AF22">
        <f>'[41]Template '!$Z$30</f>
        <v>0</v>
      </c>
      <c r="AG22">
        <f>'[41]Template '!$AB$75</f>
        <v>0</v>
      </c>
      <c r="AH22">
        <f>'[41]Template '!$AD$75</f>
        <v>0</v>
      </c>
      <c r="AI22">
        <f>'[41]Template '!$AF$75</f>
        <v>0</v>
      </c>
      <c r="AJ22">
        <f>'[41]Template '!$AR$97</f>
        <v>1</v>
      </c>
      <c r="AK22">
        <f>'[41]Template '!$AS$97</f>
        <v>0</v>
      </c>
      <c r="AL22">
        <f>'[41]Template '!$AZ$97</f>
        <v>0</v>
      </c>
      <c r="AM22">
        <f>'[41]Template '!$BB$97</f>
        <v>0</v>
      </c>
      <c r="AN22">
        <f>'[41]Template '!$AU$53</f>
        <v>0</v>
      </c>
      <c r="AO22">
        <f>'[41]Template '!$AV$53</f>
        <v>0</v>
      </c>
      <c r="AP22">
        <f>'[41]Template '!$AY$53</f>
        <v>0</v>
      </c>
      <c r="AQ22">
        <f>'[41]Template '!$AX$53</f>
        <v>0</v>
      </c>
      <c r="AR22">
        <f>'[41]Template '!$AZ$53</f>
        <v>0</v>
      </c>
      <c r="AS22">
        <f>'[41]Template '!$BF$53</f>
        <v>0</v>
      </c>
      <c r="AT22">
        <f t="shared" si="1"/>
        <v>0</v>
      </c>
      <c r="AU22">
        <f t="shared" si="2"/>
        <v>1</v>
      </c>
      <c r="AV22">
        <f t="shared" si="3"/>
        <v>1</v>
      </c>
    </row>
    <row r="23" spans="1:48" x14ac:dyDescent="0.2">
      <c r="B23" t="s">
        <v>135</v>
      </c>
      <c r="D23" t="str">
        <f t="shared" si="0"/>
        <v>M_089.xlsx</v>
      </c>
      <c r="F23" t="str">
        <f>'[27]Template '!$C$2</f>
        <v>D only</v>
      </c>
      <c r="H23">
        <f>'[27]Template '!$C$29</f>
        <v>0.1111111111111111</v>
      </c>
      <c r="I23" t="str">
        <f>'[27]Template '!$C$30</f>
        <v>n/a</v>
      </c>
      <c r="J23">
        <f>'[27]Template '!$C$31</f>
        <v>0.58333333333333326</v>
      </c>
      <c r="K23">
        <f>'[27]Template '!$C$32</f>
        <v>0.54411764705882359</v>
      </c>
      <c r="L23">
        <f>'[27]Template '!$C$33</f>
        <v>0.7142857142857143</v>
      </c>
      <c r="N23">
        <f>'[27]Template '!$C$74</f>
        <v>0.24545454545454548</v>
      </c>
      <c r="O23" t="str">
        <f>'[27]Template '!$C$75</f>
        <v>n/a</v>
      </c>
      <c r="P23">
        <f>'[27]Template '!$C$76</f>
        <v>0.6071428571428571</v>
      </c>
      <c r="Q23">
        <f>'[27]Template '!$C$77</f>
        <v>0.47619047619047616</v>
      </c>
      <c r="R23">
        <f>'[27]Template '!$C$78</f>
        <v>0.76190476190476186</v>
      </c>
      <c r="T23">
        <f>'[27]Template '!$C$96</f>
        <v>0.8</v>
      </c>
      <c r="U23">
        <f>'[27]Template '!$C$97</f>
        <v>0.50370370370370376</v>
      </c>
      <c r="V23">
        <f>'[27]Template '!$C$98</f>
        <v>0.5</v>
      </c>
      <c r="W23">
        <f>'[27]Template '!$C$99</f>
        <v>0.60101010101010088</v>
      </c>
      <c r="X23">
        <f>'[27]Template '!$C$100</f>
        <v>0.89761904761904765</v>
      </c>
      <c r="Z23">
        <f>'[27]Template '!$C$52</f>
        <v>0.40952380952380951</v>
      </c>
      <c r="AA23">
        <f>'[27]Template '!$C$53</f>
        <v>0.50370370370370376</v>
      </c>
      <c r="AB23">
        <f>'[27]Template '!$C$54</f>
        <v>0.5</v>
      </c>
      <c r="AC23">
        <f>'[27]Template '!$C$55</f>
        <v>0.3125</v>
      </c>
      <c r="AD23">
        <f>'[27]Template '!$C$56</f>
        <v>0.8738095238095237</v>
      </c>
      <c r="AF23">
        <f>'[27]Template '!$Z$30</f>
        <v>0</v>
      </c>
      <c r="AG23">
        <f>'[27]Template '!$AB$75</f>
        <v>0</v>
      </c>
      <c r="AH23">
        <f>'[27]Template '!$AD$75</f>
        <v>0</v>
      </c>
      <c r="AI23">
        <f>'[27]Template '!$AF$75</f>
        <v>0</v>
      </c>
      <c r="AJ23">
        <f>'[27]Template '!$AR$97</f>
        <v>1</v>
      </c>
      <c r="AK23">
        <f>'[27]Template '!$AS$97</f>
        <v>1</v>
      </c>
      <c r="AL23">
        <f>'[27]Template '!$AZ$97</f>
        <v>1</v>
      </c>
      <c r="AM23">
        <f>'[27]Template '!$BB$97</f>
        <v>1</v>
      </c>
      <c r="AN23">
        <f>'[27]Template '!$AU$53</f>
        <v>1</v>
      </c>
      <c r="AO23">
        <f>'[27]Template '!$AV$53</f>
        <v>0</v>
      </c>
      <c r="AP23">
        <f>'[27]Template '!$AY$53</f>
        <v>0</v>
      </c>
      <c r="AQ23">
        <f>'[27]Template '!$AX$53</f>
        <v>0</v>
      </c>
      <c r="AR23">
        <f>'[27]Template '!$AZ$53</f>
        <v>0</v>
      </c>
      <c r="AS23">
        <f>'[27]Template '!$BF$53</f>
        <v>0</v>
      </c>
      <c r="AT23">
        <f t="shared" si="1"/>
        <v>0</v>
      </c>
      <c r="AU23">
        <f t="shared" si="2"/>
        <v>5</v>
      </c>
      <c r="AV23">
        <f t="shared" si="3"/>
        <v>5</v>
      </c>
    </row>
    <row r="24" spans="1:48" x14ac:dyDescent="0.2">
      <c r="B24" t="s">
        <v>138</v>
      </c>
      <c r="D24" t="str">
        <f t="shared" si="0"/>
        <v>M_092.xlsx</v>
      </c>
      <c r="F24" t="str">
        <f>'[30]Template '!$C$2</f>
        <v>D only</v>
      </c>
      <c r="H24">
        <f>'[30]Template '!$C$29</f>
        <v>0.1111111111111111</v>
      </c>
      <c r="I24" t="str">
        <f>'[30]Template '!$C$30</f>
        <v>n/a</v>
      </c>
      <c r="J24">
        <f>'[30]Template '!$C$31</f>
        <v>0.58333333333333326</v>
      </c>
      <c r="K24">
        <f>'[30]Template '!$C$32</f>
        <v>0.69117647058823528</v>
      </c>
      <c r="L24">
        <f>'[30]Template '!$C$33</f>
        <v>0.92063492063492058</v>
      </c>
      <c r="N24">
        <f>'[30]Template '!$C$74</f>
        <v>0.29090909090909089</v>
      </c>
      <c r="O24" t="str">
        <f>'[30]Template '!$C$75</f>
        <v>n/a</v>
      </c>
      <c r="P24">
        <f>'[30]Template '!$C$76</f>
        <v>0.4642857142857143</v>
      </c>
      <c r="Q24">
        <f>'[30]Template '!$C$77</f>
        <v>0.47619047619047616</v>
      </c>
      <c r="R24">
        <f>'[30]Template '!$C$78</f>
        <v>0.71825396825396826</v>
      </c>
      <c r="T24">
        <f>'[30]Template '!$C$96</f>
        <v>0.60416666666666663</v>
      </c>
      <c r="U24">
        <f>'[30]Template '!$C$97</f>
        <v>0.2074074074074074</v>
      </c>
      <c r="V24">
        <f>'[30]Template '!$C$98</f>
        <v>0.5</v>
      </c>
      <c r="W24">
        <f>'[30]Template '!$C$99</f>
        <v>0.55339105339105332</v>
      </c>
      <c r="X24">
        <f>'[30]Template '!$C$100</f>
        <v>0.84126984126984128</v>
      </c>
      <c r="Z24">
        <f>'[30]Template '!$C$52</f>
        <v>0.58333333333333326</v>
      </c>
      <c r="AA24">
        <f>'[30]Template '!$C$53</f>
        <v>0.2074074074074074</v>
      </c>
      <c r="AB24">
        <f>'[30]Template '!$C$54</f>
        <v>0.5</v>
      </c>
      <c r="AC24">
        <f>'[30]Template '!$C$55</f>
        <v>0.5714285714285714</v>
      </c>
      <c r="AD24">
        <f>'[30]Template '!$C$56</f>
        <v>0.97619047619047616</v>
      </c>
      <c r="AF24">
        <f>'[30]Template '!$Z$30</f>
        <v>1</v>
      </c>
      <c r="AG24">
        <f>'[30]Template '!$AB$75</f>
        <v>0</v>
      </c>
      <c r="AH24">
        <f>'[30]Template '!$AD$75</f>
        <v>0</v>
      </c>
      <c r="AI24">
        <f>'[30]Template '!$AF$75</f>
        <v>0</v>
      </c>
      <c r="AJ24">
        <f>'[30]Template '!$AR$97</f>
        <v>0</v>
      </c>
      <c r="AK24">
        <f>'[30]Template '!$AS$97</f>
        <v>1</v>
      </c>
      <c r="AL24">
        <f>'[30]Template '!$AZ$97</f>
        <v>1</v>
      </c>
      <c r="AM24">
        <f>'[30]Template '!$BB$97</f>
        <v>1</v>
      </c>
      <c r="AN24">
        <f>'[30]Template '!$AU$53</f>
        <v>1</v>
      </c>
      <c r="AO24">
        <f>'[30]Template '!$AV$53</f>
        <v>1</v>
      </c>
      <c r="AP24">
        <f>'[30]Template '!$AY$53</f>
        <v>0</v>
      </c>
      <c r="AQ24">
        <f>'[30]Template '!$AX$53</f>
        <v>1</v>
      </c>
      <c r="AR24">
        <f>'[30]Template '!$AZ$53</f>
        <v>0</v>
      </c>
      <c r="AS24">
        <f>'[30]Template '!$BF$53</f>
        <v>1</v>
      </c>
      <c r="AT24">
        <f t="shared" si="1"/>
        <v>1</v>
      </c>
      <c r="AU24">
        <f t="shared" si="2"/>
        <v>7</v>
      </c>
      <c r="AV24">
        <f t="shared" si="3"/>
        <v>8</v>
      </c>
    </row>
    <row r="25" spans="1:48" x14ac:dyDescent="0.2">
      <c r="B25" t="s">
        <v>139</v>
      </c>
      <c r="D25" t="str">
        <f t="shared" si="0"/>
        <v>M_093.xlsx</v>
      </c>
      <c r="F25" t="str">
        <f>'[31]Template '!$C$2</f>
        <v>D only</v>
      </c>
      <c r="H25">
        <f>'[31]Template '!$C$29</f>
        <v>0</v>
      </c>
      <c r="I25" t="str">
        <f>'[31]Template '!$C$30</f>
        <v>n/a</v>
      </c>
      <c r="J25">
        <f>'[31]Template '!$C$31</f>
        <v>0.58333333333333326</v>
      </c>
      <c r="K25">
        <f>'[31]Template '!$C$32</f>
        <v>0.11764705882352941</v>
      </c>
      <c r="L25">
        <f>'[31]Template '!$C$33</f>
        <v>0.27380952380952378</v>
      </c>
      <c r="N25">
        <f>'[31]Template '!$C$74</f>
        <v>0.60909090909090913</v>
      </c>
      <c r="O25" t="str">
        <f>'[31]Template '!$C$75</f>
        <v>n/a</v>
      </c>
      <c r="P25">
        <f>'[31]Template '!$C$76</f>
        <v>0.6071428571428571</v>
      </c>
      <c r="Q25">
        <f>'[31]Template '!$C$77</f>
        <v>0.35416666666666663</v>
      </c>
      <c r="R25">
        <f>'[31]Template '!$C$78</f>
        <v>0.42063492063492064</v>
      </c>
      <c r="T25">
        <f>'[31]Template '!$C$96</f>
        <v>0.25</v>
      </c>
      <c r="U25">
        <f>'[31]Template '!$C$97</f>
        <v>0.6518518518518519</v>
      </c>
      <c r="V25">
        <f>'[31]Template '!$C$98</f>
        <v>0.5</v>
      </c>
      <c r="W25">
        <f>'[31]Template '!$C$99</f>
        <v>0.26984126984126983</v>
      </c>
      <c r="X25">
        <f>'[31]Template '!$C$100</f>
        <v>0.26428571428571429</v>
      </c>
      <c r="Z25">
        <f>'[31]Template '!$C$52</f>
        <v>0.22857142857142854</v>
      </c>
      <c r="AA25">
        <f>'[31]Template '!$C$53</f>
        <v>0.6518518518518519</v>
      </c>
      <c r="AB25">
        <f>'[31]Template '!$C$54</f>
        <v>0.5</v>
      </c>
      <c r="AC25">
        <f>'[31]Template '!$C$55</f>
        <v>0.25</v>
      </c>
      <c r="AD25">
        <f>'[31]Template '!$C$56</f>
        <v>0.29523809523809524</v>
      </c>
      <c r="AF25">
        <f>'[31]Template '!$Z$30</f>
        <v>0</v>
      </c>
      <c r="AG25">
        <f>'[31]Template '!$AB$75</f>
        <v>0</v>
      </c>
      <c r="AH25">
        <f>'[31]Template '!$AD$75</f>
        <v>0</v>
      </c>
      <c r="AI25">
        <f>'[31]Template '!$AF$75</f>
        <v>0</v>
      </c>
      <c r="AJ25">
        <f>'[31]Template '!$AR$97</f>
        <v>0</v>
      </c>
      <c r="AK25">
        <f>'[31]Template '!$AS$97</f>
        <v>0</v>
      </c>
      <c r="AL25">
        <f>'[31]Template '!$AZ$97</f>
        <v>0</v>
      </c>
      <c r="AM25">
        <f>'[31]Template '!$BB$97</f>
        <v>0</v>
      </c>
      <c r="AN25">
        <f>'[31]Template '!$AU$53</f>
        <v>0</v>
      </c>
      <c r="AO25">
        <f>'[31]Template '!$AV$53</f>
        <v>0</v>
      </c>
      <c r="AP25">
        <f>'[31]Template '!$AY$53</f>
        <v>0</v>
      </c>
      <c r="AQ25">
        <f>'[31]Template '!$AX$53</f>
        <v>0</v>
      </c>
      <c r="AR25">
        <f>'[31]Template '!$AZ$53</f>
        <v>0</v>
      </c>
      <c r="AS25">
        <f>'[31]Template '!$BF$53</f>
        <v>0</v>
      </c>
      <c r="AT25">
        <f t="shared" si="1"/>
        <v>0</v>
      </c>
      <c r="AU25">
        <f t="shared" si="2"/>
        <v>0</v>
      </c>
      <c r="AV25">
        <f t="shared" si="3"/>
        <v>0</v>
      </c>
    </row>
    <row r="26" spans="1:48" x14ac:dyDescent="0.2">
      <c r="B26" t="s">
        <v>140</v>
      </c>
      <c r="D26" t="str">
        <f t="shared" si="0"/>
        <v>M_094.xlsx</v>
      </c>
      <c r="F26" t="str">
        <f>'[32]Template '!$C$2</f>
        <v>D only</v>
      </c>
      <c r="H26">
        <f>'[32]Template '!$C$29</f>
        <v>0.25</v>
      </c>
      <c r="I26" t="str">
        <f>'[32]Template '!$C$30</f>
        <v>n/a</v>
      </c>
      <c r="J26">
        <f>'[32]Template '!$C$31</f>
        <v>0.75</v>
      </c>
      <c r="K26">
        <f>'[32]Template '!$C$32</f>
        <v>0.45506535947712418</v>
      </c>
      <c r="L26">
        <f>'[32]Template '!$C$33</f>
        <v>0.36309523809523808</v>
      </c>
      <c r="N26">
        <f>'[32]Template '!$C$74</f>
        <v>0.35909090909090913</v>
      </c>
      <c r="O26" t="str">
        <f>'[32]Template '!$C$75</f>
        <v>n/a</v>
      </c>
      <c r="P26">
        <f>'[32]Template '!$C$76</f>
        <v>7.1428571428571425E-2</v>
      </c>
      <c r="Q26">
        <f>'[32]Template '!$C$77</f>
        <v>0.47619047619047616</v>
      </c>
      <c r="R26">
        <f>'[32]Template '!$C$78</f>
        <v>0.32936507936507936</v>
      </c>
      <c r="T26">
        <f>'[32]Template '!$C$96</f>
        <v>0.6875</v>
      </c>
      <c r="U26">
        <f>'[32]Template '!$C$97</f>
        <v>0.71851851851851867</v>
      </c>
      <c r="V26">
        <f>'[32]Template '!$C$98</f>
        <v>0.5</v>
      </c>
      <c r="W26">
        <f>'[32]Template '!$C$99</f>
        <v>0.52308802308802305</v>
      </c>
      <c r="X26">
        <f>'[32]Template '!$C$100</f>
        <v>0.44087301587301586</v>
      </c>
      <c r="Z26">
        <f>'[32]Template '!$C$52</f>
        <v>0.21944444444444447</v>
      </c>
      <c r="AA26">
        <f>'[32]Template '!$C$53</f>
        <v>0.71851851851851867</v>
      </c>
      <c r="AB26">
        <f>'[32]Template '!$C$54</f>
        <v>0.5</v>
      </c>
      <c r="AC26">
        <f>'[32]Template '!$C$55</f>
        <v>0.3125</v>
      </c>
      <c r="AD26">
        <f>'[32]Template '!$C$56</f>
        <v>0.47420634920634924</v>
      </c>
      <c r="AF26">
        <f>'[32]Template '!$Z$30</f>
        <v>0</v>
      </c>
      <c r="AG26">
        <f>'[32]Template '!$AB$75</f>
        <v>0</v>
      </c>
      <c r="AH26">
        <f>'[32]Template '!$AD$75</f>
        <v>0</v>
      </c>
      <c r="AI26">
        <f>'[32]Template '!$AF$75</f>
        <v>0</v>
      </c>
      <c r="AJ26">
        <f>'[32]Template '!$AR$97</f>
        <v>0</v>
      </c>
      <c r="AK26">
        <f>'[32]Template '!$AS$97</f>
        <v>1</v>
      </c>
      <c r="AL26">
        <f>'[32]Template '!$AZ$97</f>
        <v>1</v>
      </c>
      <c r="AM26">
        <f>'[32]Template '!$BB$97</f>
        <v>0</v>
      </c>
      <c r="AN26">
        <f>'[32]Template '!$AU$53</f>
        <v>1</v>
      </c>
      <c r="AO26">
        <f>'[32]Template '!$AV$53</f>
        <v>0</v>
      </c>
      <c r="AP26">
        <f>'[32]Template '!$AY$53</f>
        <v>0</v>
      </c>
      <c r="AQ26">
        <f>'[32]Template '!$AX$53</f>
        <v>0</v>
      </c>
      <c r="AR26">
        <f>'[32]Template '!$AZ$53</f>
        <v>0</v>
      </c>
      <c r="AS26">
        <f>'[32]Template '!$BF$53</f>
        <v>0</v>
      </c>
      <c r="AT26">
        <f t="shared" si="1"/>
        <v>0</v>
      </c>
      <c r="AU26">
        <f t="shared" si="2"/>
        <v>3</v>
      </c>
      <c r="AV26">
        <f t="shared" si="3"/>
        <v>3</v>
      </c>
    </row>
    <row r="27" spans="1:48" x14ac:dyDescent="0.2">
      <c r="B27" t="s">
        <v>141</v>
      </c>
      <c r="D27" t="str">
        <f t="shared" si="0"/>
        <v>M_095.xlsx</v>
      </c>
      <c r="F27" t="str">
        <f>'[33]Template '!$C$2</f>
        <v>D only</v>
      </c>
      <c r="H27">
        <f>'[33]Template '!$C$29</f>
        <v>0</v>
      </c>
      <c r="I27" t="str">
        <f>'[33]Template '!$C$30</f>
        <v>n/a</v>
      </c>
      <c r="J27">
        <f>'[33]Template '!$C$31</f>
        <v>0.5</v>
      </c>
      <c r="K27">
        <f>'[33]Template '!$C$32</f>
        <v>0.34558823529411764</v>
      </c>
      <c r="L27">
        <f>'[33]Template '!$C$33</f>
        <v>0.5357142857142857</v>
      </c>
      <c r="N27">
        <f>'[33]Template '!$C$74</f>
        <v>0.24545454545454548</v>
      </c>
      <c r="O27" t="str">
        <f>'[33]Template '!$C$75</f>
        <v>n/a</v>
      </c>
      <c r="P27">
        <f>'[33]Template '!$C$76</f>
        <v>0.39285714285714285</v>
      </c>
      <c r="Q27">
        <f>'[33]Template '!$C$77</f>
        <v>0.13095238095238093</v>
      </c>
      <c r="R27">
        <f>'[33]Template '!$C$78</f>
        <v>0.71626984126984128</v>
      </c>
      <c r="T27">
        <f>'[33]Template '!$C$96</f>
        <v>0.39583333333333331</v>
      </c>
      <c r="U27">
        <f>'[33]Template '!$C$97</f>
        <v>0.34074074074074079</v>
      </c>
      <c r="V27">
        <f>'[33]Template '!$C$98</f>
        <v>0.5</v>
      </c>
      <c r="W27">
        <f>'[33]Template '!$C$99</f>
        <v>0.4386724386724386</v>
      </c>
      <c r="X27">
        <f>'[33]Template '!$C$100</f>
        <v>0.71825396825396826</v>
      </c>
      <c r="Z27">
        <f>'[33]Template '!$C$52</f>
        <v>6.9444444444444448E-2</v>
      </c>
      <c r="AA27">
        <f>'[33]Template '!$C$53</f>
        <v>0.34074074074074079</v>
      </c>
      <c r="AB27">
        <f>'[33]Template '!$C$54</f>
        <v>0.5</v>
      </c>
      <c r="AC27">
        <f>'[33]Template '!$C$55</f>
        <v>0.21279761904761904</v>
      </c>
      <c r="AD27">
        <f>'[33]Template '!$C$56</f>
        <v>0.75436507936507935</v>
      </c>
      <c r="AF27">
        <f>'[33]Template '!$Z$30</f>
        <v>0</v>
      </c>
      <c r="AG27">
        <f>'[33]Template '!$AB$75</f>
        <v>0</v>
      </c>
      <c r="AH27">
        <f>'[33]Template '!$AD$75</f>
        <v>0</v>
      </c>
      <c r="AI27">
        <f>'[33]Template '!$AF$75</f>
        <v>0</v>
      </c>
      <c r="AJ27">
        <f>'[33]Template '!$AR$97</f>
        <v>0</v>
      </c>
      <c r="AK27">
        <f>'[33]Template '!$AS$97</f>
        <v>0.5</v>
      </c>
      <c r="AL27">
        <f>'[33]Template '!$AZ$97</f>
        <v>0.5</v>
      </c>
      <c r="AM27">
        <f>'[33]Template '!$BB$97</f>
        <v>0</v>
      </c>
      <c r="AN27">
        <f>'[33]Template '!$AU$53</f>
        <v>0</v>
      </c>
      <c r="AO27">
        <f>'[33]Template '!$AV$53</f>
        <v>0</v>
      </c>
      <c r="AP27">
        <f>'[33]Template '!$AY$53</f>
        <v>0</v>
      </c>
      <c r="AQ27">
        <f>'[33]Template '!$AX$53</f>
        <v>0</v>
      </c>
      <c r="AR27">
        <f>'[33]Template '!$AZ$53</f>
        <v>0</v>
      </c>
      <c r="AS27">
        <f>'[33]Template '!$BF$53</f>
        <v>0.5</v>
      </c>
      <c r="AT27">
        <f t="shared" si="1"/>
        <v>0</v>
      </c>
      <c r="AU27">
        <f t="shared" si="2"/>
        <v>1.5</v>
      </c>
      <c r="AV27">
        <f t="shared" si="3"/>
        <v>1.5</v>
      </c>
    </row>
    <row r="28" spans="1:48" x14ac:dyDescent="0.2">
      <c r="B28" t="s">
        <v>144</v>
      </c>
      <c r="D28" t="str">
        <f t="shared" si="0"/>
        <v>M_099.xlsx</v>
      </c>
      <c r="F28" t="str">
        <f>'[36]Template '!$C$2</f>
        <v>D only</v>
      </c>
      <c r="H28">
        <f>'[36]Template '!$C$29</f>
        <v>0</v>
      </c>
      <c r="I28" t="str">
        <f>'[36]Template '!$C$30</f>
        <v>n/a</v>
      </c>
      <c r="J28">
        <f>'[36]Template '!$C$31</f>
        <v>0.33333333333333331</v>
      </c>
      <c r="K28">
        <f>'[36]Template '!$C$32</f>
        <v>0.2720588235294118</v>
      </c>
      <c r="L28">
        <f>'[36]Template '!$C$33</f>
        <v>6.7460317460317457E-2</v>
      </c>
      <c r="N28">
        <f>'[36]Template '!$C$74</f>
        <v>0.2</v>
      </c>
      <c r="O28" t="str">
        <f>'[36]Template '!$C$75</f>
        <v>n/a</v>
      </c>
      <c r="P28">
        <f>'[36]Template '!$C$76</f>
        <v>7.1428571428571425E-2</v>
      </c>
      <c r="Q28">
        <f>'[36]Template '!$C$77</f>
        <v>0.45238095238095233</v>
      </c>
      <c r="R28">
        <f>'[36]Template '!$C$78</f>
        <v>1.1904761904761904E-2</v>
      </c>
      <c r="T28">
        <f>'[36]Template '!$C$96</f>
        <v>0</v>
      </c>
      <c r="U28">
        <f>'[36]Template '!$C$97</f>
        <v>0.3481481481481481</v>
      </c>
      <c r="V28">
        <f>'[36]Template '!$C$98</f>
        <v>0</v>
      </c>
      <c r="W28">
        <f>'[36]Template '!$C$99</f>
        <v>0</v>
      </c>
      <c r="X28">
        <f>'[36]Template '!$C$100</f>
        <v>3.5714285714285712E-2</v>
      </c>
      <c r="Z28">
        <f>'[36]Template '!$C$52</f>
        <v>2.7777777777777776E-2</v>
      </c>
      <c r="AA28">
        <f>'[36]Template '!$C$53</f>
        <v>0.3481481481481481</v>
      </c>
      <c r="AB28">
        <f>'[36]Template '!$C$54</f>
        <v>0</v>
      </c>
      <c r="AC28">
        <f>'[36]Template '!$C$55</f>
        <v>8.3333333333333329E-2</v>
      </c>
      <c r="AD28">
        <f>'[36]Template '!$C$56</f>
        <v>0</v>
      </c>
      <c r="AF28">
        <f>'[36]Template '!$Z$30</f>
        <v>0</v>
      </c>
      <c r="AG28">
        <f>'[36]Template '!$AB$75</f>
        <v>0</v>
      </c>
      <c r="AH28">
        <f>'[36]Template '!$AD$75</f>
        <v>0</v>
      </c>
      <c r="AI28">
        <f>'[36]Template '!$AF$75</f>
        <v>0</v>
      </c>
      <c r="AJ28">
        <f>'[36]Template '!$AR$97</f>
        <v>0</v>
      </c>
      <c r="AK28">
        <f>'[36]Template '!$AS$97</f>
        <v>0</v>
      </c>
      <c r="AL28">
        <f>'[36]Template '!$AZ$97</f>
        <v>0</v>
      </c>
      <c r="AM28">
        <f>'[36]Template '!$BB$97</f>
        <v>0</v>
      </c>
      <c r="AN28">
        <f>'[36]Template '!$AU$53</f>
        <v>0</v>
      </c>
      <c r="AO28">
        <f>'[36]Template '!$AV$53</f>
        <v>0</v>
      </c>
      <c r="AP28">
        <f>'[36]Template '!$AY$53</f>
        <v>0</v>
      </c>
      <c r="AQ28">
        <f>'[36]Template '!$AX$53</f>
        <v>0</v>
      </c>
      <c r="AR28">
        <f>'[36]Template '!$AZ$53</f>
        <v>0</v>
      </c>
      <c r="AS28">
        <f>'[36]Template '!$BF$53</f>
        <v>0</v>
      </c>
      <c r="AT28">
        <f t="shared" si="1"/>
        <v>0</v>
      </c>
      <c r="AU28">
        <f t="shared" si="2"/>
        <v>0</v>
      </c>
      <c r="AV28">
        <f t="shared" si="3"/>
        <v>0</v>
      </c>
    </row>
    <row r="29" spans="1:48" x14ac:dyDescent="0.2">
      <c r="A29" t="s">
        <v>156</v>
      </c>
      <c r="H29">
        <f>AVERAGE(H6:H28)</f>
        <v>0.15942028985507245</v>
      </c>
      <c r="J29">
        <f t="shared" ref="J29:AD29" si="7">AVERAGE(J6:J28)</f>
        <v>0.39311594202898548</v>
      </c>
      <c r="K29">
        <f t="shared" si="7"/>
        <v>0.47263071895424852</v>
      </c>
      <c r="L29">
        <f t="shared" si="7"/>
        <v>0.463336783988958</v>
      </c>
      <c r="N29">
        <f t="shared" si="7"/>
        <v>0.42015810276679838</v>
      </c>
      <c r="P29">
        <f t="shared" si="7"/>
        <v>0.32220496894409933</v>
      </c>
      <c r="Q29">
        <f t="shared" si="7"/>
        <v>0.45063405797101447</v>
      </c>
      <c r="R29">
        <f t="shared" si="7"/>
        <v>0.49473775017253291</v>
      </c>
      <c r="T29">
        <f t="shared" si="7"/>
        <v>0.45244565217391314</v>
      </c>
      <c r="U29">
        <f t="shared" si="7"/>
        <v>0.41046698872785831</v>
      </c>
      <c r="V29">
        <f t="shared" si="7"/>
        <v>0.35869565217391303</v>
      </c>
      <c r="W29">
        <f t="shared" si="7"/>
        <v>0.31959345002823258</v>
      </c>
      <c r="X29">
        <f t="shared" si="7"/>
        <v>0.55479641131815061</v>
      </c>
      <c r="Z29">
        <f t="shared" si="7"/>
        <v>0.30369220151828846</v>
      </c>
      <c r="AA29">
        <f t="shared" si="7"/>
        <v>0.41046698872785831</v>
      </c>
      <c r="AB29">
        <f t="shared" si="7"/>
        <v>0.32608695652173914</v>
      </c>
      <c r="AC29">
        <f t="shared" si="7"/>
        <v>0.28778467908902688</v>
      </c>
      <c r="AD29">
        <f t="shared" si="7"/>
        <v>0.53397170462387866</v>
      </c>
      <c r="AF29">
        <f>AVERAGE(AF6:AF28)</f>
        <v>0.10869565217391304</v>
      </c>
      <c r="AG29">
        <f t="shared" ref="AG29:AV29" si="8">AVERAGE(AG6:AG28)</f>
        <v>0.17391304347826086</v>
      </c>
      <c r="AH29">
        <f t="shared" si="8"/>
        <v>0.13043478260869565</v>
      </c>
      <c r="AI29">
        <f t="shared" si="8"/>
        <v>4.3478260869565216E-2</v>
      </c>
      <c r="AJ29">
        <f t="shared" si="8"/>
        <v>0.2391304347826087</v>
      </c>
      <c r="AK29">
        <f t="shared" si="8"/>
        <v>0.2608695652173913</v>
      </c>
      <c r="AL29">
        <f t="shared" si="8"/>
        <v>0.2608695652173913</v>
      </c>
      <c r="AM29">
        <f t="shared" si="8"/>
        <v>8.6956521739130432E-2</v>
      </c>
      <c r="AN29">
        <f t="shared" si="8"/>
        <v>0.2391304347826087</v>
      </c>
      <c r="AO29">
        <f t="shared" si="8"/>
        <v>0.10869565217391304</v>
      </c>
      <c r="AP29">
        <f t="shared" si="8"/>
        <v>0</v>
      </c>
      <c r="AQ29">
        <f t="shared" si="8"/>
        <v>6.5217391304347824E-2</v>
      </c>
      <c r="AR29">
        <f t="shared" si="8"/>
        <v>6.5217391304347824E-2</v>
      </c>
      <c r="AS29">
        <f t="shared" si="8"/>
        <v>0.13043478260869565</v>
      </c>
      <c r="AT29">
        <f t="shared" si="8"/>
        <v>0.45652173913043476</v>
      </c>
      <c r="AU29">
        <f t="shared" si="8"/>
        <v>1.4565217391304348</v>
      </c>
      <c r="AV29">
        <f t="shared" si="8"/>
        <v>1.9130434782608696</v>
      </c>
    </row>
    <row r="30" spans="1:48" x14ac:dyDescent="0.2">
      <c r="A30" t="s">
        <v>157</v>
      </c>
      <c r="H30">
        <f>STDEV(H6:H29)</f>
        <v>0.18754448234283752</v>
      </c>
      <c r="J30">
        <f t="shared" ref="J30:AD30" si="9">STDEV(J6:J29)</f>
        <v>0.18908392453828141</v>
      </c>
      <c r="K30">
        <f t="shared" si="9"/>
        <v>0.17255031297415399</v>
      </c>
      <c r="L30">
        <f t="shared" si="9"/>
        <v>0.21609040362328141</v>
      </c>
      <c r="N30">
        <f t="shared" si="9"/>
        <v>0.15025924469450583</v>
      </c>
      <c r="P30">
        <f t="shared" si="9"/>
        <v>0.17814220626820276</v>
      </c>
      <c r="Q30">
        <f t="shared" si="9"/>
        <v>0.13862304717841226</v>
      </c>
      <c r="R30">
        <f t="shared" si="9"/>
        <v>0.19253866047550666</v>
      </c>
      <c r="T30">
        <f t="shared" si="9"/>
        <v>0.20367681194740264</v>
      </c>
      <c r="U30">
        <f t="shared" si="9"/>
        <v>0.13432114037933043</v>
      </c>
      <c r="V30">
        <f t="shared" si="9"/>
        <v>0.21901567043054235</v>
      </c>
      <c r="W30">
        <f t="shared" si="9"/>
        <v>0.16086251133838966</v>
      </c>
      <c r="X30">
        <f t="shared" si="9"/>
        <v>0.22484982546046092</v>
      </c>
      <c r="Z30">
        <f t="shared" si="9"/>
        <v>0.21929500871574184</v>
      </c>
      <c r="AA30">
        <f t="shared" si="9"/>
        <v>0.13432114037933043</v>
      </c>
      <c r="AB30">
        <f t="shared" si="9"/>
        <v>0.22644202886956152</v>
      </c>
      <c r="AC30">
        <f t="shared" si="9"/>
        <v>0.13684267761035088</v>
      </c>
      <c r="AD30">
        <f t="shared" si="9"/>
        <v>0.22403097629298704</v>
      </c>
      <c r="AF30">
        <f>STDEV(AF6:AF28)</f>
        <v>0.29986821875050512</v>
      </c>
      <c r="AG30">
        <f t="shared" ref="AG30:AV30" si="10">STDEV(AG6:AG28)</f>
        <v>0.38755338788158983</v>
      </c>
      <c r="AH30">
        <f t="shared" si="10"/>
        <v>0.30959619243708653</v>
      </c>
      <c r="AI30">
        <f t="shared" si="10"/>
        <v>0.20851441405707477</v>
      </c>
      <c r="AJ30">
        <f t="shared" si="10"/>
        <v>0.39512843761673083</v>
      </c>
      <c r="AK30">
        <f t="shared" si="10"/>
        <v>0.42291104849685762</v>
      </c>
      <c r="AL30">
        <f t="shared" si="10"/>
        <v>0.39512843761673083</v>
      </c>
      <c r="AM30">
        <f t="shared" si="10"/>
        <v>0.28810406552003037</v>
      </c>
      <c r="AN30">
        <f t="shared" si="10"/>
        <v>0.42291104849685762</v>
      </c>
      <c r="AO30">
        <f t="shared" si="10"/>
        <v>0.29986821875050512</v>
      </c>
      <c r="AP30">
        <f t="shared" si="10"/>
        <v>0</v>
      </c>
      <c r="AQ30">
        <f t="shared" si="10"/>
        <v>0.22884829364008002</v>
      </c>
      <c r="AR30">
        <f t="shared" si="10"/>
        <v>0.22884829364008002</v>
      </c>
      <c r="AS30">
        <f t="shared" si="10"/>
        <v>0.27041177793185855</v>
      </c>
      <c r="AT30">
        <f t="shared" si="10"/>
        <v>0.87792424966069393</v>
      </c>
      <c r="AU30">
        <f t="shared" si="10"/>
        <v>2.0500168706526476</v>
      </c>
      <c r="AV30">
        <f t="shared" si="10"/>
        <v>2.3915199327901924</v>
      </c>
    </row>
    <row r="46" spans="75:117" x14ac:dyDescent="0.2">
      <c r="BW46" s="6"/>
      <c r="DH46" s="6"/>
      <c r="DJ46" s="6"/>
      <c r="DM46" s="6"/>
    </row>
    <row r="47" spans="75:117" x14ac:dyDescent="0.2">
      <c r="BW47" s="6"/>
      <c r="DH47" s="6"/>
      <c r="DJ47" s="6"/>
      <c r="DM47" s="6"/>
    </row>
    <row r="48" spans="75:117" x14ac:dyDescent="0.2">
      <c r="BW48" s="6"/>
      <c r="DH48" s="6"/>
      <c r="DJ48" s="6"/>
      <c r="DM48" s="6"/>
    </row>
    <row r="49" spans="75:117" x14ac:dyDescent="0.2">
      <c r="BW49" s="7"/>
      <c r="DH49" s="7"/>
      <c r="DJ49" s="7"/>
      <c r="DM49" s="7"/>
    </row>
    <row r="50" spans="75:117" x14ac:dyDescent="0.2">
      <c r="BW50" s="7"/>
      <c r="DH50" s="7"/>
      <c r="DJ50" s="7"/>
      <c r="DM50" s="7"/>
    </row>
    <row r="51" spans="75:117" x14ac:dyDescent="0.2">
      <c r="BW51" s="7"/>
      <c r="DH51" s="7"/>
      <c r="DJ51" s="7"/>
      <c r="DM5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7D71-8202-4210-BB21-944D410076B5}">
  <dimension ref="A1:FV66"/>
  <sheetViews>
    <sheetView topLeftCell="BA1" workbookViewId="0">
      <selection activeCell="BD12" sqref="BD12"/>
    </sheetView>
  </sheetViews>
  <sheetFormatPr baseColWidth="10" defaultColWidth="8.83203125" defaultRowHeight="15" x14ac:dyDescent="0.2"/>
  <cols>
    <col min="12" max="12" width="4.1640625" customWidth="1"/>
    <col min="17" max="17" width="9.1640625" customWidth="1"/>
    <col min="19" max="19" width="4" customWidth="1"/>
    <col min="25" max="25" width="4" customWidth="1"/>
    <col min="32" max="32" width="3.1640625" customWidth="1"/>
    <col min="38" max="38" width="4.33203125" customWidth="1"/>
    <col min="45" max="45" width="3.33203125" customWidth="1"/>
    <col min="110" max="110" width="16.33203125" customWidth="1"/>
    <col min="111" max="111" width="13.83203125" customWidth="1"/>
    <col min="112" max="112" width="16.1640625" customWidth="1"/>
    <col min="113" max="113" width="16" customWidth="1"/>
    <col min="114" max="114" width="11.33203125" customWidth="1"/>
    <col min="115" max="115" width="15.6640625" customWidth="1"/>
    <col min="132" max="132" width="4.83203125" customWidth="1"/>
    <col min="164" max="164" width="22.83203125" customWidth="1"/>
    <col min="165" max="165" width="14.83203125" customWidth="1"/>
  </cols>
  <sheetData>
    <row r="1" spans="1:178" x14ac:dyDescent="0.2">
      <c r="A1" s="1" t="s">
        <v>0</v>
      </c>
      <c r="G1" s="1" t="s">
        <v>1</v>
      </c>
      <c r="M1" t="s">
        <v>160</v>
      </c>
      <c r="Z1" t="s">
        <v>160</v>
      </c>
      <c r="AM1" t="s">
        <v>160</v>
      </c>
      <c r="AZ1" t="s">
        <v>160</v>
      </c>
      <c r="CF1" t="s">
        <v>2</v>
      </c>
      <c r="DP1" t="s">
        <v>9</v>
      </c>
      <c r="DW1" t="s">
        <v>3</v>
      </c>
      <c r="ED1" t="s">
        <v>10</v>
      </c>
    </row>
    <row r="2" spans="1:178" x14ac:dyDescent="0.2">
      <c r="BG2" s="1" t="s">
        <v>161</v>
      </c>
      <c r="DF2" t="s">
        <v>6</v>
      </c>
      <c r="DG2" t="s">
        <v>149</v>
      </c>
      <c r="DI2" t="s">
        <v>7</v>
      </c>
      <c r="DM2" t="s">
        <v>8</v>
      </c>
      <c r="DP2" t="s">
        <v>162</v>
      </c>
      <c r="DQ2" t="s">
        <v>163</v>
      </c>
      <c r="DR2" t="s">
        <v>164</v>
      </c>
      <c r="DS2" t="s">
        <v>165</v>
      </c>
      <c r="DT2" t="s">
        <v>166</v>
      </c>
      <c r="DU2" t="s">
        <v>167</v>
      </c>
      <c r="DV2" t="s">
        <v>168</v>
      </c>
      <c r="DW2" t="s">
        <v>169</v>
      </c>
      <c r="DX2" t="s">
        <v>170</v>
      </c>
      <c r="DY2" t="s">
        <v>171</v>
      </c>
      <c r="DZ2" t="s">
        <v>172</v>
      </c>
      <c r="EA2" t="s">
        <v>173</v>
      </c>
      <c r="ED2" t="s">
        <v>174</v>
      </c>
      <c r="EE2" t="s">
        <v>175</v>
      </c>
      <c r="EF2" t="s">
        <v>176</v>
      </c>
      <c r="EG2" t="s">
        <v>177</v>
      </c>
      <c r="EH2" t="s">
        <v>178</v>
      </c>
      <c r="EI2" t="s">
        <v>179</v>
      </c>
      <c r="EJ2" t="s">
        <v>180</v>
      </c>
      <c r="EK2" t="s">
        <v>181</v>
      </c>
      <c r="EL2" t="s">
        <v>182</v>
      </c>
      <c r="EM2" t="s">
        <v>183</v>
      </c>
      <c r="EN2" t="s">
        <v>184</v>
      </c>
      <c r="EQ2" t="s">
        <v>11</v>
      </c>
      <c r="FC2" t="s">
        <v>12</v>
      </c>
      <c r="FE2" t="s">
        <v>13</v>
      </c>
      <c r="FF2" t="s">
        <v>1</v>
      </c>
      <c r="FH2" t="s">
        <v>2</v>
      </c>
      <c r="FI2" t="s">
        <v>2</v>
      </c>
      <c r="FJ2" t="s">
        <v>14</v>
      </c>
    </row>
    <row r="3" spans="1:178" x14ac:dyDescent="0.2">
      <c r="E3" t="s">
        <v>15</v>
      </c>
      <c r="G3" t="s">
        <v>16</v>
      </c>
      <c r="N3" t="s">
        <v>185</v>
      </c>
      <c r="O3" t="s">
        <v>186</v>
      </c>
      <c r="T3" t="s">
        <v>17</v>
      </c>
      <c r="AA3" t="s">
        <v>185</v>
      </c>
      <c r="AB3" t="s">
        <v>186</v>
      </c>
      <c r="AG3" t="s">
        <v>18</v>
      </c>
      <c r="AN3" t="s">
        <v>185</v>
      </c>
      <c r="AO3" t="s">
        <v>186</v>
      </c>
      <c r="AT3" t="s">
        <v>19</v>
      </c>
      <c r="BA3" t="s">
        <v>185</v>
      </c>
      <c r="BB3" t="s">
        <v>186</v>
      </c>
      <c r="BG3" t="s">
        <v>16</v>
      </c>
      <c r="BM3" t="s">
        <v>19</v>
      </c>
      <c r="BS3" t="s">
        <v>17</v>
      </c>
      <c r="BY3" t="s">
        <v>187</v>
      </c>
      <c r="CF3" s="1" t="s">
        <v>16</v>
      </c>
      <c r="CG3" s="1" t="s">
        <v>17</v>
      </c>
      <c r="CH3" s="1"/>
      <c r="CI3" s="1"/>
      <c r="CJ3" s="1" t="s">
        <v>18</v>
      </c>
      <c r="CK3" s="1"/>
      <c r="CL3" s="1"/>
      <c r="CM3" s="1"/>
      <c r="CN3" s="1" t="s">
        <v>19</v>
      </c>
      <c r="CT3" t="s">
        <v>146</v>
      </c>
      <c r="CU3" t="s">
        <v>147</v>
      </c>
      <c r="CV3" t="s">
        <v>148</v>
      </c>
      <c r="CX3" t="s">
        <v>20</v>
      </c>
      <c r="DA3" t="s">
        <v>21</v>
      </c>
      <c r="DB3" t="s">
        <v>21</v>
      </c>
      <c r="DC3" t="s">
        <v>22</v>
      </c>
      <c r="DF3" t="s">
        <v>24</v>
      </c>
      <c r="DG3" t="s">
        <v>150</v>
      </c>
      <c r="DH3" t="s">
        <v>25</v>
      </c>
      <c r="DI3" t="s">
        <v>26</v>
      </c>
      <c r="DJ3" t="s">
        <v>8</v>
      </c>
      <c r="DK3" t="s">
        <v>27</v>
      </c>
      <c r="DL3" t="s">
        <v>8</v>
      </c>
      <c r="DM3" t="s">
        <v>28</v>
      </c>
      <c r="DN3" t="s">
        <v>29</v>
      </c>
      <c r="DP3" t="s">
        <v>30</v>
      </c>
      <c r="DQ3" t="s">
        <v>31</v>
      </c>
      <c r="DR3" t="s">
        <v>32</v>
      </c>
      <c r="DS3" t="s">
        <v>33</v>
      </c>
      <c r="DT3" t="s">
        <v>34</v>
      </c>
      <c r="DU3" t="s">
        <v>35</v>
      </c>
      <c r="DV3" t="s">
        <v>36</v>
      </c>
      <c r="DW3" t="s">
        <v>37</v>
      </c>
      <c r="DX3" t="s">
        <v>38</v>
      </c>
      <c r="DY3" t="s">
        <v>39</v>
      </c>
      <c r="DZ3" t="s">
        <v>40</v>
      </c>
      <c r="EA3" t="s">
        <v>41</v>
      </c>
      <c r="ED3" t="s">
        <v>30</v>
      </c>
      <c r="EE3" t="s">
        <v>31</v>
      </c>
      <c r="EF3" t="s">
        <v>32</v>
      </c>
      <c r="EG3" t="s">
        <v>33</v>
      </c>
      <c r="EH3" t="s">
        <v>34</v>
      </c>
      <c r="EI3" t="s">
        <v>35</v>
      </c>
      <c r="EJ3" t="s">
        <v>36</v>
      </c>
      <c r="EK3" t="s">
        <v>37</v>
      </c>
      <c r="EL3" t="s">
        <v>38</v>
      </c>
      <c r="EM3" t="s">
        <v>39</v>
      </c>
      <c r="EN3" t="s">
        <v>40</v>
      </c>
      <c r="FH3" t="s">
        <v>42</v>
      </c>
      <c r="FI3" t="s">
        <v>43</v>
      </c>
      <c r="FL3" t="s">
        <v>188</v>
      </c>
      <c r="FR3" t="s">
        <v>189</v>
      </c>
    </row>
    <row r="4" spans="1:178" x14ac:dyDescent="0.2">
      <c r="A4" t="s">
        <v>45</v>
      </c>
      <c r="C4" t="s">
        <v>46</v>
      </c>
      <c r="E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M4" s="25" t="s">
        <v>190</v>
      </c>
      <c r="N4" s="25" t="s">
        <v>191</v>
      </c>
      <c r="O4" s="24" t="s">
        <v>192</v>
      </c>
      <c r="P4" s="24" t="s">
        <v>193</v>
      </c>
      <c r="Q4" s="24" t="s">
        <v>194</v>
      </c>
      <c r="R4" s="24" t="s">
        <v>195</v>
      </c>
      <c r="S4" s="24"/>
      <c r="T4" t="s">
        <v>48</v>
      </c>
      <c r="U4" t="s">
        <v>49</v>
      </c>
      <c r="V4" t="s">
        <v>50</v>
      </c>
      <c r="W4" t="s">
        <v>51</v>
      </c>
      <c r="X4" t="s">
        <v>52</v>
      </c>
      <c r="Z4" t="s">
        <v>190</v>
      </c>
      <c r="AA4" t="s">
        <v>191</v>
      </c>
      <c r="AB4" t="s">
        <v>192</v>
      </c>
      <c r="AC4" t="s">
        <v>193</v>
      </c>
      <c r="AD4" t="s">
        <v>194</v>
      </c>
      <c r="AE4" t="s">
        <v>195</v>
      </c>
      <c r="AG4" t="s">
        <v>48</v>
      </c>
      <c r="AH4" t="s">
        <v>49</v>
      </c>
      <c r="AI4" t="s">
        <v>50</v>
      </c>
      <c r="AJ4" t="s">
        <v>51</v>
      </c>
      <c r="AK4" t="s">
        <v>52</v>
      </c>
      <c r="AM4" t="s">
        <v>190</v>
      </c>
      <c r="AN4" t="s">
        <v>191</v>
      </c>
      <c r="AO4" t="s">
        <v>192</v>
      </c>
      <c r="AP4" t="s">
        <v>193</v>
      </c>
      <c r="AQ4" t="s">
        <v>194</v>
      </c>
      <c r="AR4" t="s">
        <v>195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Z4" t="s">
        <v>190</v>
      </c>
      <c r="BA4" t="s">
        <v>191</v>
      </c>
      <c r="BB4" t="s">
        <v>192</v>
      </c>
      <c r="BC4" t="s">
        <v>193</v>
      </c>
      <c r="BD4" t="s">
        <v>194</v>
      </c>
      <c r="BE4" t="s">
        <v>195</v>
      </c>
      <c r="BG4" t="s">
        <v>48</v>
      </c>
      <c r="BH4" t="s">
        <v>49</v>
      </c>
      <c r="BI4" t="s">
        <v>50</v>
      </c>
      <c r="BJ4" t="s">
        <v>51</v>
      </c>
      <c r="BK4" t="s">
        <v>52</v>
      </c>
      <c r="BM4" t="s">
        <v>48</v>
      </c>
      <c r="BN4" t="s">
        <v>49</v>
      </c>
      <c r="BO4" t="s">
        <v>50</v>
      </c>
      <c r="BP4" t="s">
        <v>51</v>
      </c>
      <c r="BQ4" t="s">
        <v>52</v>
      </c>
      <c r="BS4" t="s">
        <v>48</v>
      </c>
      <c r="BT4" t="s">
        <v>49</v>
      </c>
      <c r="BU4" t="s">
        <v>50</v>
      </c>
      <c r="BV4" t="s">
        <v>51</v>
      </c>
      <c r="BW4" t="s">
        <v>52</v>
      </c>
      <c r="BY4" t="s">
        <v>48</v>
      </c>
      <c r="BZ4" t="s">
        <v>49</v>
      </c>
      <c r="CA4" t="s">
        <v>50</v>
      </c>
      <c r="CB4" t="s">
        <v>51</v>
      </c>
      <c r="CC4" t="s">
        <v>52</v>
      </c>
      <c r="CF4" t="s">
        <v>53</v>
      </c>
      <c r="CG4" t="s">
        <v>54</v>
      </c>
      <c r="CH4" t="s">
        <v>55</v>
      </c>
      <c r="CI4" t="s">
        <v>56</v>
      </c>
      <c r="CJ4" t="s">
        <v>57</v>
      </c>
      <c r="CK4" t="s">
        <v>58</v>
      </c>
      <c r="CL4" t="s">
        <v>59</v>
      </c>
      <c r="CM4" t="s">
        <v>60</v>
      </c>
      <c r="CN4" t="s">
        <v>61</v>
      </c>
      <c r="CO4" t="s">
        <v>62</v>
      </c>
      <c r="CP4" t="s">
        <v>63</v>
      </c>
      <c r="CQ4" t="s">
        <v>64</v>
      </c>
      <c r="CR4" t="s">
        <v>65</v>
      </c>
      <c r="CS4" t="s">
        <v>66</v>
      </c>
      <c r="CX4" t="s">
        <v>67</v>
      </c>
      <c r="CY4" t="s">
        <v>68</v>
      </c>
      <c r="CZ4" t="s">
        <v>69</v>
      </c>
      <c r="DA4" t="s">
        <v>70</v>
      </c>
      <c r="DB4" t="s">
        <v>71</v>
      </c>
      <c r="DC4" t="s">
        <v>71</v>
      </c>
      <c r="DE4" t="s">
        <v>73</v>
      </c>
      <c r="DF4" t="s">
        <v>74</v>
      </c>
      <c r="DG4" t="s">
        <v>74</v>
      </c>
      <c r="DH4" t="s">
        <v>75</v>
      </c>
      <c r="DI4" t="s">
        <v>76</v>
      </c>
      <c r="DJ4" t="s">
        <v>77</v>
      </c>
      <c r="DK4" t="s">
        <v>78</v>
      </c>
      <c r="DL4" t="s">
        <v>79</v>
      </c>
      <c r="DM4" t="s">
        <v>80</v>
      </c>
      <c r="DN4" t="s">
        <v>81</v>
      </c>
      <c r="DP4" t="s">
        <v>82</v>
      </c>
      <c r="DQ4" t="s">
        <v>83</v>
      </c>
      <c r="DR4" t="s">
        <v>84</v>
      </c>
      <c r="DS4" t="s">
        <v>85</v>
      </c>
      <c r="DT4" t="s">
        <v>86</v>
      </c>
      <c r="DU4" t="s">
        <v>87</v>
      </c>
      <c r="DV4" t="s">
        <v>88</v>
      </c>
      <c r="DW4" t="s">
        <v>89</v>
      </c>
      <c r="DX4" t="s">
        <v>90</v>
      </c>
      <c r="DY4" t="s">
        <v>91</v>
      </c>
      <c r="DZ4" t="s">
        <v>92</v>
      </c>
      <c r="EA4" t="s">
        <v>93</v>
      </c>
      <c r="ED4" t="s">
        <v>82</v>
      </c>
      <c r="EE4" t="s">
        <v>83</v>
      </c>
      <c r="EF4" t="s">
        <v>84</v>
      </c>
      <c r="EG4" t="s">
        <v>85</v>
      </c>
      <c r="EH4" t="s">
        <v>86</v>
      </c>
      <c r="EI4" t="s">
        <v>87</v>
      </c>
      <c r="EJ4" t="s">
        <v>88</v>
      </c>
      <c r="EK4" t="s">
        <v>89</v>
      </c>
      <c r="EL4" t="s">
        <v>90</v>
      </c>
      <c r="EM4" t="s">
        <v>91</v>
      </c>
      <c r="EN4" t="s">
        <v>92</v>
      </c>
      <c r="EQ4" t="s">
        <v>94</v>
      </c>
      <c r="ER4" t="s">
        <v>16</v>
      </c>
      <c r="ES4" t="s">
        <v>95</v>
      </c>
      <c r="ET4" t="s">
        <v>18</v>
      </c>
      <c r="EU4" t="s">
        <v>96</v>
      </c>
      <c r="EV4" t="s">
        <v>19</v>
      </c>
      <c r="EW4" t="s">
        <v>97</v>
      </c>
      <c r="EX4" t="s">
        <v>98</v>
      </c>
      <c r="EY4" t="s">
        <v>99</v>
      </c>
      <c r="EZ4" t="s">
        <v>100</v>
      </c>
      <c r="FA4" t="s">
        <v>17</v>
      </c>
      <c r="FL4" t="s">
        <v>16</v>
      </c>
      <c r="FM4" t="s">
        <v>17</v>
      </c>
      <c r="FN4" t="s">
        <v>19</v>
      </c>
      <c r="FO4" t="s">
        <v>18</v>
      </c>
      <c r="FP4" t="s">
        <v>4</v>
      </c>
      <c r="FR4" t="s">
        <v>16</v>
      </c>
      <c r="FS4" t="s">
        <v>17</v>
      </c>
      <c r="FT4" t="s">
        <v>19</v>
      </c>
      <c r="FU4" t="s">
        <v>18</v>
      </c>
      <c r="FV4" t="s">
        <v>4</v>
      </c>
    </row>
    <row r="5" spans="1:178" s="28" customFormat="1" ht="15.75" customHeight="1" x14ac:dyDescent="0.2">
      <c r="A5" s="28" t="str">
        <f>'[42]Template '!$A$2</f>
        <v>M_079</v>
      </c>
      <c r="C5" s="28" t="str">
        <f t="shared" ref="C5:C24" si="0">CONCATENATE(A5,".xlsx")</f>
        <v>M_079.xlsx</v>
      </c>
      <c r="E5" s="28" t="str">
        <f>'[42]Template '!$C$2</f>
        <v>mSTAT only</v>
      </c>
      <c r="G5" s="28">
        <f>'[42]Template '!$C$29</f>
        <v>0.3888888888888889</v>
      </c>
      <c r="H5" s="28" t="str">
        <f>'[42]Template '!$C$30</f>
        <v>n/a</v>
      </c>
      <c r="I5" s="28">
        <f>'[42]Template '!$C$31</f>
        <v>0.41666666666666663</v>
      </c>
      <c r="J5" s="28">
        <f>'[42]Template '!$C$32</f>
        <v>0.75735294117647056</v>
      </c>
      <c r="K5" s="28">
        <f>'[42]Template '!$C$33</f>
        <v>0.72619047619047616</v>
      </c>
      <c r="M5" s="28">
        <f>'[42]Template '!$C$80</f>
        <v>1200</v>
      </c>
      <c r="N5" s="28">
        <f>'[42]Template '!$C$81</f>
        <v>10</v>
      </c>
      <c r="O5" s="28">
        <f>'[42]Template '!$C$82</f>
        <v>2</v>
      </c>
      <c r="P5" s="28">
        <f>'[42]Template '!$C$83</f>
        <v>1</v>
      </c>
      <c r="Q5" s="28">
        <f>'[42]Template '!$C$84</f>
        <v>3</v>
      </c>
      <c r="R5" s="28">
        <f>'[42]Template '!$C$85</f>
        <v>2</v>
      </c>
      <c r="T5" s="28">
        <f>'[42]Template '!$C$74</f>
        <v>0.29090909090909089</v>
      </c>
      <c r="U5" s="28" t="str">
        <f>'[42]Template '!$C$75</f>
        <v>n/a</v>
      </c>
      <c r="V5" s="28">
        <f>'[42]Template '!$C$76</f>
        <v>0.4642857142857143</v>
      </c>
      <c r="W5" s="28">
        <f>'[42]Template '!$C$77</f>
        <v>0.45238095238095233</v>
      </c>
      <c r="X5" s="28">
        <f>'[42]Template '!$C$78</f>
        <v>0.20634920634920637</v>
      </c>
      <c r="Z5" s="28">
        <f>'[42]Template '!$C$80</f>
        <v>1200</v>
      </c>
      <c r="AA5" s="28">
        <f>'[42]Template '!$C$81</f>
        <v>10</v>
      </c>
      <c r="AB5" s="28">
        <f>'[42]Template '!$C$82</f>
        <v>2</v>
      </c>
      <c r="AC5" s="28">
        <f>'[42]Template '!$C$83</f>
        <v>1</v>
      </c>
      <c r="AD5" s="28">
        <f>'[42]Template '!$C$84</f>
        <v>3</v>
      </c>
      <c r="AE5" s="28">
        <f>'[42]Template '!$C$85</f>
        <v>2</v>
      </c>
      <c r="AG5" s="28">
        <f>'[42]Template '!$C$96</f>
        <v>0.66666666666666663</v>
      </c>
      <c r="AH5" s="28">
        <f>'[42]Template '!$C$97</f>
        <v>0.57777777777777783</v>
      </c>
      <c r="AI5" s="28">
        <f>'[42]Template '!$C$98</f>
        <v>0.5</v>
      </c>
      <c r="AJ5" s="28">
        <f>'[42]Template '!$C$99</f>
        <v>0.81746031746031733</v>
      </c>
      <c r="AK5" s="28">
        <f>'[42]Template '!$C$100</f>
        <v>0.7150793650793652</v>
      </c>
      <c r="AM5" s="28">
        <f>'[42]Template '!$C$102</f>
        <v>1266</v>
      </c>
      <c r="AN5" s="28">
        <f>'[42]Template '!$C$103</f>
        <v>60</v>
      </c>
      <c r="AO5" s="28">
        <f>'[42]Template '!$C$104</f>
        <v>4</v>
      </c>
      <c r="AP5" s="28">
        <f>'[42]Template '!$C$105</f>
        <v>3</v>
      </c>
      <c r="AQ5" s="28">
        <f>'[42]Template '!$C$106</f>
        <v>3</v>
      </c>
      <c r="AR5" s="28">
        <f>'[42]Template '!$C$107</f>
        <v>3</v>
      </c>
      <c r="AT5" s="28">
        <f>'[42]Template '!$C$52</f>
        <v>0.58333333333333337</v>
      </c>
      <c r="AU5" s="28">
        <f>'[42]Template '!$C$53</f>
        <v>0.57777777777777783</v>
      </c>
      <c r="AV5" s="28">
        <f>'[42]Template '!$C$54</f>
        <v>0.5</v>
      </c>
      <c r="AW5" s="28">
        <f>'[42]Template '!$C$55</f>
        <v>0.14583333333333334</v>
      </c>
      <c r="AX5" s="28">
        <f>'[42]Template '!$C$56</f>
        <v>0.56507936507936507</v>
      </c>
      <c r="AZ5" s="28">
        <f>'[42]Template '!$C$58</f>
        <v>1200</v>
      </c>
      <c r="BA5" s="28">
        <f>'[42]Template '!$C$59</f>
        <v>40</v>
      </c>
      <c r="BB5" s="28">
        <f>'[42]Template '!$C$60</f>
        <v>3</v>
      </c>
      <c r="BC5" s="28">
        <f>'[42]Template '!$C$61</f>
        <v>3</v>
      </c>
      <c r="BD5" s="28">
        <f>'[42]Template '!$C$62</f>
        <v>3</v>
      </c>
      <c r="BE5" s="28">
        <f>'[42]Template '!$C$63</f>
        <v>3</v>
      </c>
      <c r="BG5" s="28">
        <f>'[42]Template '!$B$29</f>
        <v>0.3888888888888889</v>
      </c>
      <c r="BH5" s="28" t="str">
        <f>'[42]Template '!$B$30</f>
        <v>n/a</v>
      </c>
      <c r="BI5" s="28">
        <f>'[42]Template '!$B$31</f>
        <v>0.41666666666666663</v>
      </c>
      <c r="BJ5" s="28">
        <f>'[42]Template '!$B$32</f>
        <v>0.875</v>
      </c>
      <c r="BK5" s="28">
        <f>'[42]Template '!$B$33</f>
        <v>0.72619047619047616</v>
      </c>
      <c r="BM5" s="28">
        <f>'[42]Template '!$B$52</f>
        <v>0.75</v>
      </c>
      <c r="BN5" s="28">
        <f>'[42]Template '!$B$53</f>
        <v>0.57777777777777783</v>
      </c>
      <c r="BO5" s="28">
        <f>'[42]Template '!$B$54</f>
        <v>0.5</v>
      </c>
      <c r="BP5" s="28">
        <f>'[42]Template '!$B$55</f>
        <v>0.19444444444444442</v>
      </c>
      <c r="BQ5" s="28">
        <f>'[42]Template '!$B$56</f>
        <v>0.56507936507936507</v>
      </c>
      <c r="BS5" s="28">
        <f>'[42]Template '!$B$74</f>
        <v>0.29090909090909089</v>
      </c>
      <c r="BT5" s="28" t="str">
        <f>'[42]Template '!$B$75</f>
        <v>n/a</v>
      </c>
      <c r="BU5" s="28">
        <f>'[42]Template '!$B$76</f>
        <v>0.4642857142857143</v>
      </c>
      <c r="BV5" s="28">
        <f>'[42]Template '!$B$77</f>
        <v>0.33333333333333331</v>
      </c>
      <c r="BW5" s="28">
        <f>'[42]Template '!$B$78</f>
        <v>0.20634920634920637</v>
      </c>
      <c r="BY5" s="28">
        <f>'[42]Template '!$B$96</f>
        <v>0.66666666666666663</v>
      </c>
      <c r="BZ5" s="28">
        <f>'[42]Template '!$B$97</f>
        <v>0.57777777777777783</v>
      </c>
      <c r="CA5" s="28">
        <f>'[42]Template '!$B$98</f>
        <v>0.5</v>
      </c>
      <c r="CB5" s="28">
        <f>'[42]Template '!$B$99</f>
        <v>0.80555555555555547</v>
      </c>
      <c r="CC5" s="28">
        <f>'[42]Template '!$B$100</f>
        <v>0.7150793650793652</v>
      </c>
      <c r="CF5" s="28">
        <f>'[42]Template '!$Z$30</f>
        <v>1</v>
      </c>
      <c r="CG5" s="28">
        <f>'[42]Template '!$AB$75</f>
        <v>0</v>
      </c>
      <c r="CH5" s="28">
        <f>'[42]Template '!$C$89</f>
        <v>0</v>
      </c>
      <c r="CI5" s="28">
        <f>'[42]Template '!$AF$75</f>
        <v>0</v>
      </c>
      <c r="CJ5" s="28">
        <f>'[42]Template '!$AR$97</f>
        <v>1</v>
      </c>
      <c r="CK5" s="28">
        <f>'[42]Template '!$AS$97</f>
        <v>1</v>
      </c>
      <c r="CL5" s="28">
        <f>'[42]Template '!$AZ$97</f>
        <v>1</v>
      </c>
      <c r="CM5" s="28">
        <f>'[42]Template '!$BB$97</f>
        <v>1</v>
      </c>
      <c r="CN5" s="28">
        <f>'[42]Template '!$AU$53</f>
        <v>0</v>
      </c>
      <c r="CO5" s="28">
        <f>'[42]Template '!$AV$53</f>
        <v>0</v>
      </c>
      <c r="CP5" s="28">
        <f>'[42]Template '!$AY$53</f>
        <v>0</v>
      </c>
      <c r="CQ5" s="28">
        <f>'[42]Template '!$AX$53</f>
        <v>0</v>
      </c>
      <c r="CR5" s="28">
        <f>'[42]Template '!$AZ$53</f>
        <v>0</v>
      </c>
      <c r="CS5" s="28">
        <f>'[42]Template '!$BF$53</f>
        <v>0</v>
      </c>
      <c r="CT5" s="28">
        <f t="shared" ref="CT5:CT24" si="1">SUM(CF5:CI5)</f>
        <v>1</v>
      </c>
      <c r="CU5" s="28">
        <f t="shared" ref="CU5:CU24" si="2">SUM(CJ5:CS5)</f>
        <v>4</v>
      </c>
      <c r="CV5" s="28">
        <f t="shared" ref="CV5:CV24" si="3">CT5+CU5</f>
        <v>5</v>
      </c>
      <c r="CY5" s="28" t="str">
        <f>'[42]Template '!$E$2</f>
        <v>A</v>
      </c>
      <c r="CZ5" s="28">
        <f>'[42]Template '!$B$13</f>
        <v>1</v>
      </c>
      <c r="DA5" s="28" t="str">
        <f>'[42]Template '!$D$2</f>
        <v>n/a</v>
      </c>
      <c r="DB5" s="28">
        <f>'[42]Template '!$D$3</f>
        <v>0</v>
      </c>
      <c r="DC5" s="29">
        <f>'[42]Template '!$F$2</f>
        <v>45419</v>
      </c>
      <c r="DE5" s="28">
        <f>'[42]Template '!$B$12</f>
        <v>27</v>
      </c>
      <c r="DF5" s="30" t="str">
        <f>'[42]Template '!$B$14</f>
        <v>10/18</v>
      </c>
      <c r="DG5" s="28" t="str">
        <f>'[42]Template '!$B$15</f>
        <v>2/19</v>
      </c>
      <c r="DH5" s="28">
        <f>'[42]Template '!$B$16</f>
        <v>72</v>
      </c>
      <c r="DI5" s="28">
        <f>'[42]Template '!$B$17</f>
        <v>0</v>
      </c>
      <c r="DJ5" s="28">
        <f>'[42]Template '!$B$18</f>
        <v>0</v>
      </c>
      <c r="DK5" s="28">
        <f>'[42]Template '!$B$19</f>
        <v>1</v>
      </c>
      <c r="DL5" s="28">
        <f>'[42]Template '!$B$20</f>
        <v>1</v>
      </c>
      <c r="DM5" s="28">
        <f>'[42]Template '!$B$21</f>
        <v>0</v>
      </c>
      <c r="DN5" s="28">
        <f>'[42]Template '!$B$22</f>
        <v>1</v>
      </c>
      <c r="DP5" s="28">
        <f>'[42]Template '!$I$13</f>
        <v>4</v>
      </c>
      <c r="DQ5" s="28">
        <f>'[42]Template '!$I$14</f>
        <v>4</v>
      </c>
      <c r="DR5" s="28">
        <f>'[42]Template '!$I$15</f>
        <v>4</v>
      </c>
      <c r="DS5" s="28">
        <f>'[42]Template '!$I$16</f>
        <v>4</v>
      </c>
      <c r="DT5" s="28">
        <f>'[42]Template '!$I$17</f>
        <v>4</v>
      </c>
      <c r="DU5" s="28">
        <f>'[42]Template '!$I$18</f>
        <v>3</v>
      </c>
      <c r="DV5" s="28">
        <f>'[42]Template '!$I$19</f>
        <v>4</v>
      </c>
      <c r="DW5" s="28">
        <f>'[42]Template '!$I$20</f>
        <v>2</v>
      </c>
      <c r="DX5" s="28">
        <f>'[42]Template '!$I$21</f>
        <v>4</v>
      </c>
      <c r="DY5" s="28">
        <f>'[42]Template '!$I$22</f>
        <v>3</v>
      </c>
      <c r="DZ5" s="28">
        <f>'[42]Template '!$I$23</f>
        <v>5</v>
      </c>
      <c r="EA5" s="28">
        <f>'[42]Template '!$I$24</f>
        <v>0</v>
      </c>
      <c r="ED5" s="28">
        <f>'[42]Template '!$L$13</f>
        <v>4</v>
      </c>
      <c r="EE5" s="28">
        <f>'[42]Template '!$L$14</f>
        <v>4</v>
      </c>
      <c r="EF5" s="28">
        <f>'[42]Template '!$L$15</f>
        <v>4</v>
      </c>
      <c r="EG5" s="28">
        <f>'[42]Template '!$L$16</f>
        <v>2</v>
      </c>
      <c r="EH5" s="28">
        <f>'[42]Template '!$L$17</f>
        <v>4</v>
      </c>
      <c r="EI5" s="28">
        <f>'[42]Template '!$L$18</f>
        <v>4</v>
      </c>
      <c r="EJ5" s="28">
        <f>'[42]Template '!$L$19</f>
        <v>5</v>
      </c>
      <c r="EK5" s="28">
        <f>'[42]Template '!$L$20</f>
        <v>2</v>
      </c>
      <c r="EL5" s="28">
        <f>'[42]Template '!$L$21</f>
        <v>3</v>
      </c>
      <c r="EM5" s="28">
        <f>'[42]Template '!$L$22</f>
        <v>3</v>
      </c>
      <c r="EN5" s="28">
        <f>'[42]Template '!$L$23</f>
        <v>5</v>
      </c>
      <c r="EQ5" s="28">
        <f>'[42]Template '!$O$13</f>
        <v>5</v>
      </c>
      <c r="ER5" s="28">
        <f>'[42]Template '!$O$14</f>
        <v>4</v>
      </c>
      <c r="ES5" s="28">
        <f>'[42]Template '!$O$15</f>
        <v>2</v>
      </c>
      <c r="ET5" s="28">
        <f>'[42]Template '!$O$16</f>
        <v>4</v>
      </c>
      <c r="EU5" s="28">
        <f>'[42]Template '!$O$17</f>
        <v>5</v>
      </c>
      <c r="EV5" s="28">
        <f>'[42]Template '!$O$18</f>
        <v>3</v>
      </c>
      <c r="EW5" s="28">
        <f>'[42]Template '!$O$19</f>
        <v>1</v>
      </c>
      <c r="EX5" s="28">
        <f>'[42]Template '!$O$20</f>
        <v>4</v>
      </c>
      <c r="EY5" s="28">
        <f>'[42]Template '!$O$21</f>
        <v>2</v>
      </c>
      <c r="EZ5" s="28">
        <f>'[42]Template '!$O$22</f>
        <v>4</v>
      </c>
      <c r="FA5" s="28">
        <f>'[42]Template '!$O$23</f>
        <v>2</v>
      </c>
      <c r="FL5" s="28">
        <f>'[42]Template '!$D$5</f>
        <v>0.60168650793650791</v>
      </c>
      <c r="FM5" s="28">
        <f>'[42]Template '!$D$6</f>
        <v>0.32371933621933618</v>
      </c>
      <c r="FN5" s="28">
        <f>'[42]Template '!$D$7</f>
        <v>0.5174603174603174</v>
      </c>
      <c r="FO5" s="28">
        <f>'[42]Template '!$D$8</f>
        <v>0.65301587301587305</v>
      </c>
      <c r="FP5" s="28">
        <f>'[42]Template '!$D$9</f>
        <v>0.52397050865800865</v>
      </c>
      <c r="FR5" s="28">
        <f>'[42]Template '!$E$5</f>
        <v>0.57227474323062555</v>
      </c>
      <c r="FS5" s="28">
        <f>'[42]Template '!$E$6</f>
        <v>0.35348124098124095</v>
      </c>
      <c r="FT5" s="28">
        <f>'[42]Template '!$E$7</f>
        <v>0.47440476190476188</v>
      </c>
      <c r="FU5" s="28">
        <f>'[42]Template '!$E$8</f>
        <v>0.65539682539682542</v>
      </c>
      <c r="FV5" s="28">
        <f>'[42]Template '!$E$9</f>
        <v>0.51388939287836344</v>
      </c>
    </row>
    <row r="6" spans="1:178" x14ac:dyDescent="0.2">
      <c r="A6" t="str">
        <f>'[43]Template '!$A$2</f>
        <v>M_082</v>
      </c>
      <c r="C6" t="str">
        <f t="shared" si="0"/>
        <v>M_082.xlsx</v>
      </c>
      <c r="E6" t="str">
        <f>'[43]Template '!$C$2</f>
        <v>mSTAT only</v>
      </c>
      <c r="G6">
        <f>'[43]Template '!$C$29</f>
        <v>0.3888888888888889</v>
      </c>
      <c r="H6" t="str">
        <f>'[43]Template '!$C$30</f>
        <v>n/a</v>
      </c>
      <c r="I6">
        <f>'[43]Template '!$C$31</f>
        <v>0.5</v>
      </c>
      <c r="J6">
        <f>'[43]Template '!$C$32</f>
        <v>0.35294117647058826</v>
      </c>
      <c r="K6">
        <f>'[43]Template '!$C$33</f>
        <v>0.69246031746031733</v>
      </c>
      <c r="M6">
        <f>'[43]Template '!$C$80</f>
        <v>637</v>
      </c>
      <c r="N6">
        <f>'[43]Template '!$C$81</f>
        <v>27.5</v>
      </c>
      <c r="O6">
        <f>'[43]Template '!$C$82</f>
        <v>3.5</v>
      </c>
      <c r="P6">
        <f>'[43]Template '!$C$83</f>
        <v>2.5</v>
      </c>
      <c r="Q6">
        <f>'[43]Template '!$C$84</f>
        <v>3</v>
      </c>
      <c r="R6">
        <f>'[43]Template '!$C$85</f>
        <v>1.5</v>
      </c>
      <c r="T6">
        <f>'[43]Template '!$C$74</f>
        <v>0.60909090909090913</v>
      </c>
      <c r="U6" t="str">
        <f>'[43]Template '!$C$75</f>
        <v>n/a</v>
      </c>
      <c r="V6">
        <f>'[43]Template '!$C$76</f>
        <v>0.5357142857142857</v>
      </c>
      <c r="W6">
        <f>'[43]Template '!$C$77</f>
        <v>0.19047619047619047</v>
      </c>
      <c r="X6">
        <f>'[43]Template '!$C$78</f>
        <v>0.50595238095238093</v>
      </c>
      <c r="Z6">
        <f>'[43]Template '!$C$80</f>
        <v>637</v>
      </c>
      <c r="AA6">
        <f>'[43]Template '!$C$81</f>
        <v>27.5</v>
      </c>
      <c r="AB6">
        <f>'[43]Template '!$C$82</f>
        <v>3.5</v>
      </c>
      <c r="AC6">
        <f>'[43]Template '!$C$83</f>
        <v>2.5</v>
      </c>
      <c r="AD6">
        <f>'[43]Template '!$C$84</f>
        <v>3</v>
      </c>
      <c r="AE6">
        <f>'[43]Template '!$C$85</f>
        <v>1.5</v>
      </c>
      <c r="AG6">
        <f>'[43]Template '!$C$96</f>
        <v>0.75</v>
      </c>
      <c r="AH6">
        <f>'[43]Template '!$C$97</f>
        <v>0.57777777777777783</v>
      </c>
      <c r="AI6">
        <f>'[43]Template '!$C$98</f>
        <v>0.5</v>
      </c>
      <c r="AJ6">
        <f>'[43]Template '!$C$99</f>
        <v>0.5480434598081656</v>
      </c>
      <c r="AK6">
        <f>'[43]Template '!$C$100</f>
        <v>0.56309523809523798</v>
      </c>
      <c r="AM6">
        <f>'[43]Template '!$C$102</f>
        <v>1140</v>
      </c>
      <c r="AN6">
        <f>'[43]Template '!$C$103</f>
        <v>60</v>
      </c>
      <c r="AO6">
        <f>'[43]Template '!$C$104</f>
        <v>4</v>
      </c>
      <c r="AP6">
        <f>'[43]Template '!$C$105</f>
        <v>3</v>
      </c>
      <c r="AQ6">
        <f>'[43]Template '!$C$106</f>
        <v>4</v>
      </c>
      <c r="AR6">
        <f>'[43]Template '!$C$107</f>
        <v>3</v>
      </c>
      <c r="AT6">
        <f>'[43]Template '!$C$52</f>
        <v>0.75</v>
      </c>
      <c r="AU6">
        <f>'[43]Template '!$C$53</f>
        <v>0.57777777777777783</v>
      </c>
      <c r="AV6">
        <f>'[43]Template '!$C$54</f>
        <v>0.5</v>
      </c>
      <c r="AW6">
        <f>'[43]Template '!$C$55</f>
        <v>0.27083333333333331</v>
      </c>
      <c r="AX6">
        <f>'[43]Template '!$C$56</f>
        <v>0.7761904761904761</v>
      </c>
      <c r="AZ6">
        <f>'[43]Template '!$C$58</f>
        <v>1200</v>
      </c>
      <c r="BA6">
        <f>'[43]Template '!$C$59</f>
        <v>62.5</v>
      </c>
      <c r="BB6">
        <f>'[43]Template '!$C$60</f>
        <v>4</v>
      </c>
      <c r="BC6">
        <f>'[43]Template '!$C$61</f>
        <v>3</v>
      </c>
      <c r="BD6">
        <f>'[43]Template '!$C$62</f>
        <v>4</v>
      </c>
      <c r="BE6">
        <f>'[43]Template '!$C$63</f>
        <v>3.5</v>
      </c>
      <c r="BG6">
        <f>'[43]Template '!$B$29</f>
        <v>0.3888888888888889</v>
      </c>
      <c r="BH6" t="str">
        <f>'[43]Template '!$B$30</f>
        <v>n/a</v>
      </c>
      <c r="BI6">
        <f>'[43]Template '!$B$31</f>
        <v>0.5</v>
      </c>
      <c r="BJ6">
        <f>'[43]Template '!$B$32</f>
        <v>0.4375</v>
      </c>
      <c r="BK6">
        <f>'[43]Template '!$B$33</f>
        <v>0.69246031746031733</v>
      </c>
      <c r="BM6">
        <f>'[43]Template '!$B$52</f>
        <v>0.75</v>
      </c>
      <c r="BN6">
        <f>'[43]Template '!$B$53</f>
        <v>0.57777777777777783</v>
      </c>
      <c r="BO6">
        <f>'[43]Template '!$B$54</f>
        <v>0.5</v>
      </c>
      <c r="BP6">
        <f>'[43]Template '!$B$55</f>
        <v>0.33333333333333331</v>
      </c>
      <c r="BQ6">
        <f>'[43]Template '!$B$56</f>
        <v>0.7761904761904761</v>
      </c>
      <c r="BS6">
        <f>'[43]Template '!$B$74</f>
        <v>0.60909090909090913</v>
      </c>
      <c r="BT6" t="str">
        <f>'[43]Template '!$B$75</f>
        <v>n/a</v>
      </c>
      <c r="BU6">
        <f>'[43]Template '!$B$76</f>
        <v>0.5357142857142857</v>
      </c>
      <c r="BV6">
        <f>'[43]Template '!$B$77</f>
        <v>0.375</v>
      </c>
      <c r="BW6">
        <f>'[43]Template '!$B$78</f>
        <v>0.50595238095238093</v>
      </c>
      <c r="BY6">
        <f>'[43]Template '!$B$96</f>
        <v>0.75</v>
      </c>
      <c r="BZ6">
        <f>'[43]Template '!$B$97</f>
        <v>0.57777777777777783</v>
      </c>
      <c r="CA6">
        <f>'[43]Template '!$B$98</f>
        <v>0.5</v>
      </c>
      <c r="CB6">
        <f>'[43]Template '!$B$99</f>
        <v>0.75</v>
      </c>
      <c r="CC6">
        <f>'[43]Template '!$B$100</f>
        <v>0.56309523809523798</v>
      </c>
      <c r="CF6">
        <f>'[43]Template '!$Z$30</f>
        <v>0</v>
      </c>
      <c r="CG6">
        <f>'[43]Template '!$AB$75</f>
        <v>0</v>
      </c>
      <c r="CH6">
        <f>'[43]Template '!$C$89</f>
        <v>0</v>
      </c>
      <c r="CI6">
        <f>'[43]Template '!$AF$75</f>
        <v>0</v>
      </c>
      <c r="CJ6">
        <f>'[43]Template '!$AR$97</f>
        <v>0</v>
      </c>
      <c r="CK6">
        <f>'[43]Template '!$AS$97</f>
        <v>1</v>
      </c>
      <c r="CL6">
        <f>'[43]Template '!$AZ$97</f>
        <v>1</v>
      </c>
      <c r="CM6">
        <f>'[43]Template '!$BB$97</f>
        <v>0</v>
      </c>
      <c r="CN6">
        <f>'[43]Template '!$AU$53</f>
        <v>1</v>
      </c>
      <c r="CO6">
        <f>'[43]Template '!$AV$53</f>
        <v>1</v>
      </c>
      <c r="CP6">
        <f>'[43]Template '!$AY$53</f>
        <v>1</v>
      </c>
      <c r="CQ6">
        <f>'[43]Template '!$AX$53</f>
        <v>0.5</v>
      </c>
      <c r="CR6">
        <f>'[43]Template '!$AZ$53</f>
        <v>0</v>
      </c>
      <c r="CS6">
        <f>'[43]Template '!$BF$53</f>
        <v>0</v>
      </c>
      <c r="CT6">
        <f t="shared" si="1"/>
        <v>0</v>
      </c>
      <c r="CU6">
        <f t="shared" si="2"/>
        <v>5.5</v>
      </c>
      <c r="CV6">
        <f t="shared" si="3"/>
        <v>5.5</v>
      </c>
      <c r="CY6" t="str">
        <f>'[43]Template '!$E$2</f>
        <v>A</v>
      </c>
      <c r="CZ6">
        <f>'[43]Template '!$B$13</f>
        <v>1</v>
      </c>
      <c r="DA6" t="str">
        <f>'[43]Template '!$D$2</f>
        <v>n/a</v>
      </c>
      <c r="DB6">
        <f>'[43]Template '!$D$3</f>
        <v>0</v>
      </c>
      <c r="DC6">
        <f>'[43]Template '!$F$2</f>
        <v>45387</v>
      </c>
      <c r="DE6">
        <f>'[43]Template '!$B$12</f>
        <v>37</v>
      </c>
      <c r="DF6" t="str">
        <f>'[43]Template '!$B$14</f>
        <v>7/21</v>
      </c>
      <c r="DG6" t="str">
        <f>'[43]Template '!$B$15</f>
        <v>7/21</v>
      </c>
      <c r="DH6">
        <f>'[43]Template '!$B$16</f>
        <v>36</v>
      </c>
      <c r="DI6">
        <f>'[43]Template '!$B$17</f>
        <v>0</v>
      </c>
      <c r="DJ6">
        <f>'[43]Template '!$B$18</f>
        <v>0</v>
      </c>
      <c r="DK6">
        <f>'[43]Template '!$B$19</f>
        <v>1</v>
      </c>
      <c r="DL6">
        <f>'[43]Template '!$B$20</f>
        <v>2</v>
      </c>
      <c r="DM6">
        <f>'[43]Template '!$B$21</f>
        <v>1</v>
      </c>
      <c r="DN6">
        <f>'[43]Template '!$B$22</f>
        <v>0</v>
      </c>
      <c r="DP6">
        <f>'[43]Template '!$I$13</f>
        <v>1</v>
      </c>
      <c r="DQ6">
        <f>'[43]Template '!$I$14</f>
        <v>4</v>
      </c>
      <c r="DR6">
        <f>'[43]Template '!$I$15</f>
        <v>4</v>
      </c>
      <c r="DS6">
        <f>'[43]Template '!$I$16</f>
        <v>4</v>
      </c>
      <c r="DT6">
        <f>'[43]Template '!$I$17</f>
        <v>4</v>
      </c>
      <c r="DU6">
        <f>'[43]Template '!$I$18</f>
        <v>3</v>
      </c>
      <c r="DV6">
        <f>'[43]Template '!$I$19</f>
        <v>5</v>
      </c>
      <c r="DW6">
        <f>'[43]Template '!$I$20</f>
        <v>4</v>
      </c>
      <c r="DX6">
        <f>'[43]Template '!$I$21</f>
        <v>5</v>
      </c>
      <c r="DY6">
        <f>'[43]Template '!$I$22</f>
        <v>5</v>
      </c>
      <c r="DZ6">
        <f>'[43]Template '!$I$23</f>
        <v>5</v>
      </c>
      <c r="EA6">
        <f>'[43]Template '!$I$24</f>
        <v>0</v>
      </c>
      <c r="ED6">
        <f>'[43]Template '!$L$13</f>
        <v>5</v>
      </c>
      <c r="EE6">
        <f>'[43]Template '!$L$14</f>
        <v>4</v>
      </c>
      <c r="EF6">
        <f>'[43]Template '!$L$15</f>
        <v>4</v>
      </c>
      <c r="EG6">
        <f>'[43]Template '!$L$16</f>
        <v>4</v>
      </c>
      <c r="EH6">
        <f>'[43]Template '!$L$17</f>
        <v>4</v>
      </c>
      <c r="EI6">
        <f>'[43]Template '!$L$18</f>
        <v>3</v>
      </c>
      <c r="EJ6">
        <f>'[43]Template '!$L$19</f>
        <v>5</v>
      </c>
      <c r="EK6">
        <f>'[43]Template '!$L$20</f>
        <v>4</v>
      </c>
      <c r="EL6">
        <f>'[43]Template '!$L$21</f>
        <v>4</v>
      </c>
      <c r="EM6">
        <f>'[43]Template '!$L$22</f>
        <v>4</v>
      </c>
      <c r="EN6">
        <f>'[43]Template '!$L$23</f>
        <v>5</v>
      </c>
      <c r="EQ6">
        <f>'[43]Template '!$O$13</f>
        <v>5</v>
      </c>
      <c r="ER6">
        <f>'[43]Template '!$O$14</f>
        <v>3</v>
      </c>
      <c r="ES6">
        <f>'[43]Template '!$O$15</f>
        <v>2</v>
      </c>
      <c r="ET6">
        <f>'[43]Template '!$O$16</f>
        <v>2</v>
      </c>
      <c r="EU6">
        <f>'[43]Template '!$O$17</f>
        <v>5</v>
      </c>
      <c r="EV6">
        <f>'[43]Template '!$O$18</f>
        <v>2</v>
      </c>
      <c r="EW6">
        <f>'[43]Template '!$O$19</f>
        <v>0</v>
      </c>
      <c r="EX6">
        <f>'[43]Template '!$O$20</f>
        <v>3</v>
      </c>
      <c r="EY6">
        <f>'[43]Template '!$O$21</f>
        <v>1</v>
      </c>
      <c r="EZ6">
        <f>'[43]Template '!$O$22</f>
        <v>1</v>
      </c>
      <c r="FA6">
        <f>'[43]Template '!$O$23</f>
        <v>1</v>
      </c>
      <c r="FL6">
        <f>'[43]Template '!$D$5</f>
        <v>0.50471230158730152</v>
      </c>
      <c r="FM6">
        <f>'[43]Template '!$D$6</f>
        <v>0.50643939393939397</v>
      </c>
      <c r="FN6">
        <f>'[43]Template '!$D$7</f>
        <v>0.58746031746031746</v>
      </c>
      <c r="FO6">
        <f>'[43]Template '!$D$8</f>
        <v>0.62817460317460316</v>
      </c>
      <c r="FP6">
        <f>'[43]Template '!$D$9</f>
        <v>0.55669665404040403</v>
      </c>
      <c r="FR6">
        <f>'[43]Template '!$E$5</f>
        <v>0.48357259570494859</v>
      </c>
      <c r="FS6">
        <f>'[43]Template '!$E$6</f>
        <v>0.46030844155844158</v>
      </c>
      <c r="FT6">
        <f>'[43]Template '!$E$7</f>
        <v>0.5749603174603175</v>
      </c>
      <c r="FU6">
        <f>'[43]Template '!$E$8</f>
        <v>0.58778329513623628</v>
      </c>
      <c r="FV6">
        <f>'[43]Template '!$E$9</f>
        <v>0.52665616246498592</v>
      </c>
    </row>
    <row r="7" spans="1:178" x14ac:dyDescent="0.2">
      <c r="A7" t="str">
        <f>'[44]Template '!$A$2</f>
        <v>M_081</v>
      </c>
      <c r="C7" t="str">
        <f t="shared" si="0"/>
        <v>M_081.xlsx</v>
      </c>
      <c r="E7" t="str">
        <f>'[44]Template '!$C$2</f>
        <v>mSTAT only</v>
      </c>
      <c r="G7">
        <f>'[44]Template '!$C$29</f>
        <v>0.3888888888888889</v>
      </c>
      <c r="H7" t="str">
        <f>'[44]Template '!$C$30</f>
        <v>n/a</v>
      </c>
      <c r="I7">
        <f>'[44]Template '!$C$31</f>
        <v>0.58333333333333326</v>
      </c>
      <c r="J7">
        <f>'[44]Template '!$C$32</f>
        <v>0.60294117647058831</v>
      </c>
      <c r="K7">
        <f>'[44]Template '!$C$33</f>
        <v>0.71626984126984128</v>
      </c>
      <c r="M7">
        <f>'[44]Template '!$C$80</f>
        <v>1200</v>
      </c>
      <c r="N7">
        <f>'[44]Template '!$C$81</f>
        <v>30</v>
      </c>
      <c r="O7">
        <f>'[44]Template '!$C$82</f>
        <v>3</v>
      </c>
      <c r="P7">
        <f>'[44]Template '!$C$83</f>
        <v>3</v>
      </c>
      <c r="Q7">
        <f>'[44]Template '!$C$84</f>
        <v>2</v>
      </c>
      <c r="R7">
        <f>'[44]Template '!$C$85</f>
        <v>2</v>
      </c>
      <c r="T7">
        <f>'[44]Template '!$C$74</f>
        <v>0.51818181818181819</v>
      </c>
      <c r="U7" t="str">
        <f>'[44]Template '!$C$75</f>
        <v>n/a</v>
      </c>
      <c r="V7">
        <f>'[44]Template '!$C$76</f>
        <v>0.4642857142857143</v>
      </c>
      <c r="W7">
        <f>'[44]Template '!$C$77</f>
        <v>0.64285714285714279</v>
      </c>
      <c r="X7">
        <f>'[44]Template '!$C$78</f>
        <v>0.50595238095238093</v>
      </c>
      <c r="Z7">
        <f>'[44]Template '!$C$80</f>
        <v>1200</v>
      </c>
      <c r="AA7">
        <f>'[44]Template '!$C$81</f>
        <v>30</v>
      </c>
      <c r="AB7">
        <f>'[44]Template '!$C$82</f>
        <v>3</v>
      </c>
      <c r="AC7">
        <f>'[44]Template '!$C$83</f>
        <v>3</v>
      </c>
      <c r="AD7">
        <f>'[44]Template '!$C$84</f>
        <v>2</v>
      </c>
      <c r="AE7">
        <f>'[44]Template '!$C$85</f>
        <v>2</v>
      </c>
      <c r="AG7">
        <f>'[44]Template '!$C$96</f>
        <v>0.75</v>
      </c>
      <c r="AH7">
        <f>'[44]Template '!$C$97</f>
        <v>0.27777777777777779</v>
      </c>
      <c r="AI7">
        <f>'[44]Template '!$C$98</f>
        <v>0.5</v>
      </c>
      <c r="AJ7">
        <f>'[44]Template '!$C$99</f>
        <v>0.88888888888888884</v>
      </c>
      <c r="AK7">
        <f>'[44]Template '!$C$100</f>
        <v>0.89523809523809517</v>
      </c>
      <c r="AM7">
        <f>'[44]Template '!$C$102</f>
        <v>1149</v>
      </c>
      <c r="AN7">
        <f>'[44]Template '!$C$103</f>
        <v>65</v>
      </c>
      <c r="AO7">
        <f>'[44]Template '!$C$104</f>
        <v>2.5</v>
      </c>
      <c r="AP7">
        <f>'[44]Template '!$C$105</f>
        <v>3.5</v>
      </c>
      <c r="AQ7">
        <f>'[44]Template '!$C$106</f>
        <v>4.5</v>
      </c>
      <c r="AR7">
        <f>'[44]Template '!$C$107</f>
        <v>4</v>
      </c>
      <c r="AT7">
        <f>'[44]Template '!$C$52</f>
        <v>0.75</v>
      </c>
      <c r="AU7">
        <f>'[44]Template '!$C$53</f>
        <v>0.27777777777777779</v>
      </c>
      <c r="AV7">
        <f>'[44]Template '!$C$54</f>
        <v>0.5</v>
      </c>
      <c r="AW7">
        <f>'[44]Template '!$C$55</f>
        <v>0.23958333333333334</v>
      </c>
      <c r="AX7">
        <f>'[44]Template '!$C$56</f>
        <v>0.57301587301587309</v>
      </c>
      <c r="AZ7">
        <f>'[44]Template '!$C$58</f>
        <v>1200</v>
      </c>
      <c r="BA7">
        <f>'[44]Template '!$C$59</f>
        <v>42.5</v>
      </c>
      <c r="BB7">
        <f>'[44]Template '!$C$60</f>
        <v>2.5</v>
      </c>
      <c r="BC7">
        <f>'[44]Template '!$C$61</f>
        <v>2.5</v>
      </c>
      <c r="BD7">
        <f>'[44]Template '!$C$62</f>
        <v>3</v>
      </c>
      <c r="BE7">
        <f>'[44]Template '!$C$63</f>
        <v>2.5</v>
      </c>
      <c r="BG7">
        <f>'[44]Template '!$B$29</f>
        <v>0.3888888888888889</v>
      </c>
      <c r="BH7" t="str">
        <f>'[44]Template '!$B$30</f>
        <v>n/a</v>
      </c>
      <c r="BI7">
        <f>'[44]Template '!$B$31</f>
        <v>0.58333333333333326</v>
      </c>
      <c r="BJ7">
        <f>'[44]Template '!$B$32</f>
        <v>0.6875</v>
      </c>
      <c r="BK7">
        <f>'[44]Template '!$B$33</f>
        <v>0.71626984126984128</v>
      </c>
      <c r="BM7">
        <f>'[44]Template '!$B$52</f>
        <v>0.75</v>
      </c>
      <c r="BN7">
        <f>'[44]Template '!$B$53</f>
        <v>0.27777777777777779</v>
      </c>
      <c r="BO7">
        <f>'[44]Template '!$B$54</f>
        <v>0.5</v>
      </c>
      <c r="BP7">
        <f>'[44]Template '!$B$55</f>
        <v>0.34259259259259256</v>
      </c>
      <c r="BQ7">
        <f>'[44]Template '!$B$56</f>
        <v>0.57301587301587309</v>
      </c>
      <c r="BS7">
        <f>'[44]Template '!$B$74</f>
        <v>0.51818181818181819</v>
      </c>
      <c r="BT7" t="str">
        <f>'[44]Template '!$B$75</f>
        <v>n/a</v>
      </c>
      <c r="BU7">
        <f>'[44]Template '!$B$76</f>
        <v>0.4642857142857143</v>
      </c>
      <c r="BV7">
        <f>'[44]Template '!$B$77</f>
        <v>0.83333333333333326</v>
      </c>
      <c r="BW7">
        <f>'[44]Template '!$B$78</f>
        <v>0.50595238095238093</v>
      </c>
      <c r="BY7">
        <f>'[44]Template '!$B$96</f>
        <v>0.75</v>
      </c>
      <c r="BZ7">
        <f>'[44]Template '!$B$97</f>
        <v>0.27777777777777779</v>
      </c>
      <c r="CA7">
        <f>'[44]Template '!$B$98</f>
        <v>0.5</v>
      </c>
      <c r="CB7">
        <f>'[44]Template '!$B$99</f>
        <v>0.88888888888888884</v>
      </c>
      <c r="CC7">
        <f>'[44]Template '!$B$100</f>
        <v>0.89523809523809517</v>
      </c>
      <c r="CF7">
        <f>'[44]Template '!$Z$30</f>
        <v>0</v>
      </c>
      <c r="CG7">
        <f>'[44]Template '!$AB$75</f>
        <v>1</v>
      </c>
      <c r="CH7">
        <f>'[44]Template '!$C$89</f>
        <v>1</v>
      </c>
      <c r="CI7">
        <f>'[44]Template '!$AF$75</f>
        <v>0</v>
      </c>
      <c r="CJ7">
        <f>'[44]Template '!$AR$97</f>
        <v>1</v>
      </c>
      <c r="CK7">
        <f>'[44]Template '!$AS$97</f>
        <v>1</v>
      </c>
      <c r="CL7">
        <f>'[44]Template '!$AZ$97</f>
        <v>1</v>
      </c>
      <c r="CM7">
        <f>'[44]Template '!$BB$97</f>
        <v>1</v>
      </c>
      <c r="CN7">
        <f>'[44]Template '!$AU$53</f>
        <v>1</v>
      </c>
      <c r="CO7">
        <f>'[44]Template '!$AV$53</f>
        <v>0.5</v>
      </c>
      <c r="CP7">
        <f>'[44]Template '!$AY$53</f>
        <v>0</v>
      </c>
      <c r="CQ7">
        <f>'[44]Template '!$AX$53</f>
        <v>0</v>
      </c>
      <c r="CR7">
        <f>'[44]Template '!$AZ$53</f>
        <v>0</v>
      </c>
      <c r="CS7">
        <f>'[44]Template '!$BF$53</f>
        <v>0</v>
      </c>
      <c r="CT7">
        <f t="shared" si="1"/>
        <v>2</v>
      </c>
      <c r="CU7">
        <f t="shared" si="2"/>
        <v>5.5</v>
      </c>
      <c r="CV7">
        <f t="shared" si="3"/>
        <v>7.5</v>
      </c>
      <c r="CY7" t="str">
        <f>'[44]Template '!$E$2</f>
        <v>B</v>
      </c>
      <c r="CZ7">
        <f>'[44]Template '!$B$13</f>
        <v>1</v>
      </c>
      <c r="DA7" t="str">
        <f>'[44]Template '!$D$2</f>
        <v>n/a</v>
      </c>
      <c r="DB7">
        <f>'[44]Template '!$D$3</f>
        <v>0</v>
      </c>
      <c r="DC7">
        <f>'[44]Template '!$F$2</f>
        <v>45387</v>
      </c>
      <c r="DE7">
        <f>'[44]Template '!$B$12</f>
        <v>20</v>
      </c>
      <c r="DF7" t="str">
        <f>'[44]Template '!$B$14</f>
        <v>3/23</v>
      </c>
      <c r="DG7" t="str">
        <f>'[44]Template '!$B$15</f>
        <v>6/23</v>
      </c>
      <c r="DH7">
        <f>'[44]Template '!$B$16</f>
        <v>12</v>
      </c>
      <c r="DI7">
        <f>'[44]Template '!$B$17</f>
        <v>0</v>
      </c>
      <c r="DJ7">
        <f>'[44]Template '!$B$18</f>
        <v>0</v>
      </c>
      <c r="DK7">
        <f>'[44]Template '!$B$19</f>
        <v>0</v>
      </c>
      <c r="DL7">
        <f>'[44]Template '!$B$20</f>
        <v>0</v>
      </c>
      <c r="DM7">
        <f>'[44]Template '!$B$21</f>
        <v>0</v>
      </c>
      <c r="DN7">
        <f>'[44]Template '!$B$22</f>
        <v>1</v>
      </c>
      <c r="DP7">
        <f>'[44]Template '!$I$13</f>
        <v>4</v>
      </c>
      <c r="DQ7">
        <f>'[44]Template '!$I$14</f>
        <v>4</v>
      </c>
      <c r="DR7">
        <f>'[44]Template '!$I$15</f>
        <v>4</v>
      </c>
      <c r="DS7">
        <f>'[44]Template '!$I$16</f>
        <v>4</v>
      </c>
      <c r="DT7">
        <f>'[44]Template '!$I$17</f>
        <v>4</v>
      </c>
      <c r="DU7">
        <f>'[44]Template '!$I$18</f>
        <v>3</v>
      </c>
      <c r="DV7">
        <f>'[44]Template '!$I$19</f>
        <v>5</v>
      </c>
      <c r="DW7">
        <f>'[44]Template '!$I$20</f>
        <v>2</v>
      </c>
      <c r="DX7">
        <f>'[44]Template '!$I$21</f>
        <v>3</v>
      </c>
      <c r="DY7">
        <f>'[44]Template '!$I$22</f>
        <v>4</v>
      </c>
      <c r="DZ7">
        <f>'[44]Template '!$I$23</f>
        <v>4</v>
      </c>
      <c r="EA7">
        <f>'[44]Template '!$I$24</f>
        <v>0</v>
      </c>
      <c r="ED7">
        <f>'[44]Template '!$L$13</f>
        <v>4</v>
      </c>
      <c r="EE7">
        <f>'[44]Template '!$L$14</f>
        <v>5</v>
      </c>
      <c r="EF7">
        <f>'[44]Template '!$L$15</f>
        <v>4</v>
      </c>
      <c r="EG7">
        <f>'[44]Template '!$L$16</f>
        <v>5</v>
      </c>
      <c r="EH7">
        <f>'[44]Template '!$L$17</f>
        <v>4</v>
      </c>
      <c r="EI7">
        <f>'[44]Template '!$L$18</f>
        <v>4</v>
      </c>
      <c r="EJ7">
        <f>'[44]Template '!$L$19</f>
        <v>5</v>
      </c>
      <c r="EK7">
        <f>'[44]Template '!$L$20</f>
        <v>4</v>
      </c>
      <c r="EL7">
        <f>'[44]Template '!$L$21</f>
        <v>4</v>
      </c>
      <c r="EM7">
        <f>'[44]Template '!$L$22</f>
        <v>4</v>
      </c>
      <c r="EN7">
        <f>'[44]Template '!$L$23</f>
        <v>5</v>
      </c>
      <c r="EQ7">
        <f>'[44]Template '!$O$13</f>
        <v>4</v>
      </c>
      <c r="ER7">
        <f>'[44]Template '!$O$14</f>
        <v>4</v>
      </c>
      <c r="ES7">
        <f>'[44]Template '!$O$15</f>
        <v>1</v>
      </c>
      <c r="ET7">
        <f>'[44]Template '!$O$16</f>
        <v>3</v>
      </c>
      <c r="EU7">
        <f>'[44]Template '!$O$17</f>
        <v>4</v>
      </c>
      <c r="EV7">
        <f>'[44]Template '!$O$18</f>
        <v>2</v>
      </c>
      <c r="EW7">
        <f>'[44]Template '!$O$19</f>
        <v>1</v>
      </c>
      <c r="EX7">
        <f>'[44]Template '!$O$20</f>
        <v>3</v>
      </c>
      <c r="EY7">
        <f>'[44]Template '!$O$21</f>
        <v>1</v>
      </c>
      <c r="EZ7">
        <f>'[44]Template '!$O$22</f>
        <v>1</v>
      </c>
      <c r="FA7">
        <f>'[44]Template '!$O$23</f>
        <v>4</v>
      </c>
      <c r="FL7">
        <f>'[44]Template '!$D$5</f>
        <v>0.59399801587301582</v>
      </c>
      <c r="FM7">
        <f>'[44]Template '!$D$6</f>
        <v>0.58043831168831161</v>
      </c>
      <c r="FN7">
        <f>'[44]Template '!$D$7</f>
        <v>0.48867724867724871</v>
      </c>
      <c r="FO7">
        <f>'[44]Template '!$D$8</f>
        <v>0.66238095238095229</v>
      </c>
      <c r="FP7">
        <f>'[44]Template '!$D$9</f>
        <v>0.58137363215488214</v>
      </c>
      <c r="FR7">
        <f>'[44]Template '!$E$5</f>
        <v>0.5728583099906629</v>
      </c>
      <c r="FS7">
        <f>'[44]Template '!$E$6</f>
        <v>0.53281926406926405</v>
      </c>
      <c r="FT7">
        <f>'[44]Template '!$E$7</f>
        <v>0.46807539682539678</v>
      </c>
      <c r="FU7">
        <f>'[44]Template '!$E$8</f>
        <v>0.66238095238095229</v>
      </c>
      <c r="FV7">
        <f>'[44]Template '!$E$9</f>
        <v>0.55903348081656901</v>
      </c>
    </row>
    <row r="8" spans="1:178" x14ac:dyDescent="0.2">
      <c r="A8" t="str">
        <f>'[42]Template '!$A$2</f>
        <v>M_079</v>
      </c>
      <c r="C8" t="str">
        <f t="shared" si="0"/>
        <v>M_079.xlsx</v>
      </c>
      <c r="E8" t="str">
        <f>'[42]Template '!$C$2</f>
        <v>mSTAT only</v>
      </c>
      <c r="G8">
        <f>'[42]Template '!$C$29</f>
        <v>0.3888888888888889</v>
      </c>
      <c r="H8" t="str">
        <f>'[42]Template '!$C$30</f>
        <v>n/a</v>
      </c>
      <c r="I8">
        <f>'[42]Template '!$C$31</f>
        <v>0.41666666666666663</v>
      </c>
      <c r="J8">
        <f>'[42]Template '!$C$32</f>
        <v>0.75735294117647056</v>
      </c>
      <c r="K8">
        <f>'[42]Template '!$C$33</f>
        <v>0.72619047619047616</v>
      </c>
      <c r="M8">
        <f>'[42]Template '!$C$80</f>
        <v>1200</v>
      </c>
      <c r="N8">
        <f>'[42]Template '!$C$81</f>
        <v>10</v>
      </c>
      <c r="O8">
        <f>'[42]Template '!$C$82</f>
        <v>2</v>
      </c>
      <c r="P8">
        <f>'[42]Template '!$C$83</f>
        <v>1</v>
      </c>
      <c r="Q8">
        <f>'[42]Template '!$C$84</f>
        <v>3</v>
      </c>
      <c r="R8">
        <f>'[42]Template '!$C$85</f>
        <v>2</v>
      </c>
      <c r="T8">
        <f>'[42]Template '!$C$74</f>
        <v>0.29090909090909089</v>
      </c>
      <c r="U8" t="str">
        <f>'[42]Template '!$C$75</f>
        <v>n/a</v>
      </c>
      <c r="V8">
        <f>'[42]Template '!$C$76</f>
        <v>0.4642857142857143</v>
      </c>
      <c r="W8">
        <f>'[42]Template '!$C$77</f>
        <v>0.45238095238095233</v>
      </c>
      <c r="X8">
        <f>'[42]Template '!$C$78</f>
        <v>0.20634920634920637</v>
      </c>
      <c r="Z8">
        <f>'[42]Template '!$C$80</f>
        <v>1200</v>
      </c>
      <c r="AA8">
        <f>'[42]Template '!$C$81</f>
        <v>10</v>
      </c>
      <c r="AB8">
        <f>'[42]Template '!$C$82</f>
        <v>2</v>
      </c>
      <c r="AC8">
        <f>'[42]Template '!$C$83</f>
        <v>1</v>
      </c>
      <c r="AD8">
        <f>'[42]Template '!$C$84</f>
        <v>3</v>
      </c>
      <c r="AE8">
        <f>'[42]Template '!$C$85</f>
        <v>2</v>
      </c>
      <c r="AG8">
        <f>'[42]Template '!$C$96</f>
        <v>0.66666666666666663</v>
      </c>
      <c r="AH8">
        <f>'[42]Template '!$C$97</f>
        <v>0.57777777777777783</v>
      </c>
      <c r="AI8">
        <f>'[42]Template '!$C$98</f>
        <v>0.5</v>
      </c>
      <c r="AJ8">
        <f>'[42]Template '!$C$99</f>
        <v>0.81746031746031733</v>
      </c>
      <c r="AK8">
        <f>'[42]Template '!$C$100</f>
        <v>0.7150793650793652</v>
      </c>
      <c r="AM8">
        <f>'[42]Template '!$C$102</f>
        <v>1266</v>
      </c>
      <c r="AN8">
        <f>'[42]Template '!$C$103</f>
        <v>60</v>
      </c>
      <c r="AO8">
        <f>'[42]Template '!$C$104</f>
        <v>4</v>
      </c>
      <c r="AP8">
        <f>'[42]Template '!$C$105</f>
        <v>3</v>
      </c>
      <c r="AQ8">
        <f>'[42]Template '!$C$106</f>
        <v>3</v>
      </c>
      <c r="AR8">
        <f>'[42]Template '!$C$107</f>
        <v>3</v>
      </c>
      <c r="AT8">
        <f>'[42]Template '!$C$52</f>
        <v>0.58333333333333337</v>
      </c>
      <c r="AU8">
        <f>'[42]Template '!$C$53</f>
        <v>0.57777777777777783</v>
      </c>
      <c r="AV8">
        <f>'[42]Template '!$C$54</f>
        <v>0.5</v>
      </c>
      <c r="AW8">
        <f>'[42]Template '!$C$55</f>
        <v>0.14583333333333334</v>
      </c>
      <c r="AX8">
        <f>'[42]Template '!$C$56</f>
        <v>0.56507936507936507</v>
      </c>
      <c r="AZ8">
        <f>'[42]Template '!$C$58</f>
        <v>1200</v>
      </c>
      <c r="BA8">
        <f>'[42]Template '!$C$59</f>
        <v>40</v>
      </c>
      <c r="BB8">
        <f>'[42]Template '!$C$60</f>
        <v>3</v>
      </c>
      <c r="BC8">
        <f>'[42]Template '!$C$61</f>
        <v>3</v>
      </c>
      <c r="BD8">
        <f>'[42]Template '!$C$62</f>
        <v>3</v>
      </c>
      <c r="BE8">
        <f>'[42]Template '!$C$63</f>
        <v>3</v>
      </c>
      <c r="BG8">
        <f>'[42]Template '!$B$29</f>
        <v>0.3888888888888889</v>
      </c>
      <c r="BH8" t="str">
        <f>'[42]Template '!$B$30</f>
        <v>n/a</v>
      </c>
      <c r="BI8">
        <f>'[42]Template '!$B$31</f>
        <v>0.41666666666666663</v>
      </c>
      <c r="BJ8">
        <f>'[42]Template '!$B$32</f>
        <v>0.875</v>
      </c>
      <c r="BK8">
        <f>'[42]Template '!$B$33</f>
        <v>0.72619047619047616</v>
      </c>
      <c r="BM8">
        <f>'[42]Template '!$B$52</f>
        <v>0.75</v>
      </c>
      <c r="BN8">
        <f>'[42]Template '!$B$53</f>
        <v>0.57777777777777783</v>
      </c>
      <c r="BO8">
        <f>'[42]Template '!$B$54</f>
        <v>0.5</v>
      </c>
      <c r="BP8">
        <f>'[42]Template '!$B$55</f>
        <v>0.19444444444444442</v>
      </c>
      <c r="BQ8">
        <f>'[42]Template '!$B$56</f>
        <v>0.56507936507936507</v>
      </c>
      <c r="BS8">
        <f>'[42]Template '!$B$74</f>
        <v>0.29090909090909089</v>
      </c>
      <c r="BT8" t="str">
        <f>'[42]Template '!$B$75</f>
        <v>n/a</v>
      </c>
      <c r="BU8">
        <f>'[42]Template '!$B$76</f>
        <v>0.4642857142857143</v>
      </c>
      <c r="BV8">
        <f>'[42]Template '!$B$77</f>
        <v>0.33333333333333331</v>
      </c>
      <c r="BW8">
        <f>'[42]Template '!$B$78</f>
        <v>0.20634920634920637</v>
      </c>
      <c r="BY8">
        <f>'[42]Template '!$B$96</f>
        <v>0.66666666666666663</v>
      </c>
      <c r="BZ8">
        <f>'[42]Template '!$B$97</f>
        <v>0.57777777777777783</v>
      </c>
      <c r="CA8">
        <f>'[42]Template '!$B$98</f>
        <v>0.5</v>
      </c>
      <c r="CB8">
        <f>'[42]Template '!$B$99</f>
        <v>0.80555555555555547</v>
      </c>
      <c r="CC8">
        <f>'[42]Template '!$B$100</f>
        <v>0.7150793650793652</v>
      </c>
      <c r="CF8">
        <f>'[42]Template '!$Z$30</f>
        <v>1</v>
      </c>
      <c r="CG8">
        <f>'[42]Template '!$AB$75</f>
        <v>0</v>
      </c>
      <c r="CH8">
        <f>'[42]Template '!$C$89</f>
        <v>0</v>
      </c>
      <c r="CI8">
        <f>'[42]Template '!$AF$75</f>
        <v>0</v>
      </c>
      <c r="CJ8">
        <f>'[42]Template '!$AR$97</f>
        <v>1</v>
      </c>
      <c r="CK8">
        <f>'[42]Template '!$AS$97</f>
        <v>1</v>
      </c>
      <c r="CL8">
        <f>'[42]Template '!$AZ$97</f>
        <v>1</v>
      </c>
      <c r="CM8">
        <f>'[42]Template '!$BB$97</f>
        <v>1</v>
      </c>
      <c r="CN8">
        <f>'[42]Template '!$AU$53</f>
        <v>0</v>
      </c>
      <c r="CO8">
        <f>'[42]Template '!$AV$53</f>
        <v>0</v>
      </c>
      <c r="CP8">
        <f>'[42]Template '!$AY$53</f>
        <v>0</v>
      </c>
      <c r="CQ8">
        <f>'[42]Template '!$AX$53</f>
        <v>0</v>
      </c>
      <c r="CR8">
        <f>'[42]Template '!$AZ$53</f>
        <v>0</v>
      </c>
      <c r="CS8">
        <f>'[42]Template '!$BF$53</f>
        <v>0</v>
      </c>
      <c r="CT8">
        <f t="shared" si="1"/>
        <v>1</v>
      </c>
      <c r="CU8">
        <f t="shared" si="2"/>
        <v>4</v>
      </c>
      <c r="CV8">
        <f t="shared" si="3"/>
        <v>5</v>
      </c>
      <c r="CY8" t="str">
        <f>'[42]Template '!$E$2</f>
        <v>A</v>
      </c>
      <c r="CZ8">
        <f>'[42]Template '!$B$13</f>
        <v>1</v>
      </c>
      <c r="DA8" t="str">
        <f>'[42]Template '!$D$2</f>
        <v>n/a</v>
      </c>
      <c r="DB8">
        <f>'[42]Template '!$D$3</f>
        <v>0</v>
      </c>
      <c r="DC8">
        <f>'[42]Template '!$F$2</f>
        <v>45419</v>
      </c>
      <c r="DE8">
        <f>'[42]Template '!$B$12</f>
        <v>27</v>
      </c>
      <c r="DF8" t="str">
        <f>'[42]Template '!$B$14</f>
        <v>10/18</v>
      </c>
      <c r="DG8" t="str">
        <f>'[42]Template '!$B$15</f>
        <v>2/19</v>
      </c>
      <c r="DH8">
        <f>'[42]Template '!$B$16</f>
        <v>72</v>
      </c>
      <c r="DI8">
        <f>'[42]Template '!$B$17</f>
        <v>0</v>
      </c>
      <c r="DJ8">
        <f>'[42]Template '!$B$18</f>
        <v>0</v>
      </c>
      <c r="DK8">
        <f>'[42]Template '!$B$19</f>
        <v>1</v>
      </c>
      <c r="DL8">
        <f>'[42]Template '!$B$20</f>
        <v>1</v>
      </c>
      <c r="DM8">
        <f>'[42]Template '!$B$21</f>
        <v>0</v>
      </c>
      <c r="DN8">
        <f>'[42]Template '!$B$22</f>
        <v>1</v>
      </c>
      <c r="DP8">
        <f>'[42]Template '!$I$13</f>
        <v>4</v>
      </c>
      <c r="DQ8">
        <f>'[42]Template '!$I$14</f>
        <v>4</v>
      </c>
      <c r="DR8">
        <f>'[42]Template '!$I$15</f>
        <v>4</v>
      </c>
      <c r="DS8">
        <f>'[42]Template '!$I$16</f>
        <v>4</v>
      </c>
      <c r="DT8">
        <f>'[42]Template '!$I$17</f>
        <v>4</v>
      </c>
      <c r="DU8">
        <f>'[42]Template '!$I$18</f>
        <v>3</v>
      </c>
      <c r="DV8">
        <f>'[42]Template '!$I$19</f>
        <v>4</v>
      </c>
      <c r="DW8">
        <f>'[42]Template '!$I$20</f>
        <v>2</v>
      </c>
      <c r="DX8">
        <f>'[42]Template '!$I$21</f>
        <v>4</v>
      </c>
      <c r="DY8">
        <f>'[42]Template '!$I$22</f>
        <v>3</v>
      </c>
      <c r="DZ8">
        <f>'[42]Template '!$I$23</f>
        <v>5</v>
      </c>
      <c r="EA8">
        <f>'[42]Template '!$I$24</f>
        <v>0</v>
      </c>
      <c r="ED8">
        <f>'[42]Template '!$L$13</f>
        <v>4</v>
      </c>
      <c r="EE8">
        <f>'[42]Template '!$L$14</f>
        <v>4</v>
      </c>
      <c r="EF8">
        <f>'[42]Template '!$L$15</f>
        <v>4</v>
      </c>
      <c r="EG8">
        <f>'[42]Template '!$L$16</f>
        <v>2</v>
      </c>
      <c r="EH8">
        <f>'[42]Template '!$L$17</f>
        <v>4</v>
      </c>
      <c r="EI8">
        <f>'[42]Template '!$L$18</f>
        <v>4</v>
      </c>
      <c r="EJ8">
        <f>'[42]Template '!$L$19</f>
        <v>5</v>
      </c>
      <c r="EK8">
        <f>'[42]Template '!$L$20</f>
        <v>2</v>
      </c>
      <c r="EL8">
        <f>'[42]Template '!$L$21</f>
        <v>3</v>
      </c>
      <c r="EM8">
        <f>'[42]Template '!$L$22</f>
        <v>3</v>
      </c>
      <c r="EN8">
        <f>'[42]Template '!$L$23</f>
        <v>5</v>
      </c>
      <c r="EQ8">
        <f>'[42]Template '!$O$13</f>
        <v>5</v>
      </c>
      <c r="ER8">
        <f>'[42]Template '!$O$14</f>
        <v>4</v>
      </c>
      <c r="ES8">
        <f>'[42]Template '!$O$15</f>
        <v>2</v>
      </c>
      <c r="ET8">
        <f>'[42]Template '!$O$16</f>
        <v>4</v>
      </c>
      <c r="EU8">
        <f>'[42]Template '!$O$17</f>
        <v>5</v>
      </c>
      <c r="EV8">
        <f>'[42]Template '!$O$18</f>
        <v>3</v>
      </c>
      <c r="EW8">
        <f>'[42]Template '!$O$19</f>
        <v>1</v>
      </c>
      <c r="EX8">
        <f>'[42]Template '!$O$20</f>
        <v>4</v>
      </c>
      <c r="EY8">
        <f>'[42]Template '!$O$21</f>
        <v>2</v>
      </c>
      <c r="EZ8">
        <f>'[42]Template '!$O$22</f>
        <v>4</v>
      </c>
      <c r="FA8">
        <f>'[42]Template '!$O$23</f>
        <v>2</v>
      </c>
      <c r="FL8">
        <f>'[42]Template '!$D$5</f>
        <v>0.60168650793650791</v>
      </c>
      <c r="FM8">
        <f>'[42]Template '!$D$6</f>
        <v>0.32371933621933618</v>
      </c>
      <c r="FN8">
        <f>'[42]Template '!$D$7</f>
        <v>0.5174603174603174</v>
      </c>
      <c r="FO8">
        <f>'[42]Template '!$D$8</f>
        <v>0.65301587301587305</v>
      </c>
      <c r="FP8">
        <f>'[42]Template '!$D$9</f>
        <v>0.52397050865800865</v>
      </c>
      <c r="FR8">
        <f>'[42]Template '!$E$5</f>
        <v>0.57227474323062555</v>
      </c>
      <c r="FS8">
        <f>'[42]Template '!$E$6</f>
        <v>0.35348124098124095</v>
      </c>
      <c r="FT8">
        <f>'[42]Template '!$E$7</f>
        <v>0.47440476190476188</v>
      </c>
      <c r="FU8">
        <f>'[42]Template '!$E$8</f>
        <v>0.65539682539682542</v>
      </c>
      <c r="FV8">
        <f>'[42]Template '!$E$9</f>
        <v>0.51388939287836344</v>
      </c>
    </row>
    <row r="9" spans="1:178" x14ac:dyDescent="0.2">
      <c r="A9" t="str">
        <f>'[45]Template '!$A$2</f>
        <v>M_078</v>
      </c>
      <c r="C9" t="str">
        <f t="shared" si="0"/>
        <v>M_078.xlsx</v>
      </c>
      <c r="E9" t="str">
        <f>'[45]Template '!$C$2</f>
        <v>mSTAT only</v>
      </c>
      <c r="G9">
        <f>'[45]Template '!$C$29</f>
        <v>0.33333333333333331</v>
      </c>
      <c r="H9" t="str">
        <f>'[45]Template '!$C$30</f>
        <v>n/a</v>
      </c>
      <c r="I9">
        <f>'[45]Template '!$C$31</f>
        <v>0.58333333333333326</v>
      </c>
      <c r="J9">
        <f>'[45]Template '!$C$32</f>
        <v>0.66176470588235303</v>
      </c>
      <c r="K9">
        <f>'[45]Template '!$C$33</f>
        <v>0.47619047619047611</v>
      </c>
      <c r="M9">
        <f>'[45]Template '!$C$80</f>
        <v>950</v>
      </c>
      <c r="N9">
        <f>'[45]Template '!$C$81</f>
        <v>25</v>
      </c>
      <c r="O9">
        <f>'[45]Template '!$C$82</f>
        <v>2</v>
      </c>
      <c r="P9">
        <f>'[45]Template '!$C$83</f>
        <v>1</v>
      </c>
      <c r="Q9">
        <f>'[45]Template '!$C$84</f>
        <v>2</v>
      </c>
      <c r="R9">
        <f>'[45]Template '!$C$85</f>
        <v>1</v>
      </c>
      <c r="T9">
        <f>'[45]Template '!$C$74</f>
        <v>0.38181818181818183</v>
      </c>
      <c r="U9" t="str">
        <f>'[45]Template '!$C$75</f>
        <v>n/a</v>
      </c>
      <c r="V9">
        <f>'[45]Template '!$C$76</f>
        <v>0.3214285714285714</v>
      </c>
      <c r="W9">
        <f>'[45]Template '!$C$77</f>
        <v>0.47619047619047616</v>
      </c>
      <c r="X9">
        <f>'[45]Template '!$C$78</f>
        <v>0.26190476190476192</v>
      </c>
      <c r="Z9">
        <f>'[45]Template '!$C$80</f>
        <v>950</v>
      </c>
      <c r="AA9">
        <f>'[45]Template '!$C$81</f>
        <v>25</v>
      </c>
      <c r="AB9">
        <f>'[45]Template '!$C$82</f>
        <v>2</v>
      </c>
      <c r="AC9">
        <f>'[45]Template '!$C$83</f>
        <v>1</v>
      </c>
      <c r="AD9">
        <f>'[45]Template '!$C$84</f>
        <v>2</v>
      </c>
      <c r="AE9">
        <f>'[45]Template '!$C$85</f>
        <v>1</v>
      </c>
      <c r="AG9">
        <f>'[45]Template '!$C$96</f>
        <v>0.66666666666666663</v>
      </c>
      <c r="AH9">
        <f>'[45]Template '!$C$97</f>
        <v>0.51111111111111107</v>
      </c>
      <c r="AI9">
        <f>'[45]Template '!$C$98</f>
        <v>0</v>
      </c>
      <c r="AJ9">
        <f>'[45]Template '!$C$99</f>
        <v>0.88888888888888884</v>
      </c>
      <c r="AK9">
        <f>'[45]Template '!$C$100</f>
        <v>0.63571428571428579</v>
      </c>
      <c r="AM9">
        <f>'[45]Template '!$C$102</f>
        <v>711</v>
      </c>
      <c r="AN9">
        <f>'[45]Template '!$C$103</f>
        <v>45</v>
      </c>
      <c r="AO9">
        <f>'[45]Template '!$C$104</f>
        <v>3</v>
      </c>
      <c r="AP9">
        <f>'[45]Template '!$C$105</f>
        <v>2</v>
      </c>
      <c r="AQ9">
        <f>'[45]Template '!$C$106</f>
        <v>3</v>
      </c>
      <c r="AR9">
        <f>'[45]Template '!$C$107</f>
        <v>2</v>
      </c>
      <c r="AT9">
        <f>'[45]Template '!$C$52</f>
        <v>0.75</v>
      </c>
      <c r="AU9">
        <f>'[45]Template '!$C$53</f>
        <v>0.51111111111111107</v>
      </c>
      <c r="AV9">
        <f>'[45]Template '!$C$54</f>
        <v>0.5</v>
      </c>
      <c r="AW9">
        <f>'[45]Template '!$C$55</f>
        <v>0.75</v>
      </c>
      <c r="AX9">
        <f>'[45]Template '!$C$56</f>
        <v>0.66746031746031742</v>
      </c>
      <c r="AZ9">
        <f>'[45]Template '!$C$58</f>
        <v>1015</v>
      </c>
      <c r="BA9">
        <f>'[45]Template '!$C$59</f>
        <v>25</v>
      </c>
      <c r="BB9">
        <f>'[45]Template '!$C$60</f>
        <v>2</v>
      </c>
      <c r="BC9">
        <f>'[45]Template '!$C$61</f>
        <v>2</v>
      </c>
      <c r="BD9">
        <f>'[45]Template '!$C$62</f>
        <v>2</v>
      </c>
      <c r="BE9">
        <f>'[45]Template '!$C$63</f>
        <v>2</v>
      </c>
      <c r="BG9">
        <f>'[45]Template '!$B$29</f>
        <v>0.33333333333333331</v>
      </c>
      <c r="BH9" t="str">
        <f>'[45]Template '!$B$30</f>
        <v>n/a</v>
      </c>
      <c r="BI9">
        <f>'[45]Template '!$B$31</f>
        <v>0.58333333333333326</v>
      </c>
      <c r="BJ9">
        <f>'[45]Template '!$B$32</f>
        <v>0.6875</v>
      </c>
      <c r="BK9">
        <f>'[45]Template '!$B$33</f>
        <v>0.47619047619047611</v>
      </c>
      <c r="BM9">
        <f>'[45]Template '!$B$52</f>
        <v>0.75</v>
      </c>
      <c r="BN9">
        <f>'[45]Template '!$B$53</f>
        <v>0.51111111111111107</v>
      </c>
      <c r="BO9">
        <f>'[45]Template '!$B$54</f>
        <v>0.5</v>
      </c>
      <c r="BP9">
        <f>'[45]Template '!$B$55</f>
        <v>0.75925925925925919</v>
      </c>
      <c r="BQ9">
        <f>'[45]Template '!$B$56</f>
        <v>0.66746031746031742</v>
      </c>
      <c r="BS9">
        <f>'[45]Template '!$B$74</f>
        <v>0.38181818181818183</v>
      </c>
      <c r="BT9" t="str">
        <f>'[45]Template '!$B$75</f>
        <v>n/a</v>
      </c>
      <c r="BU9">
        <f>'[45]Template '!$B$76</f>
        <v>0.3214285714285714</v>
      </c>
      <c r="BV9">
        <f>'[45]Template '!$B$77</f>
        <v>0.70833333333333326</v>
      </c>
      <c r="BW9">
        <f>'[45]Template '!$B$78</f>
        <v>0.26190476190476192</v>
      </c>
      <c r="BY9">
        <f>'[45]Template '!$B$96</f>
        <v>0.66666666666666663</v>
      </c>
      <c r="BZ9">
        <f>'[45]Template '!$B$97</f>
        <v>0.51111111111111107</v>
      </c>
      <c r="CA9">
        <f>'[45]Template '!$B$98</f>
        <v>0</v>
      </c>
      <c r="CB9">
        <f>'[45]Template '!$B$99</f>
        <v>0.88888888888888884</v>
      </c>
      <c r="CC9">
        <f>'[45]Template '!$B$100</f>
        <v>0.63571428571428579</v>
      </c>
      <c r="CF9">
        <f>'[45]Template '!$Z$30</f>
        <v>1</v>
      </c>
      <c r="CG9">
        <f>'[45]Template '!$AB$75</f>
        <v>0</v>
      </c>
      <c r="CH9">
        <f>'[45]Template '!$C$89</f>
        <v>0</v>
      </c>
      <c r="CI9">
        <f>'[45]Template '!$AF$75</f>
        <v>0</v>
      </c>
      <c r="CJ9">
        <f>'[45]Template '!$AR$97</f>
        <v>1</v>
      </c>
      <c r="CK9">
        <f>'[45]Template '!$AS$97</f>
        <v>1</v>
      </c>
      <c r="CL9">
        <f>'[45]Template '!$AZ$97</f>
        <v>1</v>
      </c>
      <c r="CM9">
        <f>'[45]Template '!$BB$97</f>
        <v>1</v>
      </c>
      <c r="CN9">
        <f>'[45]Template '!$AU$53</f>
        <v>1</v>
      </c>
      <c r="CO9">
        <f>'[45]Template '!$AV$53</f>
        <v>1</v>
      </c>
      <c r="CP9">
        <f>'[45]Template '!$AY$53</f>
        <v>1</v>
      </c>
      <c r="CQ9">
        <f>'[45]Template '!$AX$53</f>
        <v>1</v>
      </c>
      <c r="CR9">
        <f>'[45]Template '!$AZ$53</f>
        <v>0</v>
      </c>
      <c r="CS9">
        <f>'[45]Template '!$BF$53</f>
        <v>1</v>
      </c>
      <c r="CT9">
        <f t="shared" si="1"/>
        <v>1</v>
      </c>
      <c r="CU9">
        <f t="shared" si="2"/>
        <v>9</v>
      </c>
      <c r="CV9">
        <f t="shared" si="3"/>
        <v>10</v>
      </c>
      <c r="CY9" t="str">
        <f>'[45]Template '!$E$2</f>
        <v>A</v>
      </c>
      <c r="CZ9">
        <f>'[45]Template '!$B$13</f>
        <v>2</v>
      </c>
      <c r="DA9" t="str">
        <f>'[45]Template '!$D$2</f>
        <v>n/a</v>
      </c>
      <c r="DB9">
        <f>'[45]Template '!$D$3</f>
        <v>0</v>
      </c>
      <c r="DC9">
        <f>'[45]Template '!$F$2</f>
        <v>45441</v>
      </c>
      <c r="DE9">
        <f>'[45]Template '!$B$12</f>
        <v>22</v>
      </c>
      <c r="DF9" t="str">
        <f>'[45]Template '!$B$14</f>
        <v>3/21</v>
      </c>
      <c r="DG9" t="str">
        <f>'[45]Template '!$B$15</f>
        <v>6/21</v>
      </c>
      <c r="DH9">
        <f>'[45]Template '!$B$16</f>
        <v>42</v>
      </c>
      <c r="DI9">
        <f>'[45]Template '!$B$17</f>
        <v>0</v>
      </c>
      <c r="DJ9">
        <f>'[45]Template '!$B$18</f>
        <v>0</v>
      </c>
      <c r="DK9">
        <f>'[45]Template '!$B$19</f>
        <v>0</v>
      </c>
      <c r="DL9">
        <f>'[45]Template '!$B$20</f>
        <v>0</v>
      </c>
      <c r="DM9">
        <f>'[45]Template '!$B$21</f>
        <v>0</v>
      </c>
      <c r="DN9">
        <f>'[45]Template '!$B$22</f>
        <v>1</v>
      </c>
      <c r="DP9">
        <f>'[45]Template '!$I$13</f>
        <v>5</v>
      </c>
      <c r="DQ9">
        <f>'[45]Template '!$I$14</f>
        <v>5</v>
      </c>
      <c r="DR9">
        <f>'[45]Template '!$I$15</f>
        <v>4</v>
      </c>
      <c r="DS9">
        <f>'[45]Template '!$I$16</f>
        <v>5</v>
      </c>
      <c r="DT9">
        <f>'[45]Template '!$I$17</f>
        <v>5</v>
      </c>
      <c r="DU9">
        <f>'[45]Template '!$I$18</f>
        <v>4</v>
      </c>
      <c r="DV9">
        <f>'[45]Template '!$I$19</f>
        <v>5</v>
      </c>
      <c r="DW9">
        <f>'[45]Template '!$I$20</f>
        <v>5</v>
      </c>
      <c r="DX9">
        <f>'[45]Template '!$I$21</f>
        <v>4</v>
      </c>
      <c r="DY9">
        <f>'[45]Template '!$I$22</f>
        <v>5</v>
      </c>
      <c r="DZ9">
        <f>'[45]Template '!$I$23</f>
        <v>5</v>
      </c>
      <c r="EA9">
        <f>'[45]Template '!$I$24</f>
        <v>0</v>
      </c>
      <c r="ED9">
        <f>'[45]Template '!$L$13</f>
        <v>4</v>
      </c>
      <c r="EE9">
        <f>'[45]Template '!$L$14</f>
        <v>4</v>
      </c>
      <c r="EF9">
        <f>'[45]Template '!$L$15</f>
        <v>4</v>
      </c>
      <c r="EG9">
        <f>'[45]Template '!$L$16</f>
        <v>4</v>
      </c>
      <c r="EH9">
        <f>'[45]Template '!$L$17</f>
        <v>4</v>
      </c>
      <c r="EI9">
        <f>'[45]Template '!$L$18</f>
        <v>3</v>
      </c>
      <c r="EJ9">
        <f>'[45]Template '!$L$19</f>
        <v>4</v>
      </c>
      <c r="EK9">
        <f>'[45]Template '!$L$20</f>
        <v>3</v>
      </c>
      <c r="EL9">
        <f>'[45]Template '!$L$21</f>
        <v>3</v>
      </c>
      <c r="EM9">
        <f>'[45]Template '!$L$22</f>
        <v>4</v>
      </c>
      <c r="EN9">
        <f>'[45]Template '!$L$23</f>
        <v>4</v>
      </c>
      <c r="EQ9">
        <f>'[45]Template '!$O$13</f>
        <v>4</v>
      </c>
      <c r="ER9">
        <f>'[45]Template '!$O$14</f>
        <v>4</v>
      </c>
      <c r="ES9">
        <f>'[45]Template '!$O$15</f>
        <v>4</v>
      </c>
      <c r="ET9">
        <f>'[45]Template '!$O$16</f>
        <v>4</v>
      </c>
      <c r="EU9">
        <f>'[45]Template '!$O$17</f>
        <v>5</v>
      </c>
      <c r="EV9">
        <f>'[45]Template '!$O$18</f>
        <v>4</v>
      </c>
      <c r="EW9">
        <f>'[45]Template '!$O$19</f>
        <v>2</v>
      </c>
      <c r="EX9">
        <f>'[45]Template '!$O$20</f>
        <v>4</v>
      </c>
      <c r="EY9">
        <f>'[45]Template '!$O$21</f>
        <v>3</v>
      </c>
      <c r="EZ9">
        <f>'[45]Template '!$O$22</f>
        <v>3</v>
      </c>
      <c r="FA9">
        <f>'[45]Template '!$O$23</f>
        <v>3</v>
      </c>
      <c r="FL9">
        <f>'[45]Template '!$D$5</f>
        <v>0.5200892857142857</v>
      </c>
      <c r="FM9">
        <f>'[45]Template '!$D$6</f>
        <v>0.41837121212121209</v>
      </c>
      <c r="FN9">
        <f>'[45]Template '!$D$7</f>
        <v>0.63756613756613745</v>
      </c>
      <c r="FO9">
        <f>'[45]Template '!$D$8</f>
        <v>0.54047619047619044</v>
      </c>
      <c r="FP9">
        <f>'[45]Template '!$D$9</f>
        <v>0.52912570646945645</v>
      </c>
      <c r="FR9">
        <f>'[45]Template '!$E$5</f>
        <v>0.5136554621848739</v>
      </c>
      <c r="FS9">
        <f>'[45]Template '!$E$6</f>
        <v>0.36033549783549779</v>
      </c>
      <c r="FT9">
        <f>'[45]Template '!$E$7</f>
        <v>0.63571428571428568</v>
      </c>
      <c r="FU9">
        <f>'[45]Template '!$E$8</f>
        <v>0.54047619047619044</v>
      </c>
      <c r="FV9">
        <f>'[45]Template '!$E$9</f>
        <v>0.51254535905271192</v>
      </c>
    </row>
    <row r="10" spans="1:178" x14ac:dyDescent="0.2">
      <c r="A10" t="str">
        <f>'[46]Template '!$A$2</f>
        <v>M_077</v>
      </c>
      <c r="C10" t="str">
        <f t="shared" si="0"/>
        <v>M_077.xlsx</v>
      </c>
      <c r="E10" t="str">
        <f>'[46]Template '!$C$2</f>
        <v>mSTAT only</v>
      </c>
      <c r="G10">
        <f>'[46]Template '!$C$29</f>
        <v>0.22222222222222221</v>
      </c>
      <c r="H10" t="str">
        <f>'[46]Template '!$C$30</f>
        <v>n/a</v>
      </c>
      <c r="I10">
        <f>'[46]Template '!$C$31</f>
        <v>0.29166666666666663</v>
      </c>
      <c r="J10">
        <f>'[46]Template '!$C$32</f>
        <v>0.54411764705882359</v>
      </c>
      <c r="K10">
        <f>'[46]Template '!$C$33</f>
        <v>0.39285714285714279</v>
      </c>
      <c r="M10">
        <f>'[46]Template '!$C$80</f>
        <v>1063</v>
      </c>
      <c r="N10">
        <f>'[46]Template '!$C$81</f>
        <v>10</v>
      </c>
      <c r="O10">
        <f>'[46]Template '!$C$82</f>
        <v>2</v>
      </c>
      <c r="P10">
        <f>'[46]Template '!$C$83</f>
        <v>1</v>
      </c>
      <c r="Q10">
        <f>'[46]Template '!$C$84</f>
        <v>2</v>
      </c>
      <c r="R10">
        <f>'[46]Template '!$C$85</f>
        <v>1</v>
      </c>
      <c r="T10">
        <f>'[46]Template '!$C$74</f>
        <v>0.18181818181818182</v>
      </c>
      <c r="U10" t="str">
        <f>'[46]Template '!$C$75</f>
        <v>n/a</v>
      </c>
      <c r="V10">
        <f>'[46]Template '!$C$76</f>
        <v>7.1428571428571425E-2</v>
      </c>
      <c r="W10">
        <f>'[46]Template '!$C$77</f>
        <v>0.14285714285714285</v>
      </c>
      <c r="X10">
        <f>'[46]Template '!$C$78</f>
        <v>0.18849206349206349</v>
      </c>
      <c r="Z10">
        <f>'[46]Template '!$C$80</f>
        <v>1063</v>
      </c>
      <c r="AA10">
        <f>'[46]Template '!$C$81</f>
        <v>10</v>
      </c>
      <c r="AB10">
        <f>'[46]Template '!$C$82</f>
        <v>2</v>
      </c>
      <c r="AC10">
        <f>'[46]Template '!$C$83</f>
        <v>1</v>
      </c>
      <c r="AD10">
        <f>'[46]Template '!$C$84</f>
        <v>2</v>
      </c>
      <c r="AE10">
        <f>'[46]Template '!$C$85</f>
        <v>1</v>
      </c>
      <c r="AG10">
        <f>'[46]Template '!$C$96</f>
        <v>0.45833333333333331</v>
      </c>
      <c r="AH10">
        <f>'[46]Template '!$C$97</f>
        <v>0.3</v>
      </c>
      <c r="AI10">
        <f>'[46]Template '!$C$98</f>
        <v>0</v>
      </c>
      <c r="AJ10">
        <f>'[46]Template '!$C$99</f>
        <v>0.53607503607503604</v>
      </c>
      <c r="AK10">
        <f>'[46]Template '!$C$100</f>
        <v>0.39087301587301587</v>
      </c>
      <c r="AM10">
        <f>'[46]Template '!$C$102</f>
        <v>1200</v>
      </c>
      <c r="AN10">
        <f>'[46]Template '!$C$103</f>
        <v>35</v>
      </c>
      <c r="AO10">
        <f>'[46]Template '!$C$104</f>
        <v>1.5</v>
      </c>
      <c r="AP10">
        <f>'[46]Template '!$C$105</f>
        <v>1.5</v>
      </c>
      <c r="AQ10">
        <f>'[46]Template '!$C$106</f>
        <v>2</v>
      </c>
      <c r="AR10">
        <f>'[46]Template '!$C$107</f>
        <v>2</v>
      </c>
      <c r="AT10">
        <f>'[46]Template '!$C$52</f>
        <v>0.42777777777777781</v>
      </c>
      <c r="AU10">
        <f>'[46]Template '!$C$53</f>
        <v>0.3</v>
      </c>
      <c r="AV10">
        <f>'[46]Template '!$C$54</f>
        <v>0.5</v>
      </c>
      <c r="AW10">
        <f>'[46]Template '!$C$55</f>
        <v>0.48958333333333331</v>
      </c>
      <c r="AX10">
        <f>'[46]Template '!$C$56</f>
        <v>0.44880952380952382</v>
      </c>
      <c r="AZ10">
        <f>'[46]Template '!$C$58</f>
        <v>1200</v>
      </c>
      <c r="BA10">
        <f>'[46]Template '!$C$59</f>
        <v>45</v>
      </c>
      <c r="BB10">
        <f>'[46]Template '!$C$60</f>
        <v>1.5</v>
      </c>
      <c r="BC10">
        <f>'[46]Template '!$C$61</f>
        <v>1.5</v>
      </c>
      <c r="BD10">
        <f>'[46]Template '!$C$62</f>
        <v>2.5</v>
      </c>
      <c r="BE10">
        <f>'[46]Template '!$C$63</f>
        <v>2.5</v>
      </c>
      <c r="BG10">
        <f>'[46]Template '!$B$29</f>
        <v>0.22222222222222221</v>
      </c>
      <c r="BH10" t="str">
        <f>'[46]Template '!$B$30</f>
        <v>n/a</v>
      </c>
      <c r="BI10">
        <f>'[46]Template '!$B$31</f>
        <v>0.29166666666666663</v>
      </c>
      <c r="BJ10">
        <f>'[46]Template '!$B$32</f>
        <v>0.6875</v>
      </c>
      <c r="BK10">
        <f>'[46]Template '!$B$33</f>
        <v>0.39285714285714279</v>
      </c>
      <c r="BM10">
        <f>'[46]Template '!$B$52</f>
        <v>0.59444444444444455</v>
      </c>
      <c r="BN10">
        <f>'[46]Template '!$B$53</f>
        <v>0.3</v>
      </c>
      <c r="BO10">
        <f>'[46]Template '!$B$54</f>
        <v>0.5</v>
      </c>
      <c r="BP10">
        <f>'[46]Template '!$B$55</f>
        <v>0.58333333333333337</v>
      </c>
      <c r="BQ10">
        <f>'[46]Template '!$B$56</f>
        <v>0.44880952380952382</v>
      </c>
      <c r="BS10">
        <f>'[46]Template '!$B$74</f>
        <v>0.18181818181818182</v>
      </c>
      <c r="BT10" t="str">
        <f>'[46]Template '!$B$75</f>
        <v>n/a</v>
      </c>
      <c r="BU10">
        <f>'[46]Template '!$B$76</f>
        <v>7.1428571428571425E-2</v>
      </c>
      <c r="BV10">
        <f>'[46]Template '!$B$77</f>
        <v>0.125</v>
      </c>
      <c r="BW10">
        <f>'[46]Template '!$B$78</f>
        <v>0.18849206349206349</v>
      </c>
      <c r="BY10">
        <f>'[46]Template '!$B$96</f>
        <v>0.45833333333333331</v>
      </c>
      <c r="BZ10">
        <f>'[46]Template '!$B$97</f>
        <v>0.3</v>
      </c>
      <c r="CA10">
        <f>'[46]Template '!$B$98</f>
        <v>0</v>
      </c>
      <c r="CB10">
        <f>'[46]Template '!$B$99</f>
        <v>0.69444444444444431</v>
      </c>
      <c r="CC10">
        <f>'[46]Template '!$B$100</f>
        <v>0.39087301587301587</v>
      </c>
      <c r="CF10">
        <f>'[46]Template '!$Z$30</f>
        <v>0</v>
      </c>
      <c r="CG10">
        <f>'[46]Template '!$AB$75</f>
        <v>0</v>
      </c>
      <c r="CH10">
        <f>'[46]Template '!$C$89</f>
        <v>0</v>
      </c>
      <c r="CI10">
        <f>'[46]Template '!$AF$75</f>
        <v>0</v>
      </c>
      <c r="CJ10">
        <f>'[46]Template '!$AR$97</f>
        <v>0</v>
      </c>
      <c r="CK10">
        <f>'[46]Template '!$AS$97</f>
        <v>0</v>
      </c>
      <c r="CL10">
        <f>'[46]Template '!$AZ$97</f>
        <v>1</v>
      </c>
      <c r="CM10">
        <f>'[46]Template '!$BB$97</f>
        <v>1</v>
      </c>
      <c r="CN10">
        <f>'[46]Template '!$AU$53</f>
        <v>1</v>
      </c>
      <c r="CO10">
        <f>'[46]Template '!$AV$53</f>
        <v>0.5</v>
      </c>
      <c r="CP10">
        <f>'[46]Template '!$AY$53</f>
        <v>0</v>
      </c>
      <c r="CQ10">
        <f>'[46]Template '!$AX$53</f>
        <v>1</v>
      </c>
      <c r="CR10">
        <f>'[46]Template '!$AZ$53</f>
        <v>0</v>
      </c>
      <c r="CS10">
        <f>'[46]Template '!$BF$53</f>
        <v>0</v>
      </c>
      <c r="CT10">
        <f t="shared" si="1"/>
        <v>0</v>
      </c>
      <c r="CU10">
        <f t="shared" si="2"/>
        <v>4.5</v>
      </c>
      <c r="CV10">
        <f t="shared" si="3"/>
        <v>4.5</v>
      </c>
      <c r="CY10" t="str">
        <f>'[46]Template '!$E$2</f>
        <v>B</v>
      </c>
      <c r="CZ10">
        <f>'[46]Template '!$B$13</f>
        <v>1</v>
      </c>
      <c r="DA10" t="str">
        <f>'[46]Template '!$D$2</f>
        <v>n/a</v>
      </c>
      <c r="DB10">
        <f>'[46]Template '!$D$3</f>
        <v>0</v>
      </c>
      <c r="DC10">
        <f>'[46]Template '!$F$2</f>
        <v>45441</v>
      </c>
      <c r="DE10">
        <f>'[46]Template '!$B$12</f>
        <v>24</v>
      </c>
      <c r="DF10" t="str">
        <f>'[46]Template '!$B$14</f>
        <v>12/22</v>
      </c>
      <c r="DG10" t="str">
        <f>'[46]Template '!$B$15</f>
        <v>4/23</v>
      </c>
      <c r="DH10">
        <f>'[46]Template '!$B$16</f>
        <v>12</v>
      </c>
      <c r="DI10">
        <f>'[46]Template '!$B$17</f>
        <v>0</v>
      </c>
      <c r="DJ10">
        <f>'[46]Template '!$B$18</f>
        <v>0</v>
      </c>
      <c r="DK10">
        <f>'[46]Template '!$B$19</f>
        <v>0</v>
      </c>
      <c r="DL10">
        <f>'[46]Template '!$B$20</f>
        <v>0</v>
      </c>
      <c r="DM10">
        <f>'[46]Template '!$B$21</f>
        <v>0</v>
      </c>
      <c r="DN10">
        <f>'[46]Template '!$B$22</f>
        <v>1</v>
      </c>
      <c r="DP10">
        <f>'[46]Template '!$I$13</f>
        <v>4</v>
      </c>
      <c r="DQ10">
        <f>'[46]Template '!$I$14</f>
        <v>4</v>
      </c>
      <c r="DR10">
        <f>'[46]Template '!$I$15</f>
        <v>4</v>
      </c>
      <c r="DS10">
        <f>'[46]Template '!$I$16</f>
        <v>4</v>
      </c>
      <c r="DT10">
        <f>'[46]Template '!$I$17</f>
        <v>4</v>
      </c>
      <c r="DU10">
        <f>'[46]Template '!$I$18</f>
        <v>4</v>
      </c>
      <c r="DV10">
        <f>'[46]Template '!$I$19</f>
        <v>5</v>
      </c>
      <c r="DW10">
        <f>'[46]Template '!$I$20</f>
        <v>0</v>
      </c>
      <c r="DX10">
        <f>'[46]Template '!$I$21</f>
        <v>3</v>
      </c>
      <c r="DY10">
        <f>'[46]Template '!$I$22</f>
        <v>3</v>
      </c>
      <c r="DZ10">
        <f>'[46]Template '!$I$23</f>
        <v>4</v>
      </c>
      <c r="EA10">
        <f>'[46]Template '!$I$24</f>
        <v>1</v>
      </c>
      <c r="ED10">
        <f>'[46]Template '!$L$13</f>
        <v>4</v>
      </c>
      <c r="EE10">
        <f>'[46]Template '!$L$14</f>
        <v>4</v>
      </c>
      <c r="EF10">
        <f>'[46]Template '!$L$15</f>
        <v>4</v>
      </c>
      <c r="EG10">
        <f>'[46]Template '!$L$16</f>
        <v>3</v>
      </c>
      <c r="EH10">
        <f>'[46]Template '!$L$17</f>
        <v>4</v>
      </c>
      <c r="EI10">
        <f>'[46]Template '!$L$18</f>
        <v>3</v>
      </c>
      <c r="EJ10">
        <f>'[46]Template '!$L$19</f>
        <v>5</v>
      </c>
      <c r="EK10">
        <f>'[46]Template '!$L$20</f>
        <v>4</v>
      </c>
      <c r="EL10">
        <f>'[46]Template '!$L$21</f>
        <v>4</v>
      </c>
      <c r="EM10">
        <f>'[46]Template '!$L$22</f>
        <v>4</v>
      </c>
      <c r="EN10">
        <f>'[46]Template '!$L$23</f>
        <v>4</v>
      </c>
      <c r="EQ10">
        <f>'[46]Template '!$O$13</f>
        <v>4</v>
      </c>
      <c r="ER10">
        <f>'[46]Template '!$O$14</f>
        <v>4</v>
      </c>
      <c r="ES10">
        <f>'[46]Template '!$O$15</f>
        <v>3</v>
      </c>
      <c r="ET10">
        <f>'[46]Template '!$O$16</f>
        <v>3</v>
      </c>
      <c r="EU10">
        <f>'[46]Template '!$O$17</f>
        <v>4</v>
      </c>
      <c r="EV10">
        <f>'[46]Template '!$O$18</f>
        <v>4</v>
      </c>
      <c r="EW10">
        <f>'[46]Template '!$O$19</f>
        <v>4</v>
      </c>
      <c r="EX10">
        <f>'[46]Template '!$O$20</f>
        <v>3</v>
      </c>
      <c r="EY10">
        <f>'[46]Template '!$O$21</f>
        <v>3</v>
      </c>
      <c r="EZ10">
        <f>'[46]Template '!$O$22</f>
        <v>3</v>
      </c>
      <c r="FA10">
        <f>'[46]Template '!$O$23</f>
        <v>3</v>
      </c>
      <c r="FL10">
        <f>'[46]Template '!$D$5</f>
        <v>0.39856150793650791</v>
      </c>
      <c r="FM10">
        <f>'[46]Template '!$D$6</f>
        <v>0.14168470418470419</v>
      </c>
      <c r="FN10">
        <f>'[46]Template '!$D$7</f>
        <v>0.48531746031746037</v>
      </c>
      <c r="FO10">
        <f>'[46]Template '!$D$8</f>
        <v>0.36873015873015869</v>
      </c>
      <c r="FP10">
        <f>'[46]Template '!$D$9</f>
        <v>0.34857345779220783</v>
      </c>
      <c r="FR10">
        <f>'[46]Template '!$E$5</f>
        <v>0.36271591970121381</v>
      </c>
      <c r="FS10">
        <f>'[46]Template '!$E$6</f>
        <v>0.14614898989898989</v>
      </c>
      <c r="FT10">
        <f>'[46]Template '!$E$7</f>
        <v>0.433234126984127</v>
      </c>
      <c r="FU10">
        <f>'[46]Template '!$E$8</f>
        <v>0.33705627705627705</v>
      </c>
      <c r="FV10">
        <f>'[46]Template '!$E$9</f>
        <v>0.31978882841015194</v>
      </c>
    </row>
    <row r="11" spans="1:178" x14ac:dyDescent="0.2">
      <c r="A11" t="str">
        <f>'[47]Template '!$A$2</f>
        <v>M_076</v>
      </c>
      <c r="C11" t="str">
        <f t="shared" si="0"/>
        <v>M_076.xlsx</v>
      </c>
      <c r="E11" t="str">
        <f>'[47]Template '!$C$2</f>
        <v>mSTAT only</v>
      </c>
      <c r="G11">
        <f>'[47]Template '!$C$29</f>
        <v>0.3888888888888889</v>
      </c>
      <c r="H11" t="str">
        <f>'[47]Template '!$C$30</f>
        <v>n/a</v>
      </c>
      <c r="I11">
        <f>'[47]Template '!$C$31</f>
        <v>0.33333333333333331</v>
      </c>
      <c r="J11">
        <f>'[47]Template '!$C$32</f>
        <v>0.29779411764705882</v>
      </c>
      <c r="K11">
        <f>'[47]Template '!$C$33</f>
        <v>0.34523809523809518</v>
      </c>
      <c r="M11">
        <f>'[47]Template '!$C$80</f>
        <v>1164</v>
      </c>
      <c r="N11">
        <f>'[47]Template '!$C$81</f>
        <v>21</v>
      </c>
      <c r="O11">
        <f>'[47]Template '!$C$82</f>
        <v>2</v>
      </c>
      <c r="P11">
        <f>'[47]Template '!$C$83</f>
        <v>1</v>
      </c>
      <c r="Q11">
        <f>'[47]Template '!$C$84</f>
        <v>2</v>
      </c>
      <c r="R11">
        <f>'[47]Template '!$C$85</f>
        <v>1</v>
      </c>
      <c r="T11">
        <f>'[47]Template '!$C$74</f>
        <v>0.33636363636363636</v>
      </c>
      <c r="U11" t="str">
        <f>'[47]Template '!$C$75</f>
        <v>n/a</v>
      </c>
      <c r="V11">
        <f>'[47]Template '!$C$76</f>
        <v>0.4642857142857143</v>
      </c>
      <c r="W11">
        <f>'[47]Template '!$C$77</f>
        <v>0.47619047619047616</v>
      </c>
      <c r="X11">
        <f>'[47]Template '!$C$78</f>
        <v>0.37896825396825395</v>
      </c>
      <c r="Z11">
        <f>'[47]Template '!$C$80</f>
        <v>1164</v>
      </c>
      <c r="AA11">
        <f>'[47]Template '!$C$81</f>
        <v>21</v>
      </c>
      <c r="AB11">
        <f>'[47]Template '!$C$82</f>
        <v>2</v>
      </c>
      <c r="AC11">
        <f>'[47]Template '!$C$83</f>
        <v>1</v>
      </c>
      <c r="AD11">
        <f>'[47]Template '!$C$84</f>
        <v>2</v>
      </c>
      <c r="AE11">
        <f>'[47]Template '!$C$85</f>
        <v>1</v>
      </c>
      <c r="AG11">
        <f>'[47]Template '!$C$96</f>
        <v>0.75</v>
      </c>
      <c r="AH11">
        <f>'[47]Template '!$C$97</f>
        <v>0.41111111111111115</v>
      </c>
      <c r="AI11">
        <f>'[47]Template '!$C$98</f>
        <v>0.5</v>
      </c>
      <c r="AJ11">
        <f>'[47]Template '!$C$99</f>
        <v>0.28138528138528135</v>
      </c>
      <c r="AK11">
        <f>'[47]Template '!$C$100</f>
        <v>0.57539682539682546</v>
      </c>
      <c r="AM11">
        <f>'[47]Template '!$C$102</f>
        <v>1200</v>
      </c>
      <c r="AN11">
        <f>'[47]Template '!$C$103</f>
        <v>25</v>
      </c>
      <c r="AO11">
        <f>'[47]Template '!$C$104</f>
        <v>2</v>
      </c>
      <c r="AP11">
        <f>'[47]Template '!$C$105</f>
        <v>1</v>
      </c>
      <c r="AQ11">
        <f>'[47]Template '!$C$106</f>
        <v>2</v>
      </c>
      <c r="AR11">
        <f>'[47]Template '!$C$107</f>
        <v>1</v>
      </c>
      <c r="AT11">
        <f>'[47]Template '!$C$52</f>
        <v>0.75</v>
      </c>
      <c r="AU11">
        <f>'[47]Template '!$C$53</f>
        <v>0.41111111111111115</v>
      </c>
      <c r="AV11">
        <f>'[47]Template '!$C$54</f>
        <v>0.5</v>
      </c>
      <c r="AW11">
        <f>'[47]Template '!$C$55</f>
        <v>0.25</v>
      </c>
      <c r="AX11">
        <f>'[47]Template '!$C$56</f>
        <v>0.42976190476190473</v>
      </c>
      <c r="AZ11">
        <f>'[47]Template '!$C$58</f>
        <v>1200</v>
      </c>
      <c r="BA11">
        <f>'[47]Template '!$C$59</f>
        <v>22.5</v>
      </c>
      <c r="BB11">
        <f>'[47]Template '!$C$60</f>
        <v>2</v>
      </c>
      <c r="BC11">
        <f>'[47]Template '!$C$61</f>
        <v>1.5</v>
      </c>
      <c r="BD11">
        <f>'[47]Template '!$C$62</f>
        <v>1.5</v>
      </c>
      <c r="BE11">
        <f>'[47]Template '!$C$63</f>
        <v>1.5</v>
      </c>
      <c r="BG11">
        <f>'[47]Template '!$B$29</f>
        <v>0.3888888888888889</v>
      </c>
      <c r="BH11" t="str">
        <f>'[47]Template '!$B$30</f>
        <v>n/a</v>
      </c>
      <c r="BI11">
        <f>'[47]Template '!$B$31</f>
        <v>0.33333333333333331</v>
      </c>
      <c r="BJ11">
        <f>'[47]Template '!$B$32</f>
        <v>0.25</v>
      </c>
      <c r="BK11">
        <f>'[47]Template '!$B$33</f>
        <v>0.34523809523809518</v>
      </c>
      <c r="BM11">
        <f>'[47]Template '!$B$52</f>
        <v>0.75</v>
      </c>
      <c r="BN11">
        <f>'[47]Template '!$B$53</f>
        <v>0.41111111111111115</v>
      </c>
      <c r="BO11">
        <f>'[47]Template '!$B$54</f>
        <v>0.5</v>
      </c>
      <c r="BP11">
        <f>'[47]Template '!$B$55</f>
        <v>0.31481481481481483</v>
      </c>
      <c r="BQ11">
        <f>'[47]Template '!$B$56</f>
        <v>0.42976190476190473</v>
      </c>
      <c r="BS11">
        <f>'[47]Template '!$B$74</f>
        <v>0.33636363636363636</v>
      </c>
      <c r="BT11" t="str">
        <f>'[47]Template '!$B$75</f>
        <v>n/a</v>
      </c>
      <c r="BU11">
        <f>'[47]Template '!$B$76</f>
        <v>0.4642857142857143</v>
      </c>
      <c r="BV11">
        <f>'[47]Template '!$B$77</f>
        <v>0.45833333333333331</v>
      </c>
      <c r="BW11">
        <f>'[47]Template '!$B$78</f>
        <v>0.37896825396825395</v>
      </c>
      <c r="BY11">
        <f>'[47]Template '!$B$96</f>
        <v>0.75</v>
      </c>
      <c r="BZ11">
        <f>'[47]Template '!$B$97</f>
        <v>0.41111111111111115</v>
      </c>
      <c r="CA11">
        <f>'[47]Template '!$B$98</f>
        <v>0.5</v>
      </c>
      <c r="CB11">
        <f>'[47]Template '!$B$99</f>
        <v>0.66666666666666663</v>
      </c>
      <c r="CC11">
        <f>'[47]Template '!$B$100</f>
        <v>0.57539682539682546</v>
      </c>
      <c r="CF11">
        <f>'[47]Template '!$Z$30</f>
        <v>0</v>
      </c>
      <c r="CG11">
        <f>'[47]Template '!$AB$75</f>
        <v>0</v>
      </c>
      <c r="CH11">
        <f>'[47]Template '!$C$89</f>
        <v>0</v>
      </c>
      <c r="CI11">
        <f>'[47]Template '!$AF$75</f>
        <v>0</v>
      </c>
      <c r="CJ11">
        <f>'[47]Template '!$AR$97</f>
        <v>1</v>
      </c>
      <c r="CK11">
        <f>'[47]Template '!$AS$97</f>
        <v>0</v>
      </c>
      <c r="CL11">
        <f>'[47]Template '!$AZ$97</f>
        <v>0</v>
      </c>
      <c r="CM11">
        <f>'[47]Template '!$BB$97</f>
        <v>0</v>
      </c>
      <c r="CN11">
        <f>'[47]Template '!$AU$53</f>
        <v>0.5</v>
      </c>
      <c r="CO11">
        <f>'[47]Template '!$AV$53</f>
        <v>0</v>
      </c>
      <c r="CP11">
        <f>'[47]Template '!$AY$53</f>
        <v>0</v>
      </c>
      <c r="CQ11">
        <f>'[47]Template '!$AX$53</f>
        <v>0</v>
      </c>
      <c r="CR11">
        <f>'[47]Template '!$AZ$53</f>
        <v>0</v>
      </c>
      <c r="CS11">
        <f>'[47]Template '!$BF$53</f>
        <v>0</v>
      </c>
      <c r="CT11">
        <f t="shared" si="1"/>
        <v>0</v>
      </c>
      <c r="CU11">
        <f t="shared" si="2"/>
        <v>1.5</v>
      </c>
      <c r="CV11">
        <f t="shared" si="3"/>
        <v>1.5</v>
      </c>
      <c r="CY11" t="str">
        <f>'[47]Template '!$E$2</f>
        <v>A</v>
      </c>
      <c r="CZ11">
        <f>'[47]Template '!$B$13</f>
        <v>2</v>
      </c>
      <c r="DA11" t="str">
        <f>'[47]Template '!$D$2</f>
        <v>n/a</v>
      </c>
      <c r="DB11">
        <f>'[47]Template '!$D$3</f>
        <v>0</v>
      </c>
      <c r="DC11">
        <f>'[47]Template '!$F$2</f>
        <v>45443</v>
      </c>
      <c r="DE11">
        <f>'[47]Template '!$B$12</f>
        <v>20</v>
      </c>
      <c r="DF11" t="str">
        <f>'[47]Template '!$B$14</f>
        <v>9/22</v>
      </c>
      <c r="DG11" t="str">
        <f>'[47]Template '!$B$15</f>
        <v>1/23</v>
      </c>
      <c r="DH11">
        <f>'[47]Template '!$B$16</f>
        <v>16</v>
      </c>
      <c r="DI11">
        <f>'[47]Template '!$B$17</f>
        <v>0</v>
      </c>
      <c r="DJ11">
        <f>'[47]Template '!$B$18</f>
        <v>0</v>
      </c>
      <c r="DK11">
        <f>'[47]Template '!$B$19</f>
        <v>0</v>
      </c>
      <c r="DL11">
        <f>'[47]Template '!$B$20</f>
        <v>0</v>
      </c>
      <c r="DM11">
        <f>'[47]Template '!$B$21</f>
        <v>0</v>
      </c>
      <c r="DN11">
        <f>'[47]Template '!$B$22</f>
        <v>0</v>
      </c>
      <c r="DP11">
        <f>'[47]Template '!$I$13</f>
        <v>5</v>
      </c>
      <c r="DQ11">
        <f>'[47]Template '!$I$14</f>
        <v>4</v>
      </c>
      <c r="DR11">
        <f>'[47]Template '!$I$15</f>
        <v>3</v>
      </c>
      <c r="DS11">
        <f>'[47]Template '!$I$16</f>
        <v>2</v>
      </c>
      <c r="DT11">
        <f>'[47]Template '!$I$17</f>
        <v>3</v>
      </c>
      <c r="DU11">
        <f>'[47]Template '!$I$18</f>
        <v>2</v>
      </c>
      <c r="DV11">
        <f>'[47]Template '!$I$19</f>
        <v>5</v>
      </c>
      <c r="DW11">
        <f>'[47]Template '!$I$20</f>
        <v>1</v>
      </c>
      <c r="DX11">
        <f>'[47]Template '!$I$21</f>
        <v>3</v>
      </c>
      <c r="DY11">
        <f>'[47]Template '!$I$22</f>
        <v>3</v>
      </c>
      <c r="DZ11">
        <f>'[47]Template '!$I$23</f>
        <v>3</v>
      </c>
      <c r="EA11">
        <f>'[47]Template '!$I$24</f>
        <v>0</v>
      </c>
      <c r="ED11">
        <f>'[47]Template '!$L$13</f>
        <v>4</v>
      </c>
      <c r="EE11">
        <f>'[47]Template '!$L$14</f>
        <v>3</v>
      </c>
      <c r="EF11">
        <f>'[47]Template '!$L$15</f>
        <v>4</v>
      </c>
      <c r="EG11">
        <f>'[47]Template '!$L$16</f>
        <v>3</v>
      </c>
      <c r="EH11">
        <f>'[47]Template '!$L$17</f>
        <v>3</v>
      </c>
      <c r="EI11">
        <f>'[47]Template '!$L$18</f>
        <v>1</v>
      </c>
      <c r="EJ11">
        <f>'[47]Template '!$L$19</f>
        <v>4</v>
      </c>
      <c r="EK11">
        <f>'[47]Template '!$L$20</f>
        <v>3</v>
      </c>
      <c r="EL11">
        <f>'[47]Template '!$L$21</f>
        <v>3</v>
      </c>
      <c r="EM11">
        <f>'[47]Template '!$L$22</f>
        <v>4</v>
      </c>
      <c r="EN11">
        <f>'[47]Template '!$L$23</f>
        <v>3</v>
      </c>
      <c r="EQ11">
        <f>'[47]Template '!$O$13</f>
        <v>4</v>
      </c>
      <c r="ER11">
        <f>'[47]Template '!$O$14</f>
        <v>1</v>
      </c>
      <c r="ES11">
        <f>'[47]Template '!$O$15</f>
        <v>1</v>
      </c>
      <c r="ET11">
        <f>'[47]Template '!$O$16</f>
        <v>2</v>
      </c>
      <c r="EU11">
        <f>'[47]Template '!$O$17</f>
        <v>5</v>
      </c>
      <c r="EV11">
        <f>'[47]Template '!$O$18</f>
        <v>1</v>
      </c>
      <c r="EW11">
        <f>'[47]Template '!$O$19</f>
        <v>1</v>
      </c>
      <c r="EX11">
        <f>'[47]Template '!$O$20</f>
        <v>2</v>
      </c>
      <c r="EY11">
        <f>'[47]Template '!$O$21</f>
        <v>1</v>
      </c>
      <c r="EZ11">
        <f>'[47]Template '!$O$22</f>
        <v>2</v>
      </c>
      <c r="FA11">
        <f>'[47]Template '!$O$23</f>
        <v>2</v>
      </c>
      <c r="FL11">
        <f>'[47]Template '!$D$5</f>
        <v>0.32936507936507936</v>
      </c>
      <c r="FM11">
        <f>'[47]Template '!$D$6</f>
        <v>0.40948773448773446</v>
      </c>
      <c r="FN11">
        <f>'[47]Template '!$D$7</f>
        <v>0.4811375661375662</v>
      </c>
      <c r="FO11">
        <f>'[47]Template '!$D$8</f>
        <v>0.58063492063492073</v>
      </c>
      <c r="FP11">
        <f>'[47]Template '!$D$9</f>
        <v>0.4501563251563252</v>
      </c>
      <c r="FR11">
        <f>'[47]Template '!$E$5</f>
        <v>0.34131360877684402</v>
      </c>
      <c r="FS11">
        <f>'[47]Template '!$E$6</f>
        <v>0.41395202020202015</v>
      </c>
      <c r="FT11">
        <f>'[47]Template '!$E$7</f>
        <v>0.46817460317460319</v>
      </c>
      <c r="FU11">
        <f>'[47]Template '!$E$8</f>
        <v>0.50357864357864357</v>
      </c>
      <c r="FV11">
        <f>'[47]Template '!$E$9</f>
        <v>0.43175471893302775</v>
      </c>
    </row>
    <row r="12" spans="1:178" x14ac:dyDescent="0.2">
      <c r="A12" t="str">
        <f>'[48]Template '!$A$2</f>
        <v>M_075</v>
      </c>
      <c r="C12" t="str">
        <f t="shared" si="0"/>
        <v>M_075.xlsx</v>
      </c>
      <c r="E12" t="str">
        <f>'[48]Template '!$C$2</f>
        <v>mSTAT only</v>
      </c>
      <c r="G12">
        <f>'[48]Template '!$C$29</f>
        <v>0.5</v>
      </c>
      <c r="H12" t="str">
        <f>'[48]Template '!$C$30</f>
        <v>n/a</v>
      </c>
      <c r="I12">
        <f>'[48]Template '!$C$31</f>
        <v>0.16666666666666666</v>
      </c>
      <c r="J12">
        <f>'[48]Template '!$C$32</f>
        <v>0.84395424836601318</v>
      </c>
      <c r="K12">
        <f>'[48]Template '!$C$33</f>
        <v>0.92063492063492058</v>
      </c>
      <c r="M12">
        <f>'[48]Template '!$C$80</f>
        <v>1200</v>
      </c>
      <c r="N12">
        <f>'[48]Template '!$C$81</f>
        <v>30</v>
      </c>
      <c r="O12">
        <f>'[48]Template '!$C$82</f>
        <v>3</v>
      </c>
      <c r="P12">
        <f>'[48]Template '!$C$83</f>
        <v>2</v>
      </c>
      <c r="Q12">
        <f>'[48]Template '!$C$84</f>
        <v>3</v>
      </c>
      <c r="R12">
        <f>'[48]Template '!$C$85</f>
        <v>2</v>
      </c>
      <c r="T12">
        <f>'[48]Template '!$C$74</f>
        <v>0.51818181818181819</v>
      </c>
      <c r="U12" t="str">
        <f>'[48]Template '!$C$75</f>
        <v>n/a</v>
      </c>
      <c r="V12">
        <f>'[48]Template '!$C$76</f>
        <v>7.1428571428571425E-2</v>
      </c>
      <c r="W12">
        <f>'[48]Template '!$C$77</f>
        <v>0.49702380952380953</v>
      </c>
      <c r="X12">
        <f>'[48]Template '!$C$78</f>
        <v>0.52380952380952384</v>
      </c>
      <c r="Z12">
        <f>'[48]Template '!$C$80</f>
        <v>1200</v>
      </c>
      <c r="AA12">
        <f>'[48]Template '!$C$81</f>
        <v>30</v>
      </c>
      <c r="AB12">
        <f>'[48]Template '!$C$82</f>
        <v>3</v>
      </c>
      <c r="AC12">
        <f>'[48]Template '!$C$83</f>
        <v>2</v>
      </c>
      <c r="AD12">
        <f>'[48]Template '!$C$84</f>
        <v>3</v>
      </c>
      <c r="AE12">
        <f>'[48]Template '!$C$85</f>
        <v>2</v>
      </c>
      <c r="AG12">
        <f>'[48]Template '!$C$96</f>
        <v>0.75</v>
      </c>
      <c r="AH12">
        <f>'[48]Template '!$C$97</f>
        <v>0.74814814814814812</v>
      </c>
      <c r="AI12">
        <f>'[48]Template '!$C$98</f>
        <v>0</v>
      </c>
      <c r="AJ12">
        <f>'[48]Template '!$C$99</f>
        <v>0.67243867243867239</v>
      </c>
      <c r="AK12">
        <f>'[48]Template '!$C$100</f>
        <v>0.84126984126984128</v>
      </c>
      <c r="AM12">
        <f>'[48]Template '!$C$102</f>
        <v>1279</v>
      </c>
      <c r="AN12">
        <f>'[48]Template '!$C$103</f>
        <v>70</v>
      </c>
      <c r="AO12">
        <f>'[48]Template '!$C$104</f>
        <v>4</v>
      </c>
      <c r="AP12">
        <f>'[48]Template '!$C$105</f>
        <v>3</v>
      </c>
      <c r="AQ12">
        <f>'[48]Template '!$C$106</f>
        <v>4</v>
      </c>
      <c r="AR12">
        <f>'[48]Template '!$C$107</f>
        <v>4</v>
      </c>
      <c r="AT12">
        <f>'[48]Template '!$C$52</f>
        <v>0.75</v>
      </c>
      <c r="AU12">
        <f>'[48]Template '!$C$53</f>
        <v>0.74814814814814812</v>
      </c>
      <c r="AV12">
        <f>'[48]Template '!$C$54</f>
        <v>0</v>
      </c>
      <c r="AW12">
        <f>'[48]Template '!$C$55</f>
        <v>0.39583333333333331</v>
      </c>
      <c r="AX12">
        <f>'[48]Template '!$C$56</f>
        <v>0.71984126984126995</v>
      </c>
      <c r="AZ12">
        <f>'[48]Template '!$C$58</f>
        <v>1200</v>
      </c>
      <c r="BA12">
        <f>'[48]Template '!$C$59</f>
        <v>70</v>
      </c>
      <c r="BB12">
        <f>'[48]Template '!$C$60</f>
        <v>3</v>
      </c>
      <c r="BC12">
        <f>'[48]Template '!$C$61</f>
        <v>4</v>
      </c>
      <c r="BD12">
        <f>'[48]Template '!$C$62</f>
        <v>4</v>
      </c>
      <c r="BE12">
        <f>'[48]Template '!$C$63</f>
        <v>4</v>
      </c>
      <c r="BG12">
        <f>'[48]Template '!$B$29</f>
        <v>0.5</v>
      </c>
      <c r="BH12" t="str">
        <f>'[48]Template '!$B$30</f>
        <v>n/a</v>
      </c>
      <c r="BI12">
        <f>'[48]Template '!$B$31</f>
        <v>0.16666666666666666</v>
      </c>
      <c r="BJ12">
        <f>'[48]Template '!$B$32</f>
        <v>0.875</v>
      </c>
      <c r="BK12">
        <f>'[48]Template '!$B$33</f>
        <v>0.92063492063492058</v>
      </c>
      <c r="BM12">
        <f>'[48]Template '!$B$52</f>
        <v>0.75</v>
      </c>
      <c r="BN12">
        <f>'[48]Template '!$B$53</f>
        <v>0.74814814814814812</v>
      </c>
      <c r="BO12">
        <f>'[48]Template '!$B$54</f>
        <v>0</v>
      </c>
      <c r="BP12">
        <f>'[48]Template '!$B$55</f>
        <v>0.50925925925925919</v>
      </c>
      <c r="BQ12">
        <f>'[48]Template '!$B$56</f>
        <v>0.71984126984126995</v>
      </c>
      <c r="BS12">
        <f>'[48]Template '!$B$74</f>
        <v>0.51818181818181819</v>
      </c>
      <c r="BT12" t="str">
        <f>'[48]Template '!$B$75</f>
        <v>n/a</v>
      </c>
      <c r="BU12">
        <f>'[48]Template '!$B$76</f>
        <v>7.1428571428571425E-2</v>
      </c>
      <c r="BV12">
        <f>'[48]Template '!$B$77</f>
        <v>0.70833333333333326</v>
      </c>
      <c r="BW12">
        <f>'[48]Template '!$B$78</f>
        <v>0.52380952380952384</v>
      </c>
      <c r="BY12">
        <f>'[48]Template '!$B$96</f>
        <v>0.75</v>
      </c>
      <c r="BZ12">
        <f>'[48]Template '!$B$97</f>
        <v>0.74814814814814812</v>
      </c>
      <c r="CA12">
        <f>'[48]Template '!$B$98</f>
        <v>0</v>
      </c>
      <c r="CB12">
        <f>'[48]Template '!$B$99</f>
        <v>0.88888888888888884</v>
      </c>
      <c r="CC12">
        <f>'[48]Template '!$B$100</f>
        <v>0.84126984126984128</v>
      </c>
      <c r="CF12">
        <f>'[48]Template '!$Z$30</f>
        <v>1</v>
      </c>
      <c r="CG12">
        <f>'[48]Template '!$AB$75</f>
        <v>0</v>
      </c>
      <c r="CH12">
        <f>'[48]Template '!$C$89</f>
        <v>0</v>
      </c>
      <c r="CI12">
        <f>'[48]Template '!$AF$75</f>
        <v>0</v>
      </c>
      <c r="CJ12">
        <f>'[48]Template '!$AR$97</f>
        <v>1</v>
      </c>
      <c r="CK12">
        <f>'[48]Template '!$AS$97</f>
        <v>0</v>
      </c>
      <c r="CL12">
        <f>'[48]Template '!$AZ$97</f>
        <v>1</v>
      </c>
      <c r="CM12">
        <f>'[48]Template '!$BB$97</f>
        <v>0</v>
      </c>
      <c r="CN12">
        <f>'[48]Template '!$AU$53</f>
        <v>1</v>
      </c>
      <c r="CO12">
        <f>'[48]Template '!$AV$53</f>
        <v>0</v>
      </c>
      <c r="CP12">
        <f>'[48]Template '!$AY$53</f>
        <v>0</v>
      </c>
      <c r="CQ12">
        <f>'[48]Template '!$AX$53</f>
        <v>0</v>
      </c>
      <c r="CR12">
        <f>'[48]Template '!$AZ$53</f>
        <v>0</v>
      </c>
      <c r="CS12">
        <f>'[48]Template '!$BF$53</f>
        <v>0</v>
      </c>
      <c r="CT12">
        <f t="shared" si="1"/>
        <v>1</v>
      </c>
      <c r="CU12">
        <f t="shared" si="2"/>
        <v>3</v>
      </c>
      <c r="CV12">
        <f t="shared" si="3"/>
        <v>4</v>
      </c>
      <c r="CY12" t="str">
        <f>'[48]Template '!$E$2</f>
        <v>B</v>
      </c>
      <c r="CZ12">
        <f>'[48]Template '!$B$13</f>
        <v>1</v>
      </c>
      <c r="DA12" t="str">
        <f>'[48]Template '!$D$2</f>
        <v>n/a</v>
      </c>
      <c r="DB12">
        <f>'[48]Template '!$D$3</f>
        <v>0</v>
      </c>
      <c r="DC12">
        <f>'[48]Template '!$F$2</f>
        <v>45447</v>
      </c>
      <c r="DE12">
        <f>'[48]Template '!$B$12</f>
        <v>26</v>
      </c>
      <c r="DF12" t="str">
        <f>'[48]Template '!$B$14</f>
        <v>11/18</v>
      </c>
      <c r="DG12" t="str">
        <f>'[48]Template '!$B$15</f>
        <v>5/19</v>
      </c>
      <c r="DH12">
        <f>'[48]Template '!$B$16</f>
        <v>60</v>
      </c>
      <c r="DI12">
        <f>'[48]Template '!$B$17</f>
        <v>0</v>
      </c>
      <c r="DJ12">
        <f>'[48]Template '!$B$18</f>
        <v>0</v>
      </c>
      <c r="DK12">
        <f>'[48]Template '!$B$19</f>
        <v>0</v>
      </c>
      <c r="DL12">
        <f>'[48]Template '!$B$20</f>
        <v>0</v>
      </c>
      <c r="DM12">
        <f>'[48]Template '!$B$21</f>
        <v>0</v>
      </c>
      <c r="DN12">
        <f>'[48]Template '!$B$22</f>
        <v>1</v>
      </c>
      <c r="DP12">
        <f>'[48]Template '!$I$13</f>
        <v>4</v>
      </c>
      <c r="DQ12">
        <f>'[48]Template '!$I$14</f>
        <v>4</v>
      </c>
      <c r="DR12">
        <f>'[48]Template '!$I$15</f>
        <v>4</v>
      </c>
      <c r="DS12">
        <f>'[48]Template '!$I$16</f>
        <v>4</v>
      </c>
      <c r="DT12">
        <f>'[48]Template '!$I$17</f>
        <v>4</v>
      </c>
      <c r="DU12">
        <f>'[48]Template '!$I$18</f>
        <v>4</v>
      </c>
      <c r="DV12">
        <f>'[48]Template '!$I$19</f>
        <v>5</v>
      </c>
      <c r="DW12">
        <f>'[48]Template '!$I$20</f>
        <v>4</v>
      </c>
      <c r="DX12">
        <f>'[48]Template '!$I$21</f>
        <v>4</v>
      </c>
      <c r="DY12">
        <f>'[48]Template '!$I$22</f>
        <v>4</v>
      </c>
      <c r="DZ12">
        <f>'[48]Template '!$I$23</f>
        <v>5</v>
      </c>
      <c r="EA12">
        <f>'[48]Template '!$I$24</f>
        <v>1</v>
      </c>
      <c r="ED12">
        <f>'[48]Template '!$L$13</f>
        <v>3</v>
      </c>
      <c r="EE12">
        <f>'[48]Template '!$L$14</f>
        <v>3</v>
      </c>
      <c r="EF12">
        <f>'[48]Template '!$L$15</f>
        <v>4</v>
      </c>
      <c r="EG12">
        <f>'[48]Template '!$L$16</f>
        <v>3</v>
      </c>
      <c r="EH12">
        <f>'[48]Template '!$L$17</f>
        <v>4</v>
      </c>
      <c r="EI12">
        <f>'[48]Template '!$L$18</f>
        <v>3</v>
      </c>
      <c r="EJ12">
        <f>'[48]Template '!$L$19</f>
        <v>5</v>
      </c>
      <c r="EK12">
        <f>'[48]Template '!$L$20</f>
        <v>4</v>
      </c>
      <c r="EL12">
        <f>'[48]Template '!$L$21</f>
        <v>3</v>
      </c>
      <c r="EM12">
        <f>'[48]Template '!$L$22</f>
        <v>5</v>
      </c>
      <c r="EN12">
        <f>'[48]Template '!$L$23</f>
        <v>5</v>
      </c>
      <c r="EQ12">
        <f>'[48]Template '!$O$13</f>
        <v>5</v>
      </c>
      <c r="ER12">
        <f>'[48]Template '!$O$14</f>
        <v>4</v>
      </c>
      <c r="ES12">
        <f>'[48]Template '!$O$15</f>
        <v>2</v>
      </c>
      <c r="ET12">
        <f>'[48]Template '!$O$16</f>
        <v>2</v>
      </c>
      <c r="EU12">
        <f>'[48]Template '!$O$17</f>
        <v>5</v>
      </c>
      <c r="EV12">
        <f>'[48]Template '!$O$18</f>
        <v>1</v>
      </c>
      <c r="EW12">
        <f>'[48]Template '!$O$19</f>
        <v>1</v>
      </c>
      <c r="EX12">
        <f>'[48]Template '!$O$20</f>
        <v>4</v>
      </c>
      <c r="EY12">
        <f>'[48]Template '!$O$21</f>
        <v>1</v>
      </c>
      <c r="EZ12">
        <f>'[48]Template '!$O$22</f>
        <v>1</v>
      </c>
      <c r="FA12">
        <f>'[48]Template '!$O$23</f>
        <v>1</v>
      </c>
      <c r="FL12">
        <f>'[48]Template '!$D$5</f>
        <v>0.61557539682539675</v>
      </c>
      <c r="FM12">
        <f>'[48]Template '!$D$6</f>
        <v>0.45543831168831161</v>
      </c>
      <c r="FN12">
        <f>'[48]Template '!$D$7</f>
        <v>0.54544973544973541</v>
      </c>
      <c r="FO12">
        <f>'[48]Template '!$D$8</f>
        <v>0.6456613756613756</v>
      </c>
      <c r="FP12">
        <f>'[48]Template '!$D$9</f>
        <v>0.5655312049062049</v>
      </c>
      <c r="FR12">
        <f>'[48]Template '!$E$5</f>
        <v>0.60781395891690004</v>
      </c>
      <c r="FS12">
        <f>'[48]Template '!$E$6</f>
        <v>0.40261093073593068</v>
      </c>
      <c r="FT12">
        <f>'[48]Template '!$E$7</f>
        <v>0.52276455026455027</v>
      </c>
      <c r="FU12">
        <f>'[48]Template '!$E$8</f>
        <v>0.60237133237133234</v>
      </c>
      <c r="FV12">
        <f>'[48]Template '!$E$9</f>
        <v>0.53389019307217833</v>
      </c>
    </row>
    <row r="13" spans="1:178" x14ac:dyDescent="0.2">
      <c r="A13" t="str">
        <f>'[49]Template '!$A$2</f>
        <v>M_074</v>
      </c>
      <c r="C13" t="str">
        <f t="shared" si="0"/>
        <v>M_074.xlsx</v>
      </c>
      <c r="E13" t="str">
        <f>'[49]Template '!$C$2</f>
        <v>mSTAT only</v>
      </c>
      <c r="G13">
        <f>'[49]Template '!$C$29</f>
        <v>0.3888888888888889</v>
      </c>
      <c r="H13" t="str">
        <f>'[49]Template '!$C$30</f>
        <v>n/a</v>
      </c>
      <c r="I13">
        <f>'[49]Template '!$C$31</f>
        <v>0.41666666666666663</v>
      </c>
      <c r="J13">
        <f>'[49]Template '!$C$32</f>
        <v>0.54411764705882359</v>
      </c>
      <c r="K13">
        <f>'[49]Template '!$C$33</f>
        <v>0.52380952380952384</v>
      </c>
      <c r="M13">
        <f>'[49]Template '!$C$80</f>
        <v>1200</v>
      </c>
      <c r="N13">
        <f>'[49]Template '!$C$81</f>
        <v>30</v>
      </c>
      <c r="O13">
        <f>'[49]Template '!$C$82</f>
        <v>1.5</v>
      </c>
      <c r="P13">
        <f>'[49]Template '!$C$83</f>
        <v>2.5</v>
      </c>
      <c r="Q13">
        <f>'[49]Template '!$C$84</f>
        <v>1.5</v>
      </c>
      <c r="R13">
        <f>'[49]Template '!$C$85</f>
        <v>2</v>
      </c>
      <c r="T13">
        <f>'[49]Template '!$C$74</f>
        <v>0.65454545454545454</v>
      </c>
      <c r="U13" t="str">
        <f>'[49]Template '!$C$75</f>
        <v>n/a</v>
      </c>
      <c r="V13">
        <f>'[49]Template '!$C$76</f>
        <v>7.1428571428571425E-2</v>
      </c>
      <c r="W13">
        <f>'[49]Template '!$C$77</f>
        <v>0.48809523809523808</v>
      </c>
      <c r="X13">
        <f>'[49]Template '!$C$78</f>
        <v>0.49404761904761901</v>
      </c>
      <c r="Z13">
        <f>'[49]Template '!$C$80</f>
        <v>1200</v>
      </c>
      <c r="AA13">
        <f>'[49]Template '!$C$81</f>
        <v>30</v>
      </c>
      <c r="AB13">
        <f>'[49]Template '!$C$82</f>
        <v>1.5</v>
      </c>
      <c r="AC13">
        <f>'[49]Template '!$C$83</f>
        <v>2.5</v>
      </c>
      <c r="AD13">
        <f>'[49]Template '!$C$84</f>
        <v>1.5</v>
      </c>
      <c r="AE13">
        <f>'[49]Template '!$C$85</f>
        <v>2</v>
      </c>
      <c r="AG13">
        <f>'[49]Template '!$C$96</f>
        <v>0.75</v>
      </c>
      <c r="AH13">
        <f>'[49]Template '!$C$97</f>
        <v>0.27407407407407408</v>
      </c>
      <c r="AI13">
        <f>'[49]Template '!$C$98</f>
        <v>0</v>
      </c>
      <c r="AJ13">
        <f>'[49]Template '!$C$99</f>
        <v>0.66810966810966799</v>
      </c>
      <c r="AK13">
        <f>'[49]Template '!$C$100</f>
        <v>0.75238095238095237</v>
      </c>
      <c r="AM13">
        <f>'[49]Template '!$C$102</f>
        <v>1200</v>
      </c>
      <c r="AN13">
        <f>'[49]Template '!$C$103</f>
        <v>50</v>
      </c>
      <c r="AO13">
        <f>'[49]Template '!$C$104</f>
        <v>2.5</v>
      </c>
      <c r="AP13">
        <f>'[49]Template '!$C$105</f>
        <v>3</v>
      </c>
      <c r="AQ13">
        <f>'[49]Template '!$C$106</f>
        <v>2</v>
      </c>
      <c r="AR13">
        <f>'[49]Template '!$C$107</f>
        <v>2.5</v>
      </c>
      <c r="AT13">
        <f>'[49]Template '!$C$52</f>
        <v>0.34722222222222221</v>
      </c>
      <c r="AU13">
        <f>'[49]Template '!$C$53</f>
        <v>0.27407407407407408</v>
      </c>
      <c r="AV13">
        <f>'[49]Template '!$C$54</f>
        <v>0</v>
      </c>
      <c r="AW13">
        <f>'[49]Template '!$C$55</f>
        <v>0.28125</v>
      </c>
      <c r="AX13">
        <f>'[49]Template '!$C$56</f>
        <v>0.57301587301587309</v>
      </c>
      <c r="AZ13">
        <f>'[49]Template '!$C$58</f>
        <v>1200</v>
      </c>
      <c r="BA13">
        <f>'[49]Template '!$C$59</f>
        <v>35</v>
      </c>
      <c r="BB13">
        <f>'[49]Template '!$C$60</f>
        <v>2.5</v>
      </c>
      <c r="BC13">
        <f>'[49]Template '!$C$61</f>
        <v>2.5</v>
      </c>
      <c r="BD13">
        <f>'[49]Template '!$C$62</f>
        <v>2</v>
      </c>
      <c r="BE13">
        <f>'[49]Template '!$C$63</f>
        <v>2</v>
      </c>
      <c r="BG13">
        <f>'[49]Template '!$B$29</f>
        <v>0.3888888888888889</v>
      </c>
      <c r="BH13" t="str">
        <f>'[49]Template '!$B$30</f>
        <v>n/a</v>
      </c>
      <c r="BI13">
        <f>'[49]Template '!$B$31</f>
        <v>0.41666666666666663</v>
      </c>
      <c r="BJ13">
        <f>'[49]Template '!$B$32</f>
        <v>0.5625</v>
      </c>
      <c r="BK13">
        <f>'[49]Template '!$B$33</f>
        <v>0.52380952380952384</v>
      </c>
      <c r="BM13">
        <f>'[49]Template '!$B$52</f>
        <v>0.34722222222222221</v>
      </c>
      <c r="BN13">
        <f>'[49]Template '!$B$53</f>
        <v>0.27407407407407408</v>
      </c>
      <c r="BO13">
        <f>'[49]Template '!$B$54</f>
        <v>0</v>
      </c>
      <c r="BP13">
        <f>'[49]Template '!$B$55</f>
        <v>0.29629629629629628</v>
      </c>
      <c r="BQ13">
        <f>'[49]Template '!$B$56</f>
        <v>0.57301587301587309</v>
      </c>
      <c r="BS13">
        <f>'[49]Template '!$B$74</f>
        <v>0.65454545454545454</v>
      </c>
      <c r="BT13" t="str">
        <f>'[49]Template '!$B$75</f>
        <v>n/a</v>
      </c>
      <c r="BU13">
        <f>'[49]Template '!$B$76</f>
        <v>7.1428571428571425E-2</v>
      </c>
      <c r="BV13">
        <f>'[49]Template '!$B$77</f>
        <v>0.83333333333333326</v>
      </c>
      <c r="BW13">
        <f>'[49]Template '!$B$78</f>
        <v>0.49404761904761901</v>
      </c>
      <c r="BY13">
        <f>'[49]Template '!$B$96</f>
        <v>0.75</v>
      </c>
      <c r="BZ13">
        <f>'[49]Template '!$B$97</f>
        <v>0.27407407407407408</v>
      </c>
      <c r="CA13">
        <f>'[49]Template '!$B$98</f>
        <v>0</v>
      </c>
      <c r="CB13">
        <f>'[49]Template '!$B$99</f>
        <v>0.83333333333333337</v>
      </c>
      <c r="CC13">
        <f>'[49]Template '!$B$100</f>
        <v>0.75238095238095237</v>
      </c>
      <c r="CF13">
        <f>'[49]Template '!$Z$30</f>
        <v>0</v>
      </c>
      <c r="CG13">
        <f>'[49]Template '!$AB$75</f>
        <v>0</v>
      </c>
      <c r="CH13">
        <f>'[49]Template '!$C$89</f>
        <v>0</v>
      </c>
      <c r="CI13">
        <f>'[49]Template '!$AF$75</f>
        <v>0</v>
      </c>
      <c r="CJ13">
        <f>'[49]Template '!$AR$97</f>
        <v>1</v>
      </c>
      <c r="CK13">
        <f>'[49]Template '!$AS$97</f>
        <v>1</v>
      </c>
      <c r="CL13">
        <f>'[49]Template '!$AZ$97</f>
        <v>0.5</v>
      </c>
      <c r="CM13">
        <f>'[49]Template '!$BB$97</f>
        <v>0</v>
      </c>
      <c r="CN13">
        <f>'[49]Template '!$AU$53</f>
        <v>0.5</v>
      </c>
      <c r="CO13">
        <f>'[49]Template '!$AV$53</f>
        <v>0</v>
      </c>
      <c r="CP13">
        <f>'[49]Template '!$AY$53</f>
        <v>0.5</v>
      </c>
      <c r="CQ13">
        <f>'[49]Template '!$AX$53</f>
        <v>0.5</v>
      </c>
      <c r="CR13">
        <f>'[49]Template '!$AZ$53</f>
        <v>0</v>
      </c>
      <c r="CS13">
        <f>'[49]Template '!$BF$53</f>
        <v>0</v>
      </c>
      <c r="CT13">
        <f t="shared" si="1"/>
        <v>0</v>
      </c>
      <c r="CU13">
        <f t="shared" si="2"/>
        <v>4</v>
      </c>
      <c r="CV13">
        <f t="shared" si="3"/>
        <v>4</v>
      </c>
      <c r="CY13" t="str">
        <f>'[49]Template '!$E$2</f>
        <v>B</v>
      </c>
      <c r="CZ13">
        <f>'[49]Template '!$B$13</f>
        <v>2</v>
      </c>
      <c r="DA13" t="str">
        <f>'[49]Template '!$D$2</f>
        <v>n/a</v>
      </c>
      <c r="DB13">
        <f>'[49]Template '!$D$3</f>
        <v>0</v>
      </c>
      <c r="DC13">
        <f>'[49]Template '!$F$2</f>
        <v>45454</v>
      </c>
      <c r="DE13">
        <f>'[49]Template '!$B$12</f>
        <v>24</v>
      </c>
      <c r="DF13" t="str">
        <f>'[49]Template '!$B$14</f>
        <v>12/22</v>
      </c>
      <c r="DG13" t="str">
        <f>'[49]Template '!$B$15</f>
        <v>4/23</v>
      </c>
      <c r="DH13">
        <f>'[49]Template '!$B$16</f>
        <v>18</v>
      </c>
      <c r="DI13">
        <f>'[49]Template '!$B$17</f>
        <v>0</v>
      </c>
      <c r="DJ13">
        <f>'[49]Template '!$B$18</f>
        <v>0</v>
      </c>
      <c r="DK13">
        <f>'[49]Template '!$B$19</f>
        <v>0</v>
      </c>
      <c r="DL13">
        <f>'[49]Template '!$B$20</f>
        <v>0</v>
      </c>
      <c r="DM13">
        <f>'[49]Template '!$B$21</f>
        <v>0</v>
      </c>
      <c r="DN13">
        <f>'[49]Template '!$B$22</f>
        <v>0</v>
      </c>
      <c r="DP13">
        <f>'[49]Template '!$I$13</f>
        <v>4</v>
      </c>
      <c r="DQ13">
        <f>'[49]Template '!$I$14</f>
        <v>3</v>
      </c>
      <c r="DR13">
        <f>'[49]Template '!$I$15</f>
        <v>3</v>
      </c>
      <c r="DS13">
        <f>'[49]Template '!$I$16</f>
        <v>3</v>
      </c>
      <c r="DT13">
        <f>'[49]Template '!$I$17</f>
        <v>3</v>
      </c>
      <c r="DU13">
        <f>'[49]Template '!$I$18</f>
        <v>3</v>
      </c>
      <c r="DV13">
        <f>'[49]Template '!$I$19</f>
        <v>5</v>
      </c>
      <c r="DW13">
        <f>'[49]Template '!$I$20</f>
        <v>3</v>
      </c>
      <c r="DX13">
        <f>'[49]Template '!$I$21</f>
        <v>2</v>
      </c>
      <c r="DY13">
        <f>'[49]Template '!$I$22</f>
        <v>3</v>
      </c>
      <c r="DZ13">
        <f>'[49]Template '!$I$23</f>
        <v>4</v>
      </c>
      <c r="EA13">
        <f>'[49]Template '!$I$24</f>
        <v>0</v>
      </c>
      <c r="ED13">
        <f>'[49]Template '!$L$13</f>
        <v>2</v>
      </c>
      <c r="EE13">
        <f>'[49]Template '!$L$14</f>
        <v>3</v>
      </c>
      <c r="EF13">
        <f>'[49]Template '!$L$15</f>
        <v>3</v>
      </c>
      <c r="EG13">
        <f>'[49]Template '!$L$16</f>
        <v>4</v>
      </c>
      <c r="EH13">
        <f>'[49]Template '!$L$17</f>
        <v>2</v>
      </c>
      <c r="EI13">
        <f>'[49]Template '!$L$18</f>
        <v>2</v>
      </c>
      <c r="EJ13">
        <f>'[49]Template '!$L$19</f>
        <v>4</v>
      </c>
      <c r="EK13">
        <f>'[49]Template '!$L$20</f>
        <v>3</v>
      </c>
      <c r="EL13">
        <f>'[49]Template '!$L$21</f>
        <v>3</v>
      </c>
      <c r="EM13">
        <f>'[49]Template '!$L$22</f>
        <v>4</v>
      </c>
      <c r="EN13">
        <f>'[49]Template '!$L$23</f>
        <v>4</v>
      </c>
      <c r="EQ13">
        <f>'[49]Template '!$O$13</f>
        <v>4</v>
      </c>
      <c r="ER13">
        <f>'[49]Template '!$O$14</f>
        <v>2</v>
      </c>
      <c r="ES13">
        <f>'[49]Template '!$O$15</f>
        <v>2</v>
      </c>
      <c r="ET13">
        <f>'[49]Template '!$O$16</f>
        <v>2</v>
      </c>
      <c r="EU13">
        <f>'[49]Template '!$O$17</f>
        <v>2</v>
      </c>
      <c r="EV13">
        <f>'[49]Template '!$O$18</f>
        <v>1</v>
      </c>
      <c r="EW13">
        <f>'[49]Template '!$O$19</f>
        <v>1</v>
      </c>
      <c r="EX13">
        <f>'[49]Template '!$O$20</f>
        <v>3</v>
      </c>
      <c r="EY13">
        <f>'[49]Template '!$O$21</f>
        <v>1</v>
      </c>
      <c r="EZ13">
        <f>'[49]Template '!$O$22</f>
        <v>2</v>
      </c>
      <c r="FA13">
        <f>'[49]Template '!$O$23</f>
        <v>4</v>
      </c>
      <c r="FL13">
        <f>'[49]Template '!$D$5</f>
        <v>0.47296626984126988</v>
      </c>
      <c r="FM13">
        <f>'[49]Template '!$D$6</f>
        <v>0.51333874458874451</v>
      </c>
      <c r="FN13">
        <f>'[49]Template '!$D$7</f>
        <v>0.29812169312169312</v>
      </c>
      <c r="FO13">
        <f>'[49]Template '!$D$8</f>
        <v>0.52195767195767195</v>
      </c>
      <c r="FP13">
        <f>'[49]Template '!$D$9</f>
        <v>0.45159609487734487</v>
      </c>
      <c r="FR13">
        <f>'[49]Template '!$E$5</f>
        <v>0.46837068160597572</v>
      </c>
      <c r="FS13">
        <f>'[49]Template '!$E$6</f>
        <v>0.42702922077922079</v>
      </c>
      <c r="FT13">
        <f>'[49]Template '!$E$7</f>
        <v>0.29511243386243385</v>
      </c>
      <c r="FU13">
        <f>'[49]Template '!$E$8</f>
        <v>0.48891293891293885</v>
      </c>
      <c r="FV13">
        <f>'[49]Template '!$E$9</f>
        <v>0.41985631879014229</v>
      </c>
    </row>
    <row r="14" spans="1:178" x14ac:dyDescent="0.2">
      <c r="A14" t="str">
        <f>'[50]Template '!$A$2</f>
        <v>M_073</v>
      </c>
      <c r="C14" t="str">
        <f t="shared" si="0"/>
        <v>M_073.xlsx</v>
      </c>
      <c r="E14" t="str">
        <f>'[50]Template '!$C$2</f>
        <v>mSTAT only</v>
      </c>
      <c r="G14">
        <f>'[50]Template '!$C$29</f>
        <v>0.88888888888888884</v>
      </c>
      <c r="H14" t="str">
        <f>'[50]Template '!$C$30</f>
        <v>n/a</v>
      </c>
      <c r="I14">
        <f>'[50]Template '!$C$31</f>
        <v>0.58333333333333326</v>
      </c>
      <c r="J14">
        <f>'[50]Template '!$C$32</f>
        <v>0.57352941176470584</v>
      </c>
      <c r="K14">
        <f>'[50]Template '!$C$33</f>
        <v>0.63095238095238093</v>
      </c>
      <c r="M14">
        <f>'[50]Template '!$C$80</f>
        <v>1064</v>
      </c>
      <c r="N14">
        <f>'[50]Template '!$C$81</f>
        <v>45</v>
      </c>
      <c r="O14">
        <f>'[50]Template '!$C$82</f>
        <v>3</v>
      </c>
      <c r="P14">
        <f>'[50]Template '!$C$83</f>
        <v>2</v>
      </c>
      <c r="Q14">
        <f>'[50]Template '!$C$84</f>
        <v>3.5</v>
      </c>
      <c r="R14">
        <f>'[50]Template '!$C$85</f>
        <v>2</v>
      </c>
      <c r="T14">
        <f>'[50]Template '!$C$74</f>
        <v>0.60909090909090913</v>
      </c>
      <c r="U14" t="str">
        <f>'[50]Template '!$C$75</f>
        <v>n/a</v>
      </c>
      <c r="V14">
        <f>'[50]Template '!$C$76</f>
        <v>0.5357142857142857</v>
      </c>
      <c r="W14">
        <f>'[50]Template '!$C$77</f>
        <v>0.48809523809523803</v>
      </c>
      <c r="X14">
        <f>'[50]Template '!$C$78</f>
        <v>0.51388888888888884</v>
      </c>
      <c r="Z14">
        <f>'[50]Template '!$C$80</f>
        <v>1064</v>
      </c>
      <c r="AA14">
        <f>'[50]Template '!$C$81</f>
        <v>45</v>
      </c>
      <c r="AB14">
        <f>'[50]Template '!$C$82</f>
        <v>3</v>
      </c>
      <c r="AC14">
        <f>'[50]Template '!$C$83</f>
        <v>2</v>
      </c>
      <c r="AD14">
        <f>'[50]Template '!$C$84</f>
        <v>3.5</v>
      </c>
      <c r="AE14">
        <f>'[50]Template '!$C$85</f>
        <v>2</v>
      </c>
      <c r="AG14">
        <f>'[50]Template '!$C$96</f>
        <v>0.66666666666666663</v>
      </c>
      <c r="AH14">
        <f>'[50]Template '!$C$97</f>
        <v>0.37777777777777777</v>
      </c>
      <c r="AI14">
        <f>'[50]Template '!$C$98</f>
        <v>0.5</v>
      </c>
      <c r="AJ14">
        <f>'[50]Template '!$C$99</f>
        <v>0.58369408369408371</v>
      </c>
      <c r="AK14">
        <f>'[50]Template '!$C$100</f>
        <v>0.67579365079365072</v>
      </c>
      <c r="AM14">
        <f>'[50]Template '!$C$102</f>
        <v>1082</v>
      </c>
      <c r="AN14">
        <f>'[50]Template '!$C$103</f>
        <v>50</v>
      </c>
      <c r="AO14">
        <f>'[50]Template '!$C$104</f>
        <v>2.5</v>
      </c>
      <c r="AP14">
        <f>'[50]Template '!$C$105</f>
        <v>2.5</v>
      </c>
      <c r="AQ14">
        <f>'[50]Template '!$C$106</f>
        <v>3</v>
      </c>
      <c r="AR14">
        <f>'[50]Template '!$C$107</f>
        <v>2.5</v>
      </c>
      <c r="AT14">
        <f>'[50]Template '!$C$52</f>
        <v>0.59722222222222232</v>
      </c>
      <c r="AU14">
        <f>'[50]Template '!$C$53</f>
        <v>0.37777777777777777</v>
      </c>
      <c r="AV14">
        <f>'[50]Template '!$C$54</f>
        <v>0.5</v>
      </c>
      <c r="AW14">
        <f>'[50]Template '!$C$55</f>
        <v>0.16220238095238096</v>
      </c>
      <c r="AX14">
        <f>'[50]Template '!$C$56</f>
        <v>0.38769841269841271</v>
      </c>
      <c r="AZ14">
        <f>'[50]Template '!$C$58</f>
        <v>1200</v>
      </c>
      <c r="BA14">
        <f>'[50]Template '!$C$59</f>
        <v>37.5</v>
      </c>
      <c r="BB14">
        <f>'[50]Template '!$C$60</f>
        <v>2.5</v>
      </c>
      <c r="BC14">
        <f>'[50]Template '!$C$61</f>
        <v>2</v>
      </c>
      <c r="BD14">
        <f>'[50]Template '!$C$62</f>
        <v>3</v>
      </c>
      <c r="BE14">
        <f>'[50]Template '!$C$63</f>
        <v>1.5</v>
      </c>
      <c r="BG14">
        <f>'[50]Template '!$B$29</f>
        <v>0.88888888888888884</v>
      </c>
      <c r="BH14" t="str">
        <f>'[50]Template '!$B$30</f>
        <v>n/a</v>
      </c>
      <c r="BI14">
        <f>'[50]Template '!$B$31</f>
        <v>0.58333333333333326</v>
      </c>
      <c r="BJ14">
        <f>'[50]Template '!$B$32</f>
        <v>0.6875</v>
      </c>
      <c r="BK14">
        <f>'[50]Template '!$B$33</f>
        <v>0.63095238095238093</v>
      </c>
      <c r="BM14">
        <f>'[50]Template '!$B$52</f>
        <v>0.59722222222222232</v>
      </c>
      <c r="BN14">
        <f>'[50]Template '!$B$53</f>
        <v>0.37777777777777777</v>
      </c>
      <c r="BO14">
        <f>'[50]Template '!$B$54</f>
        <v>0.5</v>
      </c>
      <c r="BP14">
        <f>'[50]Template '!$B$55</f>
        <v>0.25</v>
      </c>
      <c r="BQ14">
        <f>'[50]Template '!$B$56</f>
        <v>0.38769841269841271</v>
      </c>
      <c r="BS14">
        <f>'[50]Template '!$B$74</f>
        <v>0.60909090909090913</v>
      </c>
      <c r="BT14" t="str">
        <f>'[50]Template '!$B$75</f>
        <v>n/a</v>
      </c>
      <c r="BU14">
        <f>'[50]Template '!$B$76</f>
        <v>0.5357142857142857</v>
      </c>
      <c r="BV14">
        <f>'[50]Template '!$B$77</f>
        <v>0.52083333333333326</v>
      </c>
      <c r="BW14">
        <f>'[50]Template '!$B$78</f>
        <v>0.51388888888888884</v>
      </c>
      <c r="BY14">
        <f>'[50]Template '!$B$96</f>
        <v>0.66666666666666663</v>
      </c>
      <c r="BZ14">
        <f>'[50]Template '!$B$97</f>
        <v>0.37777777777777777</v>
      </c>
      <c r="CA14">
        <f>'[50]Template '!$B$98</f>
        <v>0.5</v>
      </c>
      <c r="CB14">
        <f>'[50]Template '!$B$99</f>
        <v>0.80555555555555547</v>
      </c>
      <c r="CC14">
        <f>'[50]Template '!$B$100</f>
        <v>0.67579365079365072</v>
      </c>
      <c r="CF14">
        <f>'[50]Template '!$Z$30</f>
        <v>0</v>
      </c>
      <c r="CG14">
        <f>'[50]Template '!$AB$75</f>
        <v>0</v>
      </c>
      <c r="CH14">
        <f>'[50]Template '!$C$89</f>
        <v>0</v>
      </c>
      <c r="CI14">
        <f>'[50]Template '!$AF$75</f>
        <v>0</v>
      </c>
      <c r="CJ14">
        <f>'[50]Template '!$AR$97</f>
        <v>0</v>
      </c>
      <c r="CK14">
        <f>'[50]Template '!$AS$97</f>
        <v>1</v>
      </c>
      <c r="CL14">
        <f>'[50]Template '!$AZ$97</f>
        <v>1</v>
      </c>
      <c r="CM14">
        <f>'[50]Template '!$BB$97</f>
        <v>1</v>
      </c>
      <c r="CN14">
        <f>'[50]Template '!$AU$53</f>
        <v>0</v>
      </c>
      <c r="CO14">
        <f>'[50]Template '!$AV$53</f>
        <v>0</v>
      </c>
      <c r="CP14">
        <f>'[50]Template '!$AY$53</f>
        <v>0</v>
      </c>
      <c r="CQ14">
        <f>'[50]Template '!$AX$53</f>
        <v>0</v>
      </c>
      <c r="CR14">
        <f>'[50]Template '!$AZ$53</f>
        <v>0</v>
      </c>
      <c r="CS14">
        <f>'[50]Template '!$BF$53</f>
        <v>0</v>
      </c>
      <c r="CT14">
        <f t="shared" si="1"/>
        <v>0</v>
      </c>
      <c r="CU14">
        <f t="shared" si="2"/>
        <v>3</v>
      </c>
      <c r="CV14">
        <f t="shared" si="3"/>
        <v>3</v>
      </c>
      <c r="CY14" t="str">
        <f>'[50]Template '!$E$2</f>
        <v>A</v>
      </c>
      <c r="CZ14">
        <f>'[50]Template '!$B$13</f>
        <v>2</v>
      </c>
      <c r="DA14" t="str">
        <f>'[50]Template '!$D$2</f>
        <v>n/a</v>
      </c>
      <c r="DB14">
        <f>'[50]Template '!$D$3</f>
        <v>0</v>
      </c>
      <c r="DC14">
        <f>'[50]Template '!$F$2</f>
        <v>45454</v>
      </c>
      <c r="DE14">
        <f>'[50]Template '!$B$12</f>
        <v>37</v>
      </c>
      <c r="DF14" t="str">
        <f>'[50]Template '!$B$14</f>
        <v>1/17</v>
      </c>
      <c r="DG14" t="str">
        <f>'[50]Template '!$B$15</f>
        <v>3/17</v>
      </c>
      <c r="DH14">
        <f>'[50]Template '!$B$16</f>
        <v>168</v>
      </c>
      <c r="DI14">
        <f>'[50]Template '!$B$17</f>
        <v>0</v>
      </c>
      <c r="DJ14">
        <f>'[50]Template '!$B$18</f>
        <v>0</v>
      </c>
      <c r="DK14">
        <f>'[50]Template '!$B$19</f>
        <v>1</v>
      </c>
      <c r="DL14">
        <f>'[50]Template '!$B$20</f>
        <v>2</v>
      </c>
      <c r="DM14">
        <f>'[50]Template '!$B$21</f>
        <v>1</v>
      </c>
      <c r="DN14">
        <f>'[50]Template '!$B$22</f>
        <v>0</v>
      </c>
      <c r="DP14">
        <f>'[50]Template '!$I$13</f>
        <v>4</v>
      </c>
      <c r="DQ14">
        <f>'[50]Template '!$I$14</f>
        <v>4</v>
      </c>
      <c r="DR14">
        <f>'[50]Template '!$I$15</f>
        <v>4</v>
      </c>
      <c r="DS14">
        <f>'[50]Template '!$I$16</f>
        <v>4</v>
      </c>
      <c r="DT14">
        <f>'[50]Template '!$I$17</f>
        <v>4</v>
      </c>
      <c r="DU14">
        <f>'[50]Template '!$I$18</f>
        <v>3</v>
      </c>
      <c r="DV14">
        <f>'[50]Template '!$I$19</f>
        <v>5</v>
      </c>
      <c r="DW14">
        <f>'[50]Template '!$I$20</f>
        <v>3</v>
      </c>
      <c r="DX14">
        <f>'[50]Template '!$I$21</f>
        <v>4</v>
      </c>
      <c r="DY14">
        <f>'[50]Template '!$I$22</f>
        <v>3</v>
      </c>
      <c r="DZ14">
        <f>'[50]Template '!$I$23</f>
        <v>5</v>
      </c>
      <c r="EA14">
        <f>'[50]Template '!$I$24</f>
        <v>1</v>
      </c>
      <c r="ED14">
        <f>'[50]Template '!$L$13</f>
        <v>4</v>
      </c>
      <c r="EE14">
        <f>'[50]Template '!$L$14</f>
        <v>4</v>
      </c>
      <c r="EF14">
        <f>'[50]Template '!$L$15</f>
        <v>4</v>
      </c>
      <c r="EG14">
        <f>'[50]Template '!$L$16</f>
        <v>4</v>
      </c>
      <c r="EH14">
        <f>'[50]Template '!$L$17</f>
        <v>4</v>
      </c>
      <c r="EI14">
        <f>'[50]Template '!$L$18</f>
        <v>4</v>
      </c>
      <c r="EJ14">
        <f>'[50]Template '!$L$19</f>
        <v>5</v>
      </c>
      <c r="EK14">
        <f>'[50]Template '!$L$20</f>
        <v>4</v>
      </c>
      <c r="EL14">
        <f>'[50]Template '!$L$21</f>
        <v>4</v>
      </c>
      <c r="EM14">
        <f>'[50]Template '!$L$22</f>
        <v>4</v>
      </c>
      <c r="EN14">
        <f>'[50]Template '!$L$23</f>
        <v>5</v>
      </c>
      <c r="EQ14">
        <f>'[50]Template '!$O$13</f>
        <v>4</v>
      </c>
      <c r="ER14">
        <f>'[50]Template '!$O$14</f>
        <v>4</v>
      </c>
      <c r="ES14">
        <f>'[50]Template '!$O$15</f>
        <v>3</v>
      </c>
      <c r="ET14">
        <f>'[50]Template '!$O$16</f>
        <v>4</v>
      </c>
      <c r="EU14">
        <f>'[50]Template '!$O$17</f>
        <v>4</v>
      </c>
      <c r="EV14">
        <f>'[50]Template '!$O$18</f>
        <v>2</v>
      </c>
      <c r="EW14">
        <f>'[50]Template '!$O$19</f>
        <v>2</v>
      </c>
      <c r="EX14">
        <f>'[50]Template '!$O$20</f>
        <v>4</v>
      </c>
      <c r="EY14">
        <f>'[50]Template '!$O$21</f>
        <v>2</v>
      </c>
      <c r="EZ14">
        <f>'[50]Template '!$O$22</f>
        <v>3</v>
      </c>
      <c r="FA14">
        <f>'[50]Template '!$O$23</f>
        <v>4</v>
      </c>
      <c r="FL14">
        <f>'[50]Template '!$D$5</f>
        <v>0.69766865079365081</v>
      </c>
      <c r="FM14">
        <f>'[50]Template '!$D$6</f>
        <v>0.54488185425685431</v>
      </c>
      <c r="FN14">
        <f>'[50]Template '!$D$7</f>
        <v>0.42253968253968255</v>
      </c>
      <c r="FO14">
        <f>'[50]Template '!$D$8</f>
        <v>0.60515873015873001</v>
      </c>
      <c r="FP14">
        <f>'[50]Template '!$D$9</f>
        <v>0.56756222943722934</v>
      </c>
      <c r="FR14">
        <f>'[50]Template '!$E$5</f>
        <v>0.66917600373482722</v>
      </c>
      <c r="FS14">
        <f>'[50]Template '!$E$6</f>
        <v>0.53669733044733048</v>
      </c>
      <c r="FT14">
        <f>'[50]Template '!$E$7</f>
        <v>0.40498015873015875</v>
      </c>
      <c r="FU14">
        <f>'[50]Template '!$E$8</f>
        <v>0.56078643578643572</v>
      </c>
      <c r="FV14">
        <f>'[50]Template '!$E$9</f>
        <v>0.542909982174688</v>
      </c>
    </row>
    <row r="15" spans="1:178" x14ac:dyDescent="0.2">
      <c r="A15" t="str">
        <f>'[51]Template '!$A$2</f>
        <v>M_072</v>
      </c>
      <c r="C15" t="str">
        <f t="shared" si="0"/>
        <v>M_072.xlsx</v>
      </c>
      <c r="E15" t="str">
        <f>'[51]Template '!$C$2</f>
        <v>mSTAT only</v>
      </c>
      <c r="G15">
        <f>'[51]Template '!$C$29</f>
        <v>0.3888888888888889</v>
      </c>
      <c r="H15" t="str">
        <f>'[51]Template '!$C$30</f>
        <v>n/a</v>
      </c>
      <c r="I15">
        <f>'[51]Template '!$C$31</f>
        <v>0</v>
      </c>
      <c r="J15">
        <f>'[51]Template '!$C$32</f>
        <v>0.66911764705882359</v>
      </c>
      <c r="K15">
        <f>'[51]Template '!$C$33</f>
        <v>0.66269841269841268</v>
      </c>
      <c r="M15">
        <f>'[51]Template '!$C$80</f>
        <v>748</v>
      </c>
      <c r="N15">
        <f>'[51]Template '!$C$81</f>
        <v>40</v>
      </c>
      <c r="O15">
        <f>'[51]Template '!$C$82</f>
        <v>3</v>
      </c>
      <c r="P15">
        <f>'[51]Template '!$C$83</f>
        <v>2</v>
      </c>
      <c r="Q15">
        <f>'[51]Template '!$C$84</f>
        <v>3</v>
      </c>
      <c r="R15">
        <f>'[51]Template '!$C$85</f>
        <v>1</v>
      </c>
      <c r="T15">
        <f>'[51]Template '!$C$74</f>
        <v>0.60909090909090913</v>
      </c>
      <c r="U15" t="str">
        <f>'[51]Template '!$C$75</f>
        <v>n/a</v>
      </c>
      <c r="V15">
        <f>'[51]Template '!$C$76</f>
        <v>7.1428571428571425E-2</v>
      </c>
      <c r="W15">
        <f>'[51]Template '!$C$77</f>
        <v>0.52380952380952372</v>
      </c>
      <c r="X15">
        <f>'[51]Template '!$C$78</f>
        <v>0.76190476190476186</v>
      </c>
      <c r="Z15">
        <f>'[51]Template '!$C$80</f>
        <v>748</v>
      </c>
      <c r="AA15">
        <f>'[51]Template '!$C$81</f>
        <v>40</v>
      </c>
      <c r="AB15">
        <f>'[51]Template '!$C$82</f>
        <v>3</v>
      </c>
      <c r="AC15">
        <f>'[51]Template '!$C$83</f>
        <v>2</v>
      </c>
      <c r="AD15">
        <f>'[51]Template '!$C$84</f>
        <v>3</v>
      </c>
      <c r="AE15">
        <f>'[51]Template '!$C$85</f>
        <v>1</v>
      </c>
      <c r="AG15">
        <f>'[51]Template '!$C$96</f>
        <v>0.5</v>
      </c>
      <c r="AH15">
        <f>'[51]Template '!$C$97</f>
        <v>0.26666666666666666</v>
      </c>
      <c r="AI15">
        <f>'[51]Template '!$C$98</f>
        <v>0</v>
      </c>
      <c r="AJ15">
        <f>'[51]Template '!$C$99</f>
        <v>0.51659451659451661</v>
      </c>
      <c r="AK15">
        <f>'[51]Template '!$C$100</f>
        <v>0.81825396825396834</v>
      </c>
      <c r="AM15">
        <f>'[51]Template '!$C$102</f>
        <v>1074</v>
      </c>
      <c r="AN15">
        <f>'[51]Template '!$C$103</f>
        <v>60</v>
      </c>
      <c r="AO15">
        <f>'[51]Template '!$C$104</f>
        <v>2</v>
      </c>
      <c r="AP15">
        <f>'[51]Template '!$C$105</f>
        <v>2</v>
      </c>
      <c r="AQ15">
        <f>'[51]Template '!$C$106</f>
        <v>3</v>
      </c>
      <c r="AR15">
        <f>'[51]Template '!$C$107</f>
        <v>2</v>
      </c>
      <c r="AT15">
        <f>'[51]Template '!$C$52</f>
        <v>0.47222222222222221</v>
      </c>
      <c r="AU15">
        <f>'[51]Template '!$C$53</f>
        <v>0.26666666666666666</v>
      </c>
      <c r="AV15">
        <f>'[51]Template '!$C$54</f>
        <v>0</v>
      </c>
      <c r="AW15">
        <f>'[51]Template '!$C$55</f>
        <v>0.10416666666666667</v>
      </c>
      <c r="AX15">
        <f>'[51]Template '!$C$56</f>
        <v>0.80634920634920648</v>
      </c>
      <c r="AZ15">
        <f>'[51]Template '!$C$58</f>
        <v>1200</v>
      </c>
      <c r="BA15">
        <f>'[51]Template '!$C$59</f>
        <v>60</v>
      </c>
      <c r="BB15">
        <f>'[51]Template '!$C$60</f>
        <v>2</v>
      </c>
      <c r="BC15">
        <f>'[51]Template '!$C$61</f>
        <v>2</v>
      </c>
      <c r="BD15">
        <f>'[51]Template '!$C$62</f>
        <v>3</v>
      </c>
      <c r="BE15">
        <f>'[51]Template '!$C$63</f>
        <v>2</v>
      </c>
      <c r="BG15">
        <f>'[51]Template '!$B$29</f>
        <v>0.3888888888888889</v>
      </c>
      <c r="BH15" t="str">
        <f>'[51]Template '!$B$30</f>
        <v>n/a</v>
      </c>
      <c r="BI15">
        <f>'[51]Template '!$B$31</f>
        <v>0</v>
      </c>
      <c r="BJ15">
        <f>'[51]Template '!$B$32</f>
        <v>0.6875</v>
      </c>
      <c r="BK15">
        <f>'[51]Template '!$B$33</f>
        <v>0.66269841269841268</v>
      </c>
      <c r="BM15">
        <f>'[51]Template '!$B$52</f>
        <v>0.47222222222222221</v>
      </c>
      <c r="BN15">
        <f>'[51]Template '!$B$53</f>
        <v>0.26666666666666666</v>
      </c>
      <c r="BO15">
        <f>'[51]Template '!$B$54</f>
        <v>0</v>
      </c>
      <c r="BP15">
        <f>'[51]Template '!$B$55</f>
        <v>0.1851851851851852</v>
      </c>
      <c r="BQ15">
        <f>'[51]Template '!$B$56</f>
        <v>0.80634920634920648</v>
      </c>
      <c r="BS15">
        <f>'[51]Template '!$B$74</f>
        <v>0.60909090909090913</v>
      </c>
      <c r="BT15" t="str">
        <f>'[51]Template '!$B$75</f>
        <v>n/a</v>
      </c>
      <c r="BU15">
        <f>'[51]Template '!$B$76</f>
        <v>7.1428571428571425E-2</v>
      </c>
      <c r="BV15">
        <f>'[51]Template '!$B$77</f>
        <v>0.70833333333333326</v>
      </c>
      <c r="BW15">
        <f>'[51]Template '!$B$78</f>
        <v>0.76190476190476186</v>
      </c>
      <c r="BY15">
        <f>'[51]Template '!$B$96</f>
        <v>0.5</v>
      </c>
      <c r="BZ15">
        <f>'[51]Template '!$B$97</f>
        <v>0.26666666666666666</v>
      </c>
      <c r="CA15">
        <f>'[51]Template '!$B$98</f>
        <v>0</v>
      </c>
      <c r="CB15">
        <f>'[51]Template '!$B$99</f>
        <v>0.88888888888888884</v>
      </c>
      <c r="CC15">
        <f>'[51]Template '!$B$100</f>
        <v>0.81825396825396834</v>
      </c>
      <c r="CF15">
        <f>'[51]Template '!$Z$30</f>
        <v>0</v>
      </c>
      <c r="CG15">
        <f>'[51]Template '!$AB$75</f>
        <v>0</v>
      </c>
      <c r="CH15">
        <f>'[51]Template '!$C$89</f>
        <v>0</v>
      </c>
      <c r="CI15">
        <f>'[51]Template '!$AF$75</f>
        <v>0</v>
      </c>
      <c r="CJ15">
        <f>'[51]Template '!$AR$97</f>
        <v>1</v>
      </c>
      <c r="CK15">
        <f>'[51]Template '!$AS$97</f>
        <v>0</v>
      </c>
      <c r="CL15">
        <f>'[51]Template '!$AZ$97</f>
        <v>1</v>
      </c>
      <c r="CM15">
        <f>'[51]Template '!$BB$97</f>
        <v>0</v>
      </c>
      <c r="CN15">
        <f>'[51]Template '!$AU$53</f>
        <v>1</v>
      </c>
      <c r="CO15">
        <f>'[51]Template '!$AV$53</f>
        <v>0</v>
      </c>
      <c r="CP15">
        <f>'[51]Template '!$AY$53</f>
        <v>0</v>
      </c>
      <c r="CQ15">
        <f>'[51]Template '!$AX$53</f>
        <v>0</v>
      </c>
      <c r="CR15">
        <f>'[51]Template '!$AZ$53</f>
        <v>0</v>
      </c>
      <c r="CS15">
        <f>'[51]Template '!$BF$53</f>
        <v>0</v>
      </c>
      <c r="CT15">
        <f t="shared" si="1"/>
        <v>0</v>
      </c>
      <c r="CU15">
        <f t="shared" si="2"/>
        <v>3</v>
      </c>
      <c r="CV15">
        <f t="shared" si="3"/>
        <v>3</v>
      </c>
      <c r="CY15" t="str">
        <f>'[51]Template '!$E$2</f>
        <v>A</v>
      </c>
      <c r="CZ15">
        <f>'[51]Template '!$B$13</f>
        <v>2</v>
      </c>
      <c r="DA15" t="str">
        <f>'[51]Template '!$D$2</f>
        <v>n/a</v>
      </c>
      <c r="DB15">
        <f>'[51]Template '!$D$3</f>
        <v>0</v>
      </c>
      <c r="DC15">
        <f>'[51]Template '!$F$2</f>
        <v>45457</v>
      </c>
      <c r="DE15">
        <f>'[51]Template '!$B$12</f>
        <v>20</v>
      </c>
      <c r="DF15" t="str">
        <f>'[51]Template '!$B$14</f>
        <v>9/22</v>
      </c>
      <c r="DG15" t="str">
        <f>'[51]Template '!$B$15</f>
        <v>2/23</v>
      </c>
      <c r="DH15">
        <f>'[51]Template '!$B$16</f>
        <v>24</v>
      </c>
      <c r="DI15">
        <f>'[51]Template '!$B$17</f>
        <v>0</v>
      </c>
      <c r="DJ15">
        <f>'[51]Template '!$B$18</f>
        <v>0</v>
      </c>
      <c r="DK15">
        <f>'[51]Template '!$B$19</f>
        <v>0</v>
      </c>
      <c r="DL15">
        <f>'[51]Template '!$B$20</f>
        <v>0</v>
      </c>
      <c r="DM15">
        <f>'[51]Template '!$B$21</f>
        <v>0</v>
      </c>
      <c r="DN15">
        <f>'[51]Template '!$B$22</f>
        <v>0</v>
      </c>
      <c r="DP15">
        <f>'[51]Template '!$I$13</f>
        <v>5</v>
      </c>
      <c r="DQ15">
        <f>'[51]Template '!$I$14</f>
        <v>5</v>
      </c>
      <c r="DR15">
        <f>'[51]Template '!$I$15</f>
        <v>4</v>
      </c>
      <c r="DS15">
        <f>'[51]Template '!$I$16</f>
        <v>5</v>
      </c>
      <c r="DT15">
        <f>'[51]Template '!$I$17</f>
        <v>4</v>
      </c>
      <c r="DU15">
        <f>'[51]Template '!$I$18</f>
        <v>5</v>
      </c>
      <c r="DV15">
        <f>'[51]Template '!$I$19</f>
        <v>5</v>
      </c>
      <c r="DW15">
        <f>'[51]Template '!$I$20</f>
        <v>4</v>
      </c>
      <c r="DX15">
        <f>'[51]Template '!$I$21</f>
        <v>3</v>
      </c>
      <c r="DY15">
        <f>'[51]Template '!$I$22</f>
        <v>3</v>
      </c>
      <c r="DZ15">
        <f>'[51]Template '!$I$23</f>
        <v>4</v>
      </c>
      <c r="EA15">
        <f>'[51]Template '!$I$24</f>
        <v>1.5</v>
      </c>
      <c r="ED15">
        <f>'[51]Template '!$L$13</f>
        <v>5</v>
      </c>
      <c r="EE15">
        <f>'[51]Template '!$L$14</f>
        <v>4</v>
      </c>
      <c r="EF15">
        <f>'[51]Template '!$L$15</f>
        <v>4</v>
      </c>
      <c r="EG15">
        <f>'[51]Template '!$L$16</f>
        <v>4</v>
      </c>
      <c r="EH15">
        <f>'[51]Template '!$L$17</f>
        <v>3</v>
      </c>
      <c r="EI15">
        <f>'[51]Template '!$L$18</f>
        <v>4</v>
      </c>
      <c r="EJ15">
        <f>'[51]Template '!$L$19</f>
        <v>5</v>
      </c>
      <c r="EK15">
        <f>'[51]Template '!$L$20</f>
        <v>5</v>
      </c>
      <c r="EL15">
        <f>'[51]Template '!$L$21</f>
        <v>3</v>
      </c>
      <c r="EM15">
        <f>'[51]Template '!$L$22</f>
        <v>3</v>
      </c>
      <c r="EN15">
        <f>'[51]Template '!$L$23</f>
        <v>4</v>
      </c>
      <c r="EQ15">
        <f>'[51]Template '!$O$13</f>
        <v>3</v>
      </c>
      <c r="ER15">
        <f>'[51]Template '!$O$14</f>
        <v>3</v>
      </c>
      <c r="ES15">
        <f>'[51]Template '!$O$15</f>
        <v>2</v>
      </c>
      <c r="ET15">
        <f>'[51]Template '!$O$16</f>
        <v>4</v>
      </c>
      <c r="EU15">
        <f>'[51]Template '!$O$17</f>
        <v>0</v>
      </c>
      <c r="EV15">
        <f>'[51]Template '!$O$18</f>
        <v>3</v>
      </c>
      <c r="EW15">
        <f>'[51]Template '!$O$19</f>
        <v>2</v>
      </c>
      <c r="EX15">
        <f>'[51]Template '!$O$20</f>
        <v>3</v>
      </c>
      <c r="EY15">
        <f>'[51]Template '!$O$21</f>
        <v>3</v>
      </c>
      <c r="EZ15">
        <f>'[51]Template '!$O$22</f>
        <v>3</v>
      </c>
      <c r="FA15">
        <f>'[51]Template '!$O$23</f>
        <v>3</v>
      </c>
      <c r="FL15">
        <f>'[51]Template '!$D$5</f>
        <v>0.43477182539682535</v>
      </c>
      <c r="FM15">
        <f>'[51]Template '!$D$6</f>
        <v>0.53768939393939386</v>
      </c>
      <c r="FN15">
        <f>'[51]Template '!$D$7</f>
        <v>0.34608465608465611</v>
      </c>
      <c r="FO15">
        <f>'[51]Template '!$D$8</f>
        <v>0.49476190476190479</v>
      </c>
      <c r="FP15">
        <f>'[51]Template '!$D$9</f>
        <v>0.45332694504569498</v>
      </c>
      <c r="FR15">
        <f>'[51]Template '!$E$5</f>
        <v>0.43017623716153131</v>
      </c>
      <c r="FS15">
        <f>'[51]Template '!$E$6</f>
        <v>0.49155844155844153</v>
      </c>
      <c r="FT15">
        <f>'[51]Template '!$E$7</f>
        <v>0.32988095238095239</v>
      </c>
      <c r="FU15">
        <f>'[51]Template '!$E$8</f>
        <v>0.42030303030303029</v>
      </c>
      <c r="FV15">
        <f>'[51]Template '!$E$9</f>
        <v>0.41797966535098885</v>
      </c>
    </row>
    <row r="16" spans="1:178" x14ac:dyDescent="0.2">
      <c r="A16" t="str">
        <f>'[52]Template '!$A$2</f>
        <v>M_071</v>
      </c>
      <c r="C16" t="str">
        <f t="shared" si="0"/>
        <v>M_071.xlsx</v>
      </c>
      <c r="E16" t="str">
        <f>'[52]Template '!$C$2</f>
        <v>mSTAT only</v>
      </c>
      <c r="G16">
        <f>'[52]Template '!$C$29</f>
        <v>0.3888888888888889</v>
      </c>
      <c r="H16" t="str">
        <f>'[52]Template '!$C$30</f>
        <v>n/a</v>
      </c>
      <c r="I16">
        <f>'[52]Template '!$C$31</f>
        <v>0.75</v>
      </c>
      <c r="J16">
        <f>'[52]Template '!$C$32</f>
        <v>0.66911764705882359</v>
      </c>
      <c r="K16">
        <f>'[52]Template '!$C$33</f>
        <v>0.62301587301587302</v>
      </c>
      <c r="M16">
        <f>'[52]Template '!$C$80</f>
        <v>1200</v>
      </c>
      <c r="N16">
        <f>'[52]Template '!$C$81</f>
        <v>30</v>
      </c>
      <c r="O16">
        <f>'[52]Template '!$C$82</f>
        <v>3</v>
      </c>
      <c r="P16">
        <f>'[52]Template '!$C$83</f>
        <v>1</v>
      </c>
      <c r="Q16">
        <f>'[52]Template '!$C$84</f>
        <v>3</v>
      </c>
      <c r="R16">
        <f>'[52]Template '!$C$85</f>
        <v>2</v>
      </c>
      <c r="T16">
        <f>'[52]Template '!$C$74</f>
        <v>0.24545454545454548</v>
      </c>
      <c r="U16" t="str">
        <f>'[52]Template '!$C$75</f>
        <v>n/a</v>
      </c>
      <c r="V16">
        <f>'[52]Template '!$C$76</f>
        <v>7.1428571428571425E-2</v>
      </c>
      <c r="W16">
        <f>'[52]Template '!$C$77</f>
        <v>0.52380952380952372</v>
      </c>
      <c r="X16">
        <f>'[52]Template '!$C$78</f>
        <v>0.42063492063492064</v>
      </c>
      <c r="Z16">
        <f>'[52]Template '!$C$80</f>
        <v>1200</v>
      </c>
      <c r="AA16">
        <f>'[52]Template '!$C$81</f>
        <v>30</v>
      </c>
      <c r="AB16">
        <f>'[52]Template '!$C$82</f>
        <v>3</v>
      </c>
      <c r="AC16">
        <f>'[52]Template '!$C$83</f>
        <v>1</v>
      </c>
      <c r="AD16">
        <f>'[52]Template '!$C$84</f>
        <v>3</v>
      </c>
      <c r="AE16">
        <f>'[52]Template '!$C$85</f>
        <v>2</v>
      </c>
      <c r="AG16">
        <f>'[52]Template '!$C$96</f>
        <v>0.75</v>
      </c>
      <c r="AH16">
        <f>'[52]Template '!$C$97</f>
        <v>0.25185185185185183</v>
      </c>
      <c r="AI16">
        <f>'[52]Template '!$C$98</f>
        <v>0</v>
      </c>
      <c r="AJ16">
        <f>'[52]Template '!$C$99</f>
        <v>0.69841269841269826</v>
      </c>
      <c r="AK16">
        <f>'[52]Template '!$C$100</f>
        <v>0.56904761904761914</v>
      </c>
      <c r="AM16">
        <f>'[52]Template '!$C$102</f>
        <v>1397</v>
      </c>
      <c r="AN16">
        <f>'[52]Template '!$C$103</f>
        <v>50</v>
      </c>
      <c r="AO16">
        <f>'[52]Template '!$C$104</f>
        <v>3</v>
      </c>
      <c r="AP16">
        <f>'[52]Template '!$C$105</f>
        <v>3</v>
      </c>
      <c r="AQ16">
        <f>'[52]Template '!$C$106</f>
        <v>4</v>
      </c>
      <c r="AR16">
        <f>'[52]Template '!$C$107</f>
        <v>3</v>
      </c>
      <c r="AT16">
        <f>'[52]Template '!$C$52</f>
        <v>0.7</v>
      </c>
      <c r="AU16">
        <f>'[52]Template '!$C$53</f>
        <v>0.25185185185185183</v>
      </c>
      <c r="AV16">
        <f>'[52]Template '!$C$54</f>
        <v>0.5</v>
      </c>
      <c r="AW16">
        <f>'[52]Template '!$C$55</f>
        <v>0.35416666666666669</v>
      </c>
      <c r="AX16">
        <f>'[52]Template '!$C$56</f>
        <v>0.63571428571428579</v>
      </c>
      <c r="AZ16">
        <f>'[52]Template '!$C$58</f>
        <v>1200</v>
      </c>
      <c r="BA16">
        <f>'[52]Template '!$C$59</f>
        <v>50</v>
      </c>
      <c r="BB16">
        <f>'[52]Template '!$C$60</f>
        <v>2</v>
      </c>
      <c r="BC16">
        <f>'[52]Template '!$C$61</f>
        <v>3</v>
      </c>
      <c r="BD16">
        <f>'[52]Template '!$C$62</f>
        <v>3</v>
      </c>
      <c r="BE16">
        <f>'[52]Template '!$C$63</f>
        <v>3</v>
      </c>
      <c r="BG16">
        <f>'[52]Template '!$B$29</f>
        <v>0.3888888888888889</v>
      </c>
      <c r="BH16" t="str">
        <f>'[52]Template '!$B$30</f>
        <v>n/a</v>
      </c>
      <c r="BI16">
        <f>'[52]Template '!$B$31</f>
        <v>0.75</v>
      </c>
      <c r="BJ16">
        <f>'[52]Template '!$B$32</f>
        <v>0.8125</v>
      </c>
      <c r="BK16">
        <f>'[52]Template '!$B$33</f>
        <v>0.62301587301587302</v>
      </c>
      <c r="BM16">
        <f>'[52]Template '!$B$52</f>
        <v>0.7</v>
      </c>
      <c r="BN16">
        <f>'[52]Template '!$B$53</f>
        <v>0.25185185185185183</v>
      </c>
      <c r="BO16">
        <f>'[52]Template '!$B$54</f>
        <v>0.5</v>
      </c>
      <c r="BP16">
        <f>'[52]Template '!$B$55</f>
        <v>0.43518518518518517</v>
      </c>
      <c r="BQ16">
        <f>'[52]Template '!$B$56</f>
        <v>0.63571428571428579</v>
      </c>
      <c r="BS16">
        <f>'[52]Template '!$B$74</f>
        <v>0.24545454545454548</v>
      </c>
      <c r="BT16" t="str">
        <f>'[52]Template '!$B$75</f>
        <v>n/a</v>
      </c>
      <c r="BU16">
        <f>'[52]Template '!$B$76</f>
        <v>7.1428571428571425E-2</v>
      </c>
      <c r="BV16">
        <f>'[52]Template '!$B$77</f>
        <v>0.45833333333333331</v>
      </c>
      <c r="BW16">
        <f>'[52]Template '!$B$78</f>
        <v>0.42063492063492064</v>
      </c>
      <c r="BY16">
        <f>'[52]Template '!$B$96</f>
        <v>0.75</v>
      </c>
      <c r="BZ16">
        <f>'[52]Template '!$B$97</f>
        <v>0.25185185185185183</v>
      </c>
      <c r="CA16">
        <f>'[52]Template '!$B$98</f>
        <v>0</v>
      </c>
      <c r="CB16">
        <f>'[52]Template '!$B$99</f>
        <v>0.88888888888888884</v>
      </c>
      <c r="CC16">
        <f>'[52]Template '!$B$100</f>
        <v>0.56904761904761914</v>
      </c>
      <c r="CF16">
        <f>'[52]Template '!$Z$30</f>
        <v>0</v>
      </c>
      <c r="CG16">
        <f>'[52]Template '!$AB$75</f>
        <v>0</v>
      </c>
      <c r="CH16">
        <f>'[52]Template '!$C$89</f>
        <v>0</v>
      </c>
      <c r="CI16">
        <f>'[52]Template '!$AF$75</f>
        <v>0</v>
      </c>
      <c r="CJ16">
        <f>'[52]Template '!$AR$97</f>
        <v>0</v>
      </c>
      <c r="CK16">
        <f>'[52]Template '!$AS$97</f>
        <v>1</v>
      </c>
      <c r="CL16">
        <f>'[52]Template '!$AZ$97</f>
        <v>1</v>
      </c>
      <c r="CM16">
        <f>'[52]Template '!$BB$97</f>
        <v>1</v>
      </c>
      <c r="CN16">
        <f>'[52]Template '!$AU$53</f>
        <v>0</v>
      </c>
      <c r="CO16">
        <f>'[52]Template '!$AV$53</f>
        <v>0</v>
      </c>
      <c r="CP16">
        <f>'[52]Template '!$AY$53</f>
        <v>0</v>
      </c>
      <c r="CQ16">
        <f>'[52]Template '!$AX$53</f>
        <v>0</v>
      </c>
      <c r="CR16">
        <f>'[52]Template '!$AZ$53</f>
        <v>0</v>
      </c>
      <c r="CS16">
        <f>'[52]Template '!$BF$53</f>
        <v>0</v>
      </c>
      <c r="CT16">
        <f t="shared" si="1"/>
        <v>0</v>
      </c>
      <c r="CU16">
        <f t="shared" si="2"/>
        <v>3</v>
      </c>
      <c r="CV16">
        <f t="shared" si="3"/>
        <v>3</v>
      </c>
      <c r="CY16" t="str">
        <f>'[52]Template '!$E$2</f>
        <v>B</v>
      </c>
      <c r="CZ16">
        <f>'[52]Template '!$B$13</f>
        <v>1</v>
      </c>
      <c r="DA16" t="str">
        <f>'[52]Template '!$D$2</f>
        <v>n/a</v>
      </c>
      <c r="DB16">
        <f>'[52]Template '!$D$3</f>
        <v>0</v>
      </c>
      <c r="DC16">
        <f>'[52]Template '!$F$2</f>
        <v>45457</v>
      </c>
      <c r="DE16">
        <f>'[52]Template '!$B$12</f>
        <v>21</v>
      </c>
      <c r="DF16" t="str">
        <f>'[52]Template '!$B$14</f>
        <v>11/23</v>
      </c>
      <c r="DG16" t="str">
        <f>'[52]Template '!$B$15</f>
        <v>3/24</v>
      </c>
      <c r="DH16">
        <f>'[52]Template '!$B$16</f>
        <v>3</v>
      </c>
      <c r="DI16">
        <f>'[52]Template '!$B$17</f>
        <v>0</v>
      </c>
      <c r="DJ16">
        <f>'[52]Template '!$B$18</f>
        <v>0</v>
      </c>
      <c r="DK16">
        <f>'[52]Template '!$B$19</f>
        <v>0</v>
      </c>
      <c r="DL16">
        <f>'[52]Template '!$B$20</f>
        <v>0</v>
      </c>
      <c r="DM16">
        <f>'[52]Template '!$B$21</f>
        <v>0</v>
      </c>
      <c r="DN16">
        <f>'[52]Template '!$B$22</f>
        <v>0</v>
      </c>
      <c r="DP16">
        <f>'[52]Template '!$I$13</f>
        <v>4</v>
      </c>
      <c r="DQ16">
        <f>'[52]Template '!$I$14</f>
        <v>4</v>
      </c>
      <c r="DR16">
        <f>'[52]Template '!$I$15</f>
        <v>5</v>
      </c>
      <c r="DS16">
        <f>'[52]Template '!$I$16</f>
        <v>4</v>
      </c>
      <c r="DT16">
        <f>'[52]Template '!$I$17</f>
        <v>5</v>
      </c>
      <c r="DU16">
        <f>'[52]Template '!$I$18</f>
        <v>3</v>
      </c>
      <c r="DV16">
        <f>'[52]Template '!$I$19</f>
        <v>5</v>
      </c>
      <c r="DW16">
        <f>'[52]Template '!$I$20</f>
        <v>3</v>
      </c>
      <c r="DX16">
        <f>'[52]Template '!$I$21</f>
        <v>3</v>
      </c>
      <c r="DY16">
        <f>'[52]Template '!$I$22</f>
        <v>4</v>
      </c>
      <c r="DZ16">
        <f>'[52]Template '!$I$23</f>
        <v>5</v>
      </c>
      <c r="EA16">
        <f>'[52]Template '!$I$24</f>
        <v>0</v>
      </c>
      <c r="ED16">
        <f>'[52]Template '!$L$13</f>
        <v>4</v>
      </c>
      <c r="EE16">
        <f>'[52]Template '!$L$14</f>
        <v>4</v>
      </c>
      <c r="EF16">
        <f>'[52]Template '!$L$15</f>
        <v>3</v>
      </c>
      <c r="EG16">
        <f>'[52]Template '!$L$16</f>
        <v>4</v>
      </c>
      <c r="EH16">
        <f>'[52]Template '!$L$17</f>
        <v>4</v>
      </c>
      <c r="EI16">
        <f>'[52]Template '!$L$18</f>
        <v>4</v>
      </c>
      <c r="EJ16">
        <f>'[52]Template '!$L$19</f>
        <v>5</v>
      </c>
      <c r="EK16">
        <f>'[52]Template '!$L$20</f>
        <v>3</v>
      </c>
      <c r="EL16">
        <f>'[52]Template '!$L$21</f>
        <v>3</v>
      </c>
      <c r="EM16">
        <f>'[52]Template '!$L$22</f>
        <v>5</v>
      </c>
      <c r="EN16">
        <f>'[52]Template '!$L$23</f>
        <v>5</v>
      </c>
      <c r="EQ16">
        <f>'[52]Template '!$O$13</f>
        <v>4</v>
      </c>
      <c r="ER16">
        <f>'[52]Template '!$O$14</f>
        <v>3</v>
      </c>
      <c r="ES16">
        <f>'[52]Template '!$O$15</f>
        <v>4</v>
      </c>
      <c r="ET16">
        <f>'[52]Template '!$O$16</f>
        <v>4</v>
      </c>
      <c r="EU16">
        <f>'[52]Template '!$O$17</f>
        <v>4</v>
      </c>
      <c r="EV16">
        <f>'[52]Template '!$O$18</f>
        <v>2</v>
      </c>
      <c r="EW16">
        <f>'[52]Template '!$O$19</f>
        <v>2</v>
      </c>
      <c r="EX16">
        <f>'[52]Template '!$O$20</f>
        <v>3</v>
      </c>
      <c r="EY16">
        <f>'[52]Template '!$O$21</f>
        <v>3</v>
      </c>
      <c r="EZ16">
        <f>'[52]Template '!$O$22</f>
        <v>3</v>
      </c>
      <c r="FA16">
        <f>'[52]Template '!$O$23</f>
        <v>4</v>
      </c>
      <c r="FL16">
        <f>'[52]Template '!$D$5</f>
        <v>0.64360119047619047</v>
      </c>
      <c r="FM16">
        <f>'[52]Template '!$D$6</f>
        <v>0.29896284271284274</v>
      </c>
      <c r="FN16">
        <f>'[52]Template '!$D$7</f>
        <v>0.50455026455026453</v>
      </c>
      <c r="FO16">
        <f>'[52]Template '!$D$8</f>
        <v>0.49195767195767193</v>
      </c>
      <c r="FP16">
        <f>'[52]Template '!$D$9</f>
        <v>0.4847679924242424</v>
      </c>
      <c r="FR16">
        <f>'[52]Template '!$E$5</f>
        <v>0.60775560224089631</v>
      </c>
      <c r="FS16">
        <f>'[52]Template '!$E$6</f>
        <v>0.3153318903318903</v>
      </c>
      <c r="FT16">
        <f>'[52]Template '!$E$7</f>
        <v>0.48834656084656086</v>
      </c>
      <c r="FU16">
        <f>'[52]Template '!$E$8</f>
        <v>0.45386243386243386</v>
      </c>
      <c r="FV16">
        <f>'[52]Template '!$E$9</f>
        <v>0.46632412182044536</v>
      </c>
    </row>
    <row r="17" spans="1:178" x14ac:dyDescent="0.2">
      <c r="A17" t="str">
        <f>'[53]Template '!$A$2</f>
        <v>M_070</v>
      </c>
      <c r="C17" t="str">
        <f t="shared" si="0"/>
        <v>M_070.xlsx</v>
      </c>
      <c r="E17" t="str">
        <f>'[53]Template '!$C$2</f>
        <v>mSTAT only</v>
      </c>
      <c r="G17">
        <f>'[53]Template '!$C$29</f>
        <v>0.88888888888888884</v>
      </c>
      <c r="H17" t="str">
        <f>'[53]Template '!$C$30</f>
        <v>n/a</v>
      </c>
      <c r="I17">
        <f>'[53]Template '!$C$31</f>
        <v>0.25</v>
      </c>
      <c r="J17">
        <f>'[53]Template '!$C$32</f>
        <v>0.63970588235294112</v>
      </c>
      <c r="K17">
        <f>'[53]Template '!$C$33</f>
        <v>0.37301587301587302</v>
      </c>
      <c r="M17">
        <f>'[53]Template '!$C$80</f>
        <v>1156</v>
      </c>
      <c r="N17">
        <f>'[53]Template '!$C$81</f>
        <v>10</v>
      </c>
      <c r="O17">
        <f>'[53]Template '!$C$82</f>
        <v>1</v>
      </c>
      <c r="P17">
        <f>'[53]Template '!$C$83</f>
        <v>1</v>
      </c>
      <c r="Q17">
        <f>'[53]Template '!$C$84</f>
        <v>2</v>
      </c>
      <c r="R17">
        <f>'[53]Template '!$C$85</f>
        <v>1</v>
      </c>
      <c r="T17">
        <f>'[53]Template '!$C$74</f>
        <v>0.60909090909090913</v>
      </c>
      <c r="U17" t="str">
        <f>'[53]Template '!$C$75</f>
        <v>n/a</v>
      </c>
      <c r="V17">
        <f>'[53]Template '!$C$76</f>
        <v>0.25</v>
      </c>
      <c r="W17">
        <f>'[53]Template '!$C$77</f>
        <v>0.47619047619047616</v>
      </c>
      <c r="X17">
        <f>'[53]Template '!$C$78</f>
        <v>0.3611111111111111</v>
      </c>
      <c r="Z17">
        <f>'[53]Template '!$C$80</f>
        <v>1156</v>
      </c>
      <c r="AA17">
        <f>'[53]Template '!$C$81</f>
        <v>10</v>
      </c>
      <c r="AB17">
        <f>'[53]Template '!$C$82</f>
        <v>1</v>
      </c>
      <c r="AC17">
        <f>'[53]Template '!$C$83</f>
        <v>1</v>
      </c>
      <c r="AD17">
        <f>'[53]Template '!$C$84</f>
        <v>2</v>
      </c>
      <c r="AE17">
        <f>'[53]Template '!$C$85</f>
        <v>1</v>
      </c>
      <c r="AG17">
        <f>'[53]Template '!$C$96</f>
        <v>0.25</v>
      </c>
      <c r="AH17">
        <f>'[53]Template '!$C$97</f>
        <v>0.2074074074074074</v>
      </c>
      <c r="AI17">
        <f>'[53]Template '!$C$98</f>
        <v>0.5</v>
      </c>
      <c r="AJ17">
        <f>'[53]Template '!$C$99</f>
        <v>0.31746031746031744</v>
      </c>
      <c r="AK17">
        <f>'[53]Template '!$C$100</f>
        <v>0.23730158730158726</v>
      </c>
      <c r="AM17">
        <f>'[53]Template '!$C$102</f>
        <v>1364</v>
      </c>
      <c r="AN17">
        <f>'[53]Template '!$C$103</f>
        <v>15</v>
      </c>
      <c r="AO17">
        <f>'[53]Template '!$C$104</f>
        <v>2</v>
      </c>
      <c r="AP17">
        <f>'[53]Template '!$C$105</f>
        <v>1</v>
      </c>
      <c r="AQ17">
        <f>'[53]Template '!$C$106</f>
        <v>2</v>
      </c>
      <c r="AR17">
        <f>'[53]Template '!$C$107</f>
        <v>1</v>
      </c>
      <c r="AT17">
        <f>'[53]Template '!$C$52</f>
        <v>0.75</v>
      </c>
      <c r="AU17">
        <f>'[53]Template '!$C$53</f>
        <v>0.2074074074074074</v>
      </c>
      <c r="AV17">
        <f>'[53]Template '!$C$54</f>
        <v>0.5</v>
      </c>
      <c r="AW17">
        <f>'[53]Template '!$C$55</f>
        <v>0.20833333333333334</v>
      </c>
      <c r="AX17">
        <f>'[53]Template '!$C$56</f>
        <v>0.28412698412698412</v>
      </c>
      <c r="AZ17">
        <f>'[53]Template '!$C$58</f>
        <v>1295</v>
      </c>
      <c r="BA17">
        <f>'[53]Template '!$C$59</f>
        <v>10</v>
      </c>
      <c r="BB17">
        <f>'[53]Template '!$C$60</f>
        <v>1</v>
      </c>
      <c r="BC17">
        <f>'[53]Template '!$C$61</f>
        <v>1</v>
      </c>
      <c r="BD17">
        <f>'[53]Template '!$C$62</f>
        <v>2</v>
      </c>
      <c r="BE17">
        <f>'[53]Template '!$C$63</f>
        <v>1</v>
      </c>
      <c r="BG17">
        <f>'[53]Template '!$B$29</f>
        <v>0.88888888888888884</v>
      </c>
      <c r="BH17" t="str">
        <f>'[53]Template '!$B$30</f>
        <v>n/a</v>
      </c>
      <c r="BI17">
        <f>'[53]Template '!$B$31</f>
        <v>0.25</v>
      </c>
      <c r="BJ17">
        <f>'[53]Template '!$B$32</f>
        <v>0.6875</v>
      </c>
      <c r="BK17">
        <f>'[53]Template '!$B$33</f>
        <v>0.37301587301587302</v>
      </c>
      <c r="BM17">
        <f>'[53]Template '!$B$52</f>
        <v>0.75</v>
      </c>
      <c r="BN17">
        <f>'[53]Template '!$B$53</f>
        <v>0.2074074074074074</v>
      </c>
      <c r="BO17">
        <f>'[53]Template '!$B$54</f>
        <v>0.5</v>
      </c>
      <c r="BP17">
        <f>'[53]Template '!$B$55</f>
        <v>0.24074074074074073</v>
      </c>
      <c r="BQ17">
        <f>'[53]Template '!$B$56</f>
        <v>0.28412698412698412</v>
      </c>
      <c r="BS17">
        <f>'[53]Template '!$B$74</f>
        <v>0.60909090909090913</v>
      </c>
      <c r="BT17" t="str">
        <f>'[53]Template '!$B$75</f>
        <v>n/a</v>
      </c>
      <c r="BU17">
        <f>'[53]Template '!$B$76</f>
        <v>0.25</v>
      </c>
      <c r="BV17">
        <f>'[53]Template '!$B$77</f>
        <v>0.45833333333333331</v>
      </c>
      <c r="BW17">
        <f>'[53]Template '!$B$78</f>
        <v>0.3611111111111111</v>
      </c>
      <c r="BY17">
        <f>'[53]Template '!$B$96</f>
        <v>0.25</v>
      </c>
      <c r="BZ17">
        <f>'[53]Template '!$B$97</f>
        <v>0.2074074074074074</v>
      </c>
      <c r="CA17">
        <f>'[53]Template '!$B$98</f>
        <v>0.5</v>
      </c>
      <c r="CB17">
        <f>'[53]Template '!$B$99</f>
        <v>0.22222222222222221</v>
      </c>
      <c r="CC17">
        <f>'[53]Template '!$B$100</f>
        <v>0.23730158730158726</v>
      </c>
      <c r="CF17">
        <f>'[53]Template '!$Z$30</f>
        <v>0</v>
      </c>
      <c r="CG17">
        <f>'[53]Template '!$AB$75</f>
        <v>0</v>
      </c>
      <c r="CH17">
        <f>'[53]Template '!$C$89</f>
        <v>0</v>
      </c>
      <c r="CI17">
        <f>'[53]Template '!$AF$75</f>
        <v>0</v>
      </c>
      <c r="CJ17">
        <f>'[53]Template '!$AR$97</f>
        <v>1</v>
      </c>
      <c r="CK17">
        <f>'[53]Template '!$AS$97</f>
        <v>0</v>
      </c>
      <c r="CL17">
        <f>'[53]Template '!$AZ$97</f>
        <v>0</v>
      </c>
      <c r="CM17">
        <f>'[53]Template '!$BB$97</f>
        <v>0</v>
      </c>
      <c r="CN17">
        <f>'[53]Template '!$AU$53</f>
        <v>0</v>
      </c>
      <c r="CO17">
        <f>'[53]Template '!$AV$53</f>
        <v>0</v>
      </c>
      <c r="CP17">
        <f>'[53]Template '!$AY$53</f>
        <v>0</v>
      </c>
      <c r="CQ17">
        <f>'[53]Template '!$AX$53</f>
        <v>0</v>
      </c>
      <c r="CR17">
        <f>'[53]Template '!$AZ$53</f>
        <v>0</v>
      </c>
      <c r="CS17">
        <f>'[53]Template '!$BF$53</f>
        <v>0</v>
      </c>
      <c r="CT17">
        <f t="shared" si="1"/>
        <v>0</v>
      </c>
      <c r="CU17">
        <f t="shared" si="2"/>
        <v>1</v>
      </c>
      <c r="CV17">
        <f t="shared" si="3"/>
        <v>1</v>
      </c>
      <c r="CY17" t="str">
        <f>'[53]Template '!$E$2</f>
        <v>A</v>
      </c>
      <c r="CZ17">
        <f>'[53]Template '!$B$13</f>
        <v>1</v>
      </c>
      <c r="DA17" t="str">
        <f>'[53]Template '!$D$2</f>
        <v>n/a</v>
      </c>
      <c r="DB17">
        <f>'[53]Template '!$D$3</f>
        <v>0</v>
      </c>
      <c r="DC17">
        <f>'[53]Template '!$F$2</f>
        <v>45461</v>
      </c>
      <c r="DE17">
        <f>'[53]Template '!$B$12</f>
        <v>20</v>
      </c>
      <c r="DF17" t="str">
        <f>'[53]Template '!$B$14</f>
        <v>11/21</v>
      </c>
      <c r="DG17" t="str">
        <f>'[53]Template '!$B$15</f>
        <v>3/22</v>
      </c>
      <c r="DH17">
        <f>'[53]Template '!$B$16</f>
        <v>24</v>
      </c>
      <c r="DI17">
        <f>'[53]Template '!$B$17</f>
        <v>0</v>
      </c>
      <c r="DJ17">
        <f>'[53]Template '!$B$18</f>
        <v>0</v>
      </c>
      <c r="DK17">
        <f>'[53]Template '!$B$19</f>
        <v>0</v>
      </c>
      <c r="DL17">
        <f>'[53]Template '!$B$20</f>
        <v>0</v>
      </c>
      <c r="DM17">
        <f>'[53]Template '!$B$21</f>
        <v>0</v>
      </c>
      <c r="DN17">
        <f>'[53]Template '!$B$22</f>
        <v>1</v>
      </c>
      <c r="DP17">
        <f>'[53]Template '!$I$13</f>
        <v>4</v>
      </c>
      <c r="DQ17">
        <f>'[53]Template '!$I$14</f>
        <v>4</v>
      </c>
      <c r="DR17">
        <f>'[53]Template '!$I$15</f>
        <v>4</v>
      </c>
      <c r="DS17">
        <f>'[53]Template '!$I$16</f>
        <v>2</v>
      </c>
      <c r="DT17">
        <f>'[53]Template '!$I$17</f>
        <v>4</v>
      </c>
      <c r="DU17">
        <f>'[53]Template '!$I$18</f>
        <v>3</v>
      </c>
      <c r="DV17">
        <f>'[53]Template '!$I$19</f>
        <v>5</v>
      </c>
      <c r="DW17">
        <f>'[53]Template '!$I$20</f>
        <v>4</v>
      </c>
      <c r="DX17">
        <f>'[53]Template '!$I$21</f>
        <v>3</v>
      </c>
      <c r="DY17">
        <f>'[53]Template '!$I$22</f>
        <v>2</v>
      </c>
      <c r="DZ17">
        <f>'[53]Template '!$I$23</f>
        <v>4</v>
      </c>
      <c r="EA17">
        <f>'[53]Template '!$I$24</f>
        <v>2</v>
      </c>
      <c r="ED17">
        <f>'[53]Template '!$L$13</f>
        <v>4</v>
      </c>
      <c r="EE17">
        <f>'[53]Template '!$L$14</f>
        <v>4</v>
      </c>
      <c r="EF17">
        <f>'[53]Template '!$L$15</f>
        <v>5</v>
      </c>
      <c r="EG17">
        <f>'[53]Template '!$L$16</f>
        <v>3</v>
      </c>
      <c r="EH17">
        <f>'[53]Template '!$L$17</f>
        <v>4</v>
      </c>
      <c r="EI17">
        <f>'[53]Template '!$L$18</f>
        <v>2</v>
      </c>
      <c r="EJ17">
        <f>'[53]Template '!$L$19</f>
        <v>5</v>
      </c>
      <c r="EK17">
        <f>'[53]Template '!$L$20</f>
        <v>4</v>
      </c>
      <c r="EL17">
        <f>'[53]Template '!$L$21</f>
        <v>5</v>
      </c>
      <c r="EM17">
        <f>'[53]Template '!$L$22</f>
        <v>3</v>
      </c>
      <c r="EN17">
        <f>'[53]Template '!$L$23</f>
        <v>4</v>
      </c>
      <c r="EQ17">
        <f>'[53]Template '!$O$13</f>
        <v>4</v>
      </c>
      <c r="ER17">
        <f>'[53]Template '!$O$14</f>
        <v>2</v>
      </c>
      <c r="ES17">
        <f>'[53]Template '!$O$15</f>
        <v>1</v>
      </c>
      <c r="ET17">
        <f>'[53]Template '!$O$16</f>
        <v>2</v>
      </c>
      <c r="EU17">
        <f>'[53]Template '!$O$17</f>
        <v>1</v>
      </c>
      <c r="EV17">
        <f>'[53]Template '!$O$18</f>
        <v>2</v>
      </c>
      <c r="EW17">
        <f>'[53]Template '!$O$19</f>
        <v>1</v>
      </c>
      <c r="EX17">
        <f>'[53]Template '!$O$20</f>
        <v>3</v>
      </c>
      <c r="EY17">
        <f>'[53]Template '!$O$21</f>
        <v>2</v>
      </c>
      <c r="EZ17">
        <f>'[53]Template '!$O$22</f>
        <v>1</v>
      </c>
      <c r="FA17">
        <f>'[53]Template '!$O$23</f>
        <v>1</v>
      </c>
      <c r="FL17">
        <f>'[53]Template '!$D$5</f>
        <v>0.54985119047619047</v>
      </c>
      <c r="FM17">
        <f>'[53]Template '!$D$6</f>
        <v>0.41963383838383839</v>
      </c>
      <c r="FN17">
        <f>'[53]Template '!$D$7</f>
        <v>0.39645502645502645</v>
      </c>
      <c r="FO17">
        <f>'[53]Template '!$D$8</f>
        <v>0.28338624338624341</v>
      </c>
      <c r="FP17">
        <f>'[53]Template '!$D$9</f>
        <v>0.41233157467532466</v>
      </c>
      <c r="FR17">
        <f>'[53]Template '!$E$5</f>
        <v>0.53790266106442575</v>
      </c>
      <c r="FS17">
        <f>'[53]Template '!$E$6</f>
        <v>0.42409812409812409</v>
      </c>
      <c r="FT17">
        <f>'[53]Template '!$E$7</f>
        <v>0.38997354497354497</v>
      </c>
      <c r="FU17">
        <f>'[53]Template '!$E$8</f>
        <v>0.30243386243386244</v>
      </c>
      <c r="FV17">
        <f>'[53]Template '!$E$9</f>
        <v>0.4136020481424893</v>
      </c>
    </row>
    <row r="18" spans="1:178" s="28" customFormat="1" x14ac:dyDescent="0.2">
      <c r="A18" s="28" t="str">
        <f>'[54]Template '!$A$2</f>
        <v>M_069</v>
      </c>
      <c r="C18" s="28" t="str">
        <f t="shared" si="0"/>
        <v>M_069.xlsx</v>
      </c>
      <c r="E18" s="28" t="str">
        <f>'[54]Template '!$C$2</f>
        <v>mSTAT only</v>
      </c>
      <c r="G18" s="28">
        <f>'[54]Template '!$C$29</f>
        <v>0.3888888888888889</v>
      </c>
      <c r="H18" s="28" t="str">
        <f>'[54]Template '!$C$30</f>
        <v>n/a</v>
      </c>
      <c r="I18" s="28">
        <f>'[54]Template '!$C$31</f>
        <v>0.58333333333333326</v>
      </c>
      <c r="J18" s="28">
        <f>'[54]Template '!$C$32</f>
        <v>0.63235294117647056</v>
      </c>
      <c r="K18" s="28">
        <f>'[54]Template '!$C$33</f>
        <v>0.27380952380952378</v>
      </c>
      <c r="M18" s="28">
        <f>'[54]Template '!$C$80</f>
        <v>1200</v>
      </c>
      <c r="N18" s="28">
        <f>'[54]Template '!$C$81</f>
        <v>15</v>
      </c>
      <c r="O18" s="28">
        <f>'[54]Template '!$C$82</f>
        <v>2</v>
      </c>
      <c r="P18" s="28">
        <f>'[54]Template '!$C$83</f>
        <v>1</v>
      </c>
      <c r="Q18" s="28">
        <f>'[54]Template '!$C$84</f>
        <v>1</v>
      </c>
      <c r="R18" s="28">
        <f>'[54]Template '!$C$85</f>
        <v>1</v>
      </c>
      <c r="T18" s="28">
        <f>'[54]Template '!$C$74</f>
        <v>0.33636363636363636</v>
      </c>
      <c r="U18" s="28" t="str">
        <f>'[54]Template '!$C$75</f>
        <v>n/a</v>
      </c>
      <c r="V18" s="28">
        <f>'[54]Template '!$C$76</f>
        <v>0.3214285714285714</v>
      </c>
      <c r="W18" s="28">
        <f>'[54]Template '!$C$77</f>
        <v>0.45238095238095233</v>
      </c>
      <c r="X18" s="28">
        <f>'[54]Template '!$C$78</f>
        <v>0.49603174603174605</v>
      </c>
      <c r="Z18" s="28">
        <f>'[54]Template '!$C$80</f>
        <v>1200</v>
      </c>
      <c r="AA18" s="28">
        <f>'[54]Template '!$C$81</f>
        <v>15</v>
      </c>
      <c r="AB18" s="28">
        <f>'[54]Template '!$C$82</f>
        <v>2</v>
      </c>
      <c r="AC18" s="28">
        <f>'[54]Template '!$C$83</f>
        <v>1</v>
      </c>
      <c r="AD18" s="28">
        <f>'[54]Template '!$C$84</f>
        <v>1</v>
      </c>
      <c r="AE18" s="28">
        <f>'[54]Template '!$C$85</f>
        <v>1</v>
      </c>
      <c r="AG18" s="28">
        <f>'[54]Template '!$C$96</f>
        <v>0.75</v>
      </c>
      <c r="AH18" s="28">
        <f>'[54]Template '!$C$97</f>
        <v>0.27407407407407408</v>
      </c>
      <c r="AI18" s="28">
        <f>'[54]Template '!$C$98</f>
        <v>0</v>
      </c>
      <c r="AJ18" s="28">
        <f>'[54]Template '!$C$99</f>
        <v>0.39826839826839827</v>
      </c>
      <c r="AK18" s="28">
        <f>'[54]Template '!$C$100</f>
        <v>0.24920634920634921</v>
      </c>
      <c r="AM18" s="28">
        <f>'[54]Template '!$C$102</f>
        <v>1320</v>
      </c>
      <c r="AN18" s="28">
        <f>'[54]Template '!$C$103</f>
        <v>17</v>
      </c>
      <c r="AO18" s="28">
        <f>'[54]Template '!$C$104</f>
        <v>2</v>
      </c>
      <c r="AP18" s="28">
        <f>'[54]Template '!$C$105</f>
        <v>1</v>
      </c>
      <c r="AQ18" s="28">
        <f>'[54]Template '!$C$106</f>
        <v>1</v>
      </c>
      <c r="AR18" s="28">
        <f>'[54]Template '!$C$107</f>
        <v>1</v>
      </c>
      <c r="AT18" s="28">
        <f>'[54]Template '!$C$52</f>
        <v>0.65</v>
      </c>
      <c r="AU18" s="28">
        <f>'[54]Template '!$C$53</f>
        <v>0.27407407407407408</v>
      </c>
      <c r="AV18" s="28">
        <f>'[54]Template '!$C$54</f>
        <v>0.5</v>
      </c>
      <c r="AW18" s="28">
        <f>'[54]Template '!$C$55</f>
        <v>0.29166666666666669</v>
      </c>
      <c r="AX18" s="28">
        <f>'[54]Template '!$C$56</f>
        <v>0.43174603174603171</v>
      </c>
      <c r="AZ18" s="28">
        <f>'[54]Template '!$C$58</f>
        <v>0</v>
      </c>
      <c r="BA18" s="28">
        <f>'[54]Template '!$C$59</f>
        <v>20</v>
      </c>
      <c r="BB18" s="28">
        <f>'[54]Template '!$C$60</f>
        <v>2</v>
      </c>
      <c r="BC18" s="28">
        <f>'[54]Template '!$C$61</f>
        <v>2</v>
      </c>
      <c r="BD18" s="28">
        <f>'[54]Template '!$C$62</f>
        <v>2</v>
      </c>
      <c r="BE18" s="28">
        <f>'[54]Template '!$C$63</f>
        <v>1</v>
      </c>
      <c r="BG18" s="28">
        <f>'[54]Template '!$B$29</f>
        <v>0.3888888888888889</v>
      </c>
      <c r="BH18" s="28" t="str">
        <f>'[54]Template '!$B$30</f>
        <v>n/a</v>
      </c>
      <c r="BI18" s="28">
        <f>'[54]Template '!$B$31</f>
        <v>0.58333333333333326</v>
      </c>
      <c r="BJ18" s="28">
        <f>'[54]Template '!$B$32</f>
        <v>0.625</v>
      </c>
      <c r="BK18" s="28">
        <f>'[54]Template '!$B$33</f>
        <v>0.27380952380952378</v>
      </c>
      <c r="BM18" s="28">
        <f>'[54]Template '!$B$52</f>
        <v>0.65</v>
      </c>
      <c r="BN18" s="28">
        <f>'[54]Template '!$B$53</f>
        <v>0.27407407407407408</v>
      </c>
      <c r="BO18" s="28">
        <f>'[54]Template '!$B$54</f>
        <v>0.5</v>
      </c>
      <c r="BP18" s="28">
        <f>'[54]Template '!$B$55</f>
        <v>0.33333333333333331</v>
      </c>
      <c r="BQ18" s="28">
        <f>'[54]Template '!$B$56</f>
        <v>0.43174603174603171</v>
      </c>
      <c r="BS18" s="28">
        <f>'[54]Template '!$B$74</f>
        <v>0.33636363636363636</v>
      </c>
      <c r="BT18" s="28" t="str">
        <f>'[54]Template '!$B$75</f>
        <v>n/a</v>
      </c>
      <c r="BU18" s="28">
        <f>'[54]Template '!$B$76</f>
        <v>0.3214285714285714</v>
      </c>
      <c r="BV18" s="28">
        <f>'[54]Template '!$B$77</f>
        <v>0.33333333333333331</v>
      </c>
      <c r="BW18" s="28">
        <f>'[54]Template '!$B$78</f>
        <v>0.49603174603174605</v>
      </c>
      <c r="BY18" s="28">
        <f>'[54]Template '!$B$96</f>
        <v>0.75</v>
      </c>
      <c r="BZ18" s="28">
        <f>'[54]Template '!$B$97</f>
        <v>0.27407407407407408</v>
      </c>
      <c r="CA18" s="28">
        <f>'[54]Template '!$B$98</f>
        <v>0</v>
      </c>
      <c r="CB18" s="28">
        <f>'[54]Template '!$B$99</f>
        <v>0.38888888888888884</v>
      </c>
      <c r="CC18" s="28">
        <f>'[54]Template '!$B$100</f>
        <v>0.24920634920634921</v>
      </c>
      <c r="CF18" s="28">
        <f>'[54]Template '!$Z$30</f>
        <v>1</v>
      </c>
      <c r="CG18" s="28">
        <f>'[54]Template '!$AB$75</f>
        <v>0</v>
      </c>
      <c r="CH18" s="28">
        <f>'[54]Template '!$C$89</f>
        <v>0</v>
      </c>
      <c r="CI18" s="28">
        <f>'[54]Template '!$AF$75</f>
        <v>0</v>
      </c>
      <c r="CJ18" s="28">
        <f>'[54]Template '!$AR$97</f>
        <v>1</v>
      </c>
      <c r="CK18" s="28">
        <f>'[54]Template '!$AS$97</f>
        <v>0</v>
      </c>
      <c r="CL18" s="28">
        <f>'[54]Template '!$AZ$97</f>
        <v>1</v>
      </c>
      <c r="CM18" s="28">
        <f>'[54]Template '!$BB$97</f>
        <v>1</v>
      </c>
      <c r="CN18" s="28">
        <f>'[54]Template '!$AU$53</f>
        <v>1</v>
      </c>
      <c r="CO18" s="28">
        <f>'[54]Template '!$AV$53</f>
        <v>1</v>
      </c>
      <c r="CP18" s="28">
        <f>'[54]Template '!$AY$53</f>
        <v>1</v>
      </c>
      <c r="CQ18" s="28">
        <f>'[54]Template '!$AX$53</f>
        <v>1</v>
      </c>
      <c r="CR18" s="28">
        <f>'[54]Template '!$AZ$53</f>
        <v>0</v>
      </c>
      <c r="CS18" s="28">
        <f>'[54]Template '!$BF$53</f>
        <v>0</v>
      </c>
      <c r="CT18" s="28">
        <f t="shared" si="1"/>
        <v>1</v>
      </c>
      <c r="CU18" s="28">
        <f t="shared" si="2"/>
        <v>7</v>
      </c>
      <c r="CV18" s="28">
        <f t="shared" si="3"/>
        <v>8</v>
      </c>
      <c r="CY18" s="28" t="str">
        <f>'[54]Template '!$E$2</f>
        <v>B</v>
      </c>
      <c r="CZ18" s="28">
        <f>'[54]Template '!$B$13</f>
        <v>1</v>
      </c>
      <c r="DA18" s="28" t="str">
        <f>'[54]Template '!$D$2</f>
        <v>n/a</v>
      </c>
      <c r="DB18" s="28">
        <f>'[54]Template '!$D$3</f>
        <v>0</v>
      </c>
      <c r="DC18" s="28">
        <f>'[54]Template '!$F$2</f>
        <v>45461</v>
      </c>
      <c r="DE18" s="28">
        <f>'[54]Template '!$B$12</f>
        <v>23</v>
      </c>
      <c r="DF18" s="28" t="str">
        <f>'[54]Template '!$B$14</f>
        <v>8/19</v>
      </c>
      <c r="DG18" s="28" t="str">
        <f>'[54]Template '!$B$15</f>
        <v>3/23</v>
      </c>
      <c r="DH18" s="28">
        <f>'[54]Template '!$B$16</f>
        <v>12</v>
      </c>
      <c r="DI18" s="28">
        <f>'[54]Template '!$B$17</f>
        <v>0</v>
      </c>
      <c r="DJ18" s="28">
        <f>'[54]Template '!$B$18</f>
        <v>0</v>
      </c>
      <c r="DK18" s="28">
        <f>'[54]Template '!$B$19</f>
        <v>0</v>
      </c>
      <c r="DL18" s="28">
        <f>'[54]Template '!$B$20</f>
        <v>0</v>
      </c>
      <c r="DM18" s="28">
        <f>'[54]Template '!$B$21</f>
        <v>0</v>
      </c>
      <c r="DN18" s="28">
        <f>'[54]Template '!$B$22</f>
        <v>0</v>
      </c>
      <c r="DP18" s="28">
        <f>'[54]Template '!$I$13</f>
        <v>4</v>
      </c>
      <c r="DQ18" s="28">
        <f>'[54]Template '!$I$14</f>
        <v>4</v>
      </c>
      <c r="DR18" s="28">
        <f>'[54]Template '!$I$15</f>
        <v>4</v>
      </c>
      <c r="DS18" s="28">
        <f>'[54]Template '!$I$16</f>
        <v>4</v>
      </c>
      <c r="DT18" s="28">
        <f>'[54]Template '!$I$17</f>
        <v>4</v>
      </c>
      <c r="DU18" s="28">
        <f>'[54]Template '!$I$18</f>
        <v>4</v>
      </c>
      <c r="DV18" s="28">
        <f>'[54]Template '!$I$19</f>
        <v>5</v>
      </c>
      <c r="DW18" s="28">
        <f>'[54]Template '!$I$20</f>
        <v>4</v>
      </c>
      <c r="DX18" s="28">
        <f>'[54]Template '!$I$21</f>
        <v>3</v>
      </c>
      <c r="DY18" s="28">
        <f>'[54]Template '!$I$22</f>
        <v>3</v>
      </c>
      <c r="DZ18" s="28">
        <f>'[54]Template '!$I$23</f>
        <v>4</v>
      </c>
      <c r="EA18" s="28">
        <f>'[54]Template '!$I$24</f>
        <v>1</v>
      </c>
      <c r="ED18" s="28">
        <f>'[54]Template '!$L$13</f>
        <v>4</v>
      </c>
      <c r="EE18" s="28">
        <f>'[54]Template '!$L$14</f>
        <v>3</v>
      </c>
      <c r="EF18" s="28">
        <f>'[54]Template '!$L$15</f>
        <v>4</v>
      </c>
      <c r="EG18" s="28">
        <f>'[54]Template '!$L$16</f>
        <v>2</v>
      </c>
      <c r="EH18" s="28">
        <f>'[54]Template '!$L$17</f>
        <v>3</v>
      </c>
      <c r="EI18" s="28">
        <f>'[54]Template '!$L$18</f>
        <v>3</v>
      </c>
      <c r="EJ18" s="28">
        <f>'[54]Template '!$L$19</f>
        <v>5</v>
      </c>
      <c r="EK18" s="28">
        <f>'[54]Template '!$L$20</f>
        <v>3</v>
      </c>
      <c r="EL18" s="28">
        <f>'[54]Template '!$L$21</f>
        <v>2</v>
      </c>
      <c r="EM18" s="28">
        <f>'[54]Template '!$L$22</f>
        <v>3</v>
      </c>
      <c r="EN18" s="28">
        <f>'[54]Template '!$L$23</f>
        <v>4</v>
      </c>
      <c r="EQ18" s="28">
        <f>'[54]Template '!$O$13</f>
        <v>4</v>
      </c>
      <c r="ER18" s="28">
        <f>'[54]Template '!$O$14</f>
        <v>3</v>
      </c>
      <c r="ES18" s="28">
        <f>'[54]Template '!$O$15</f>
        <v>3</v>
      </c>
      <c r="ET18" s="28">
        <f>'[54]Template '!$O$16</f>
        <v>2</v>
      </c>
      <c r="EU18" s="28">
        <f>'[54]Template '!$O$17</f>
        <v>4</v>
      </c>
      <c r="EV18" s="28">
        <f>'[54]Template '!$O$18</f>
        <v>2</v>
      </c>
      <c r="EW18" s="28">
        <f>'[54]Template '!$O$19</f>
        <v>3</v>
      </c>
      <c r="EX18" s="28">
        <f>'[54]Template '!$O$20</f>
        <v>3</v>
      </c>
      <c r="EY18" s="28">
        <f>'[54]Template '!$O$21</f>
        <v>2</v>
      </c>
      <c r="EZ18" s="28">
        <f>'[54]Template '!$O$22</f>
        <v>2</v>
      </c>
      <c r="FA18" s="28">
        <f>'[54]Template '!$O$23</f>
        <v>2</v>
      </c>
      <c r="FL18" s="28">
        <f>'[54]Template '!$D$5</f>
        <v>0.46775793650793646</v>
      </c>
      <c r="FM18" s="28">
        <f>'[54]Template '!$D$6</f>
        <v>0.37178932178932178</v>
      </c>
      <c r="FN18" s="28">
        <f>'[54]Template '!$D$7</f>
        <v>0.43783068783068779</v>
      </c>
      <c r="FO18" s="28">
        <f>'[54]Template '!$D$8</f>
        <v>0.33243386243386241</v>
      </c>
      <c r="FP18" s="28">
        <f>'[54]Template '!$D$9</f>
        <v>0.40245295214045218</v>
      </c>
      <c r="FR18" s="28">
        <f>'[54]Template '!$E$5</f>
        <v>0.4695961718020541</v>
      </c>
      <c r="FS18" s="28">
        <f>'[54]Template '!$E$6</f>
        <v>0.40155122655122655</v>
      </c>
      <c r="FT18" s="28">
        <f>'[54]Template '!$E$7</f>
        <v>0.42949735449735449</v>
      </c>
      <c r="FU18" s="28">
        <f>'[54]Template '!$E$8</f>
        <v>0.33430976430976433</v>
      </c>
      <c r="FV18" s="28">
        <f>'[54]Template '!$E$9</f>
        <v>0.40873862929009991</v>
      </c>
    </row>
    <row r="19" spans="1:178" x14ac:dyDescent="0.2">
      <c r="A19" t="str">
        <f>'[55]Template '!$A$2</f>
        <v>M_068</v>
      </c>
      <c r="C19" t="str">
        <f t="shared" si="0"/>
        <v>M_068.xlsx</v>
      </c>
      <c r="E19" t="str">
        <f>'[55]Template '!$C$2</f>
        <v>mSTAT only</v>
      </c>
      <c r="G19">
        <f>'[55]Template '!$C$29</f>
        <v>0.3888888888888889</v>
      </c>
      <c r="H19" t="str">
        <f>'[55]Template '!$C$30</f>
        <v>n/a</v>
      </c>
      <c r="I19">
        <f>'[55]Template '!$C$31</f>
        <v>0.16666666666666666</v>
      </c>
      <c r="J19">
        <f>'[55]Template '!$C$32</f>
        <v>0.60294117647058831</v>
      </c>
      <c r="K19">
        <f>'[55]Template '!$C$33</f>
        <v>0.79365079365079361</v>
      </c>
      <c r="M19">
        <f>'[55]Template '!$C$80</f>
        <v>1200</v>
      </c>
      <c r="N19">
        <f>'[55]Template '!$C$81</f>
        <v>50</v>
      </c>
      <c r="O19">
        <f>'[55]Template '!$C$82</f>
        <v>3</v>
      </c>
      <c r="P19">
        <f>'[55]Template '!$C$83</f>
        <v>3</v>
      </c>
      <c r="Q19">
        <f>'[55]Template '!$C$84</f>
        <v>4</v>
      </c>
      <c r="R19">
        <f>'[55]Template '!$C$85</f>
        <v>2</v>
      </c>
      <c r="T19">
        <f>'[55]Template '!$C$74</f>
        <v>0.7</v>
      </c>
      <c r="U19" t="str">
        <f>'[55]Template '!$C$75</f>
        <v>n/a</v>
      </c>
      <c r="V19">
        <f>'[55]Template '!$C$76</f>
        <v>0.3214285714285714</v>
      </c>
      <c r="W19">
        <f>'[55]Template '!$C$77</f>
        <v>0.47619047619047616</v>
      </c>
      <c r="X19">
        <f>'[55]Template '!$C$78</f>
        <v>0.82936507936507919</v>
      </c>
      <c r="Z19">
        <f>'[55]Template '!$C$80</f>
        <v>1200</v>
      </c>
      <c r="AA19">
        <f>'[55]Template '!$C$81</f>
        <v>50</v>
      </c>
      <c r="AB19">
        <f>'[55]Template '!$C$82</f>
        <v>3</v>
      </c>
      <c r="AC19">
        <f>'[55]Template '!$C$83</f>
        <v>3</v>
      </c>
      <c r="AD19">
        <f>'[55]Template '!$C$84</f>
        <v>4</v>
      </c>
      <c r="AE19">
        <f>'[55]Template '!$C$85</f>
        <v>2</v>
      </c>
      <c r="AG19">
        <f>'[55]Template '!$C$96</f>
        <v>0.75</v>
      </c>
      <c r="AH19">
        <f>'[55]Template '!$C$97</f>
        <v>0.24444444444444446</v>
      </c>
      <c r="AI19">
        <f>'[55]Template '!$C$98</f>
        <v>0.5</v>
      </c>
      <c r="AJ19">
        <f>'[55]Template '!$C$99</f>
        <v>0.56421356421356428</v>
      </c>
      <c r="AK19">
        <f>'[55]Template '!$C$100</f>
        <v>0.88571428571428568</v>
      </c>
      <c r="AM19">
        <f>'[55]Template '!$C$102</f>
        <v>1200</v>
      </c>
      <c r="AN19">
        <f>'[55]Template '!$C$103</f>
        <v>65</v>
      </c>
      <c r="AO19">
        <f>'[55]Template '!$C$104</f>
        <v>3</v>
      </c>
      <c r="AP19">
        <f>'[55]Template '!$C$105</f>
        <v>2</v>
      </c>
      <c r="AQ19">
        <f>'[55]Template '!$C$106</f>
        <v>4</v>
      </c>
      <c r="AR19">
        <f>'[55]Template '!$C$107</f>
        <v>3</v>
      </c>
      <c r="AT19">
        <f>'[55]Template '!$C$52</f>
        <v>0.55555555555555558</v>
      </c>
      <c r="AU19">
        <f>'[55]Template '!$C$53</f>
        <v>0.24444444444444446</v>
      </c>
      <c r="AV19">
        <f>'[55]Template '!$C$54</f>
        <v>0</v>
      </c>
      <c r="AW19">
        <f>'[55]Template '!$C$55</f>
        <v>0.3125</v>
      </c>
      <c r="AX19">
        <f>'[55]Template '!$C$56</f>
        <v>0.80634920634920648</v>
      </c>
      <c r="AZ19">
        <f>'[55]Template '!$C$58</f>
        <v>1200</v>
      </c>
      <c r="BA19">
        <f>'[55]Template '!$C$59</f>
        <v>60</v>
      </c>
      <c r="BB19">
        <f>'[55]Template '!$C$60</f>
        <v>3</v>
      </c>
      <c r="BC19">
        <f>'[55]Template '!$C$61</f>
        <v>2</v>
      </c>
      <c r="BD19">
        <f>'[55]Template '!$C$62</f>
        <v>4</v>
      </c>
      <c r="BE19">
        <f>'[55]Template '!$C$63</f>
        <v>2</v>
      </c>
      <c r="BG19">
        <f>'[55]Template '!$B$29</f>
        <v>0.3888888888888889</v>
      </c>
      <c r="BH19" t="str">
        <f>'[55]Template '!$B$30</f>
        <v>n/a</v>
      </c>
      <c r="BI19">
        <f>'[55]Template '!$B$31</f>
        <v>0.16666666666666666</v>
      </c>
      <c r="BJ19">
        <f>'[55]Template '!$B$32</f>
        <v>0.6875</v>
      </c>
      <c r="BK19">
        <f>'[55]Template '!$B$33</f>
        <v>0.79365079365079361</v>
      </c>
      <c r="BM19">
        <f>'[55]Template '!$B$52</f>
        <v>0.47222222222222221</v>
      </c>
      <c r="BN19">
        <f>'[55]Template '!$B$53</f>
        <v>0.24444444444444446</v>
      </c>
      <c r="BO19">
        <f>'[55]Template '!$B$54</f>
        <v>0</v>
      </c>
      <c r="BP19">
        <f>'[55]Template '!$B$55</f>
        <v>0.3611111111111111</v>
      </c>
      <c r="BQ19">
        <f>'[55]Template '!$B$56</f>
        <v>0.80634920634920648</v>
      </c>
      <c r="BS19">
        <f>'[55]Template '!$B$74</f>
        <v>0.7</v>
      </c>
      <c r="BT19" t="str">
        <f>'[55]Template '!$B$75</f>
        <v>n/a</v>
      </c>
      <c r="BU19">
        <f>'[55]Template '!$B$76</f>
        <v>0.3214285714285714</v>
      </c>
      <c r="BV19">
        <f>'[55]Template '!$B$77</f>
        <v>0.45833333333333331</v>
      </c>
      <c r="BW19">
        <f>'[55]Template '!$B$78</f>
        <v>0.82936507936507919</v>
      </c>
      <c r="BY19">
        <f>'[55]Template '!$B$96</f>
        <v>0.75</v>
      </c>
      <c r="BZ19">
        <f>'[55]Template '!$B$97</f>
        <v>0.24444444444444446</v>
      </c>
      <c r="CA19">
        <f>'[55]Template '!$B$98</f>
        <v>0.5</v>
      </c>
      <c r="CB19">
        <f>'[55]Template '!$B$99</f>
        <v>0.88888888888888884</v>
      </c>
      <c r="CC19">
        <f>'[55]Template '!$B$100</f>
        <v>0.88571428571428568</v>
      </c>
      <c r="CF19">
        <f>'[55]Template '!$Z$30</f>
        <v>0</v>
      </c>
      <c r="CG19">
        <f>'[55]Template '!$AB$75</f>
        <v>0</v>
      </c>
      <c r="CH19">
        <f>'[55]Template '!$C$89</f>
        <v>0</v>
      </c>
      <c r="CI19">
        <f>'[55]Template '!$AF$75</f>
        <v>0</v>
      </c>
      <c r="CJ19">
        <f>'[55]Template '!$AR$97</f>
        <v>1</v>
      </c>
      <c r="CK19">
        <f>'[55]Template '!$AS$97</f>
        <v>1</v>
      </c>
      <c r="CL19">
        <f>'[55]Template '!$AZ$97</f>
        <v>1</v>
      </c>
      <c r="CM19">
        <f>'[55]Template '!$BB$97</f>
        <v>0</v>
      </c>
      <c r="CN19">
        <f>'[55]Template '!$AU$53</f>
        <v>0</v>
      </c>
      <c r="CO19">
        <f>'[55]Template '!$AV$53</f>
        <v>0</v>
      </c>
      <c r="CP19">
        <f>'[55]Template '!$AY$53</f>
        <v>0</v>
      </c>
      <c r="CQ19">
        <f>'[55]Template '!$AX$53</f>
        <v>0</v>
      </c>
      <c r="CR19">
        <f>'[55]Template '!$AZ$53</f>
        <v>0</v>
      </c>
      <c r="CS19">
        <f>'[55]Template '!$BF$53</f>
        <v>0</v>
      </c>
      <c r="CT19">
        <f t="shared" si="1"/>
        <v>0</v>
      </c>
      <c r="CU19">
        <f t="shared" si="2"/>
        <v>3</v>
      </c>
      <c r="CV19">
        <f t="shared" si="3"/>
        <v>3</v>
      </c>
      <c r="CY19" t="str">
        <f>'[55]Template '!$E$2</f>
        <v>A</v>
      </c>
      <c r="CZ19">
        <f>'[55]Template '!$B$13</f>
        <v>2</v>
      </c>
      <c r="DA19" t="str">
        <f>'[55]Template '!$D$2</f>
        <v>n/a</v>
      </c>
      <c r="DB19">
        <f>'[55]Template '!$D$3</f>
        <v>0</v>
      </c>
      <c r="DC19">
        <f>'[55]Template '!$F$2</f>
        <v>45464</v>
      </c>
      <c r="DE19">
        <f>'[55]Template '!$B$12</f>
        <v>21</v>
      </c>
      <c r="DF19" t="str">
        <f>'[55]Template '!$B$14</f>
        <v>9/20</v>
      </c>
      <c r="DG19" t="str">
        <f>'[55]Template '!$B$15</f>
        <v>10/21</v>
      </c>
      <c r="DH19">
        <f>'[55]Template '!$B$16</f>
        <v>48</v>
      </c>
      <c r="DI19">
        <f>'[55]Template '!$B$17</f>
        <v>0</v>
      </c>
      <c r="DJ19">
        <f>'[55]Template '!$B$18</f>
        <v>0</v>
      </c>
      <c r="DK19">
        <f>'[55]Template '!$B$19</f>
        <v>0</v>
      </c>
      <c r="DL19">
        <f>'[55]Template '!$B$20</f>
        <v>0</v>
      </c>
      <c r="DM19">
        <f>'[55]Template '!$B$21</f>
        <v>0</v>
      </c>
      <c r="DN19">
        <f>'[55]Template '!$B$22</f>
        <v>1</v>
      </c>
      <c r="DP19">
        <f>'[55]Template '!$I$13</f>
        <v>5</v>
      </c>
      <c r="DQ19">
        <f>'[55]Template '!$I$14</f>
        <v>5</v>
      </c>
      <c r="DR19">
        <f>'[55]Template '!$I$15</f>
        <v>4</v>
      </c>
      <c r="DS19">
        <f>'[55]Template '!$I$16</f>
        <v>4</v>
      </c>
      <c r="DT19">
        <f>'[55]Template '!$I$17</f>
        <v>4</v>
      </c>
      <c r="DU19">
        <f>'[55]Template '!$I$18</f>
        <v>3</v>
      </c>
      <c r="DV19">
        <f>'[55]Template '!$I$19</f>
        <v>5</v>
      </c>
      <c r="DW19">
        <f>'[55]Template '!$I$20</f>
        <v>1</v>
      </c>
      <c r="DX19">
        <f>'[55]Template '!$I$21</f>
        <v>4</v>
      </c>
      <c r="DY19">
        <f>'[55]Template '!$I$22</f>
        <v>3</v>
      </c>
      <c r="DZ19">
        <f>'[55]Template '!$I$23</f>
        <v>5</v>
      </c>
      <c r="EA19">
        <f>'[55]Template '!$I$24</f>
        <v>0</v>
      </c>
      <c r="ED19">
        <f>'[55]Template '!$L$13</f>
        <v>3</v>
      </c>
      <c r="EE19">
        <f>'[55]Template '!$L$14</f>
        <v>2</v>
      </c>
      <c r="EF19">
        <f>'[55]Template '!$L$15</f>
        <v>2</v>
      </c>
      <c r="EG19">
        <f>'[55]Template '!$L$16</f>
        <v>3</v>
      </c>
      <c r="EH19">
        <f>'[55]Template '!$L$17</f>
        <v>3</v>
      </c>
      <c r="EI19">
        <f>'[55]Template '!$L$18</f>
        <v>2</v>
      </c>
      <c r="EJ19">
        <f>'[55]Template '!$L$19</f>
        <v>5</v>
      </c>
      <c r="EK19">
        <f>'[55]Template '!$L$20</f>
        <v>4</v>
      </c>
      <c r="EL19">
        <f>'[55]Template '!$L$21</f>
        <v>2</v>
      </c>
      <c r="EM19">
        <f>'[55]Template '!$L$22</f>
        <v>2</v>
      </c>
      <c r="EN19">
        <f>'[55]Template '!$L$23</f>
        <v>5</v>
      </c>
      <c r="EQ19">
        <f>'[55]Template '!$O$13</f>
        <v>3</v>
      </c>
      <c r="ER19">
        <f>'[55]Template '!$O$14</f>
        <v>1</v>
      </c>
      <c r="ES19">
        <f>'[55]Template '!$O$15</f>
        <v>1</v>
      </c>
      <c r="ET19">
        <f>'[55]Template '!$O$16</f>
        <v>1</v>
      </c>
      <c r="EU19">
        <f>'[55]Template '!$O$17</f>
        <v>5</v>
      </c>
      <c r="EV19">
        <f>'[55]Template '!$O$18</f>
        <v>1</v>
      </c>
      <c r="EW19">
        <f>'[55]Template '!$O$19</f>
        <v>1</v>
      </c>
      <c r="EX19">
        <f>'[55]Template '!$O$20</f>
        <v>3</v>
      </c>
      <c r="EY19">
        <f>'[55]Template '!$O$21</f>
        <v>1</v>
      </c>
      <c r="EZ19">
        <f>'[55]Template '!$O$22</f>
        <v>1</v>
      </c>
      <c r="FA19">
        <f>'[55]Template '!$O$23</f>
        <v>1</v>
      </c>
      <c r="FL19">
        <f>'[55]Template '!$D$5</f>
        <v>0.50917658730158732</v>
      </c>
      <c r="FM19">
        <f>'[55]Template '!$D$6</f>
        <v>0.57728174603174598</v>
      </c>
      <c r="FN19">
        <f>'[55]Template '!$D$7</f>
        <v>0.37682539682539684</v>
      </c>
      <c r="FO19">
        <f>'[55]Template '!$D$8</f>
        <v>0.65380952380952384</v>
      </c>
      <c r="FP19">
        <f>'[55]Template '!$D$9</f>
        <v>0.52927331349206352</v>
      </c>
      <c r="FR19">
        <f>'[55]Template '!$E$5</f>
        <v>0.4880368814192344</v>
      </c>
      <c r="FS19">
        <f>'[55]Template '!$E$6</f>
        <v>0.58174603174603168</v>
      </c>
      <c r="FT19">
        <f>'[55]Template '!$E$7</f>
        <v>0.38376984126984126</v>
      </c>
      <c r="FU19">
        <f>'[55]Template '!$E$8</f>
        <v>0.58887445887445888</v>
      </c>
      <c r="FV19">
        <f>'[55]Template '!$E$9</f>
        <v>0.51060680332739161</v>
      </c>
    </row>
    <row r="20" spans="1:178" x14ac:dyDescent="0.2">
      <c r="A20" t="str">
        <f>'[56]Template '!$A$2</f>
        <v>M_067</v>
      </c>
      <c r="C20" t="str">
        <f t="shared" si="0"/>
        <v>M_067.xlsx</v>
      </c>
      <c r="E20" t="str">
        <f>'[56]Template '!$C$2</f>
        <v>mSTAT only</v>
      </c>
      <c r="G20">
        <f>'[56]Template '!$C$29</f>
        <v>0.3888888888888889</v>
      </c>
      <c r="H20" t="str">
        <f>'[56]Template '!$C$30</f>
        <v>n/a</v>
      </c>
      <c r="I20">
        <f>'[56]Template '!$C$31</f>
        <v>0.41666666666666663</v>
      </c>
      <c r="J20">
        <f>'[56]Template '!$C$32</f>
        <v>0.48529411764705882</v>
      </c>
      <c r="K20">
        <f>'[56]Template '!$C$33</f>
        <v>0.42460317460317459</v>
      </c>
      <c r="M20">
        <f>'[56]Template '!$C$80</f>
        <v>961</v>
      </c>
      <c r="N20">
        <f>'[56]Template '!$C$81</f>
        <v>20</v>
      </c>
      <c r="O20">
        <f>'[56]Template '!$C$82</f>
        <v>2</v>
      </c>
      <c r="P20">
        <f>'[56]Template '!$C$83</f>
        <v>1</v>
      </c>
      <c r="Q20">
        <f>'[56]Template '!$C$84</f>
        <v>2</v>
      </c>
      <c r="R20">
        <f>'[56]Template '!$C$85</f>
        <v>1</v>
      </c>
      <c r="T20">
        <f>'[56]Template '!$C$74</f>
        <v>0</v>
      </c>
      <c r="U20" t="str">
        <f>'[56]Template '!$C$75</f>
        <v>n/a</v>
      </c>
      <c r="V20">
        <f>'[56]Template '!$C$76</f>
        <v>0.3214285714285714</v>
      </c>
      <c r="W20">
        <f>'[56]Template '!$C$77</f>
        <v>0.47619047619047616</v>
      </c>
      <c r="X20">
        <f>'[56]Template '!$C$78</f>
        <v>0.44444444444444442</v>
      </c>
      <c r="Z20">
        <f>'[56]Template '!$C$80</f>
        <v>961</v>
      </c>
      <c r="AA20">
        <f>'[56]Template '!$C$81</f>
        <v>20</v>
      </c>
      <c r="AB20">
        <f>'[56]Template '!$C$82</f>
        <v>2</v>
      </c>
      <c r="AC20">
        <f>'[56]Template '!$C$83</f>
        <v>1</v>
      </c>
      <c r="AD20">
        <f>'[56]Template '!$C$84</f>
        <v>2</v>
      </c>
      <c r="AE20">
        <f>'[56]Template '!$C$85</f>
        <v>1</v>
      </c>
      <c r="AG20">
        <f>'[56]Template '!$C$96</f>
        <v>0.4375</v>
      </c>
      <c r="AH20">
        <f>'[56]Template '!$C$97</f>
        <v>0.4148148148148148</v>
      </c>
      <c r="AI20">
        <f>'[56]Template '!$C$98</f>
        <v>0.5</v>
      </c>
      <c r="AJ20">
        <f>'[56]Template '!$C$99</f>
        <v>0.67243867243867239</v>
      </c>
      <c r="AK20">
        <f>'[56]Template '!$C$100</f>
        <v>0.77460317460317452</v>
      </c>
      <c r="AM20">
        <f>'[56]Template '!$C$102</f>
        <v>878</v>
      </c>
      <c r="AN20">
        <f>'[56]Template '!$C$103</f>
        <v>40</v>
      </c>
      <c r="AO20">
        <f>'[56]Template '!$C$104</f>
        <v>2</v>
      </c>
      <c r="AP20">
        <f>'[56]Template '!$C$105</f>
        <v>2</v>
      </c>
      <c r="AQ20">
        <f>'[56]Template '!$C$106</f>
        <v>3</v>
      </c>
      <c r="AR20">
        <f>'[56]Template '!$C$107</f>
        <v>3</v>
      </c>
      <c r="AT20">
        <f>'[56]Template '!$C$52</f>
        <v>0.75</v>
      </c>
      <c r="AU20">
        <f>'[56]Template '!$C$53</f>
        <v>0.4148148148148148</v>
      </c>
      <c r="AV20">
        <f>'[56]Template '!$C$54</f>
        <v>0.5</v>
      </c>
      <c r="AW20">
        <f>'[56]Template '!$C$55</f>
        <v>0.79166666666666663</v>
      </c>
      <c r="AX20">
        <f>'[56]Template '!$C$56</f>
        <v>0.86587301587301579</v>
      </c>
      <c r="AZ20">
        <f>'[56]Template '!$C$58</f>
        <v>1029</v>
      </c>
      <c r="BA20">
        <f>'[56]Template '!$C$59</f>
        <v>70</v>
      </c>
      <c r="BB20">
        <f>'[56]Template '!$C$60</f>
        <v>2</v>
      </c>
      <c r="BC20">
        <f>'[56]Template '!$C$61</f>
        <v>3</v>
      </c>
      <c r="BD20">
        <f>'[56]Template '!$C$62</f>
        <v>4</v>
      </c>
      <c r="BE20">
        <f>'[56]Template '!$C$63</f>
        <v>4</v>
      </c>
      <c r="BG20">
        <f>'[56]Template '!$B$29</f>
        <v>0.3888888888888889</v>
      </c>
      <c r="BH20" t="str">
        <f>'[56]Template '!$B$30</f>
        <v>n/a</v>
      </c>
      <c r="BI20">
        <f>'[56]Template '!$B$31</f>
        <v>0.41666666666666663</v>
      </c>
      <c r="BJ20">
        <f>'[56]Template '!$B$32</f>
        <v>0.5625</v>
      </c>
      <c r="BK20">
        <f>'[56]Template '!$B$33</f>
        <v>0.42460317460317459</v>
      </c>
      <c r="BM20">
        <f>'[56]Template '!$B$52</f>
        <v>0.75</v>
      </c>
      <c r="BN20">
        <f>'[56]Template '!$B$53</f>
        <v>0.4148148148148148</v>
      </c>
      <c r="BO20">
        <f>'[56]Template '!$B$54</f>
        <v>0.5</v>
      </c>
      <c r="BP20">
        <f>'[56]Template '!$B$55</f>
        <v>0.83333333333333337</v>
      </c>
      <c r="BQ20">
        <f>'[56]Template '!$B$56</f>
        <v>0.86587301587301579</v>
      </c>
      <c r="BS20">
        <f>'[56]Template '!$B$74</f>
        <v>0</v>
      </c>
      <c r="BT20" t="str">
        <f>'[56]Template '!$B$75</f>
        <v>n/a</v>
      </c>
      <c r="BU20">
        <f>'[56]Template '!$B$76</f>
        <v>0.3214285714285714</v>
      </c>
      <c r="BV20">
        <f>'[56]Template '!$B$77</f>
        <v>0.45833333333333331</v>
      </c>
      <c r="BW20">
        <f>'[56]Template '!$B$78</f>
        <v>0.44444444444444442</v>
      </c>
      <c r="BY20">
        <f>'[56]Template '!$B$96</f>
        <v>0.4375</v>
      </c>
      <c r="BZ20">
        <f>'[56]Template '!$B$97</f>
        <v>0.4148148148148148</v>
      </c>
      <c r="CA20">
        <f>'[56]Template '!$B$98</f>
        <v>0.5</v>
      </c>
      <c r="CB20">
        <f>'[56]Template '!$B$99</f>
        <v>0.88888888888888884</v>
      </c>
      <c r="CC20">
        <f>'[56]Template '!$B$100</f>
        <v>0.77460317460317452</v>
      </c>
      <c r="CF20">
        <f>'[56]Template '!$Z$30</f>
        <v>0</v>
      </c>
      <c r="CG20">
        <f>'[56]Template '!$AB$75</f>
        <v>0</v>
      </c>
      <c r="CH20">
        <f>'[56]Template '!$C$89</f>
        <v>0</v>
      </c>
      <c r="CI20">
        <f>'[56]Template '!$AF$75</f>
        <v>0</v>
      </c>
      <c r="CJ20">
        <f>'[56]Template '!$AR$97</f>
        <v>1</v>
      </c>
      <c r="CK20">
        <f>'[56]Template '!$AS$97</f>
        <v>1</v>
      </c>
      <c r="CL20">
        <f>'[56]Template '!$AZ$97</f>
        <v>1</v>
      </c>
      <c r="CM20">
        <f>'[56]Template '!$BB$97</f>
        <v>0</v>
      </c>
      <c r="CN20">
        <f>'[56]Template '!$AU$53</f>
        <v>1</v>
      </c>
      <c r="CO20">
        <f>'[56]Template '!$AV$53</f>
        <v>1</v>
      </c>
      <c r="CP20">
        <f>'[56]Template '!$AY$53</f>
        <v>1</v>
      </c>
      <c r="CQ20">
        <f>'[56]Template '!$AX$53</f>
        <v>1</v>
      </c>
      <c r="CR20">
        <f>'[56]Template '!$AZ$53</f>
        <v>0</v>
      </c>
      <c r="CS20">
        <f>'[56]Template '!$BF$53</f>
        <v>1</v>
      </c>
      <c r="CT20">
        <f t="shared" si="1"/>
        <v>0</v>
      </c>
      <c r="CU20">
        <f t="shared" si="2"/>
        <v>8</v>
      </c>
      <c r="CV20">
        <f t="shared" si="3"/>
        <v>8</v>
      </c>
      <c r="CY20" t="str">
        <f>'[56]Template '!$E$2</f>
        <v>B</v>
      </c>
      <c r="CZ20">
        <f>'[56]Template '!$B$13</f>
        <v>1</v>
      </c>
      <c r="DA20" t="str">
        <f>'[56]Template '!$D$2</f>
        <v>n/a</v>
      </c>
      <c r="DB20">
        <f>'[56]Template '!$D$3</f>
        <v>0</v>
      </c>
      <c r="DC20">
        <f>'[56]Template '!$F$2</f>
        <v>45463</v>
      </c>
      <c r="DE20">
        <f>'[56]Template '!$B$12</f>
        <v>19</v>
      </c>
      <c r="DF20" t="str">
        <f>'[56]Template '!$B$14</f>
        <v>10/22</v>
      </c>
      <c r="DG20" t="str">
        <f>'[56]Template '!$B$15</f>
        <v>5/23</v>
      </c>
      <c r="DH20">
        <f>'[56]Template '!$B$16</f>
        <v>12</v>
      </c>
      <c r="DI20">
        <f>'[56]Template '!$B$17</f>
        <v>0</v>
      </c>
      <c r="DJ20">
        <f>'[56]Template '!$B$18</f>
        <v>0</v>
      </c>
      <c r="DK20">
        <f>'[56]Template '!$B$19</f>
        <v>0</v>
      </c>
      <c r="DL20">
        <f>'[56]Template '!$B$20</f>
        <v>0</v>
      </c>
      <c r="DM20">
        <f>'[56]Template '!$B$21</f>
        <v>0</v>
      </c>
      <c r="DN20">
        <f>'[56]Template '!$B$22</f>
        <v>1</v>
      </c>
      <c r="DP20">
        <f>'[56]Template '!$I$13</f>
        <v>4</v>
      </c>
      <c r="DQ20">
        <f>'[56]Template '!$I$14</f>
        <v>4</v>
      </c>
      <c r="DR20">
        <f>'[56]Template '!$I$15</f>
        <v>4</v>
      </c>
      <c r="DS20">
        <f>'[56]Template '!$I$16</f>
        <v>2</v>
      </c>
      <c r="DT20">
        <f>'[56]Template '!$I$17</f>
        <v>4</v>
      </c>
      <c r="DU20">
        <f>'[56]Template '!$I$18</f>
        <v>2</v>
      </c>
      <c r="DV20">
        <f>'[56]Template '!$I$19</f>
        <v>4</v>
      </c>
      <c r="DW20">
        <f>'[56]Template '!$I$20</f>
        <v>2</v>
      </c>
      <c r="DX20">
        <f>'[56]Template '!$I$21</f>
        <v>2</v>
      </c>
      <c r="DY20">
        <f>'[56]Template '!$I$22</f>
        <v>2</v>
      </c>
      <c r="DZ20">
        <f>'[56]Template '!$I$23</f>
        <v>4</v>
      </c>
      <c r="EA20">
        <f>'[56]Template '!$I$24</f>
        <v>1</v>
      </c>
      <c r="ED20">
        <f>'[56]Template '!$L$13</f>
        <v>4</v>
      </c>
      <c r="EE20">
        <f>'[56]Template '!$L$14</f>
        <v>4</v>
      </c>
      <c r="EF20">
        <f>'[56]Template '!$L$15</f>
        <v>4</v>
      </c>
      <c r="EG20">
        <f>'[56]Template '!$L$16</f>
        <v>4</v>
      </c>
      <c r="EH20">
        <f>'[56]Template '!$L$17</f>
        <v>4</v>
      </c>
      <c r="EI20">
        <f>'[56]Template '!$L$18</f>
        <v>2</v>
      </c>
      <c r="EJ20">
        <f>'[56]Template '!$L$19</f>
        <v>4</v>
      </c>
      <c r="EK20">
        <f>'[56]Template '!$L$20</f>
        <v>2</v>
      </c>
      <c r="EL20">
        <f>'[56]Template '!$L$21</f>
        <v>2</v>
      </c>
      <c r="EM20">
        <f>'[56]Template '!$L$22</f>
        <v>3</v>
      </c>
      <c r="EN20">
        <f>'[56]Template '!$L$23</f>
        <v>4</v>
      </c>
      <c r="EQ20">
        <f>'[56]Template '!$O$13</f>
        <v>4</v>
      </c>
      <c r="ER20">
        <f>'[56]Template '!$O$14</f>
        <v>2</v>
      </c>
      <c r="ES20">
        <f>'[56]Template '!$O$15</f>
        <v>2</v>
      </c>
      <c r="ET20">
        <f>'[56]Template '!$O$16</f>
        <v>3</v>
      </c>
      <c r="EU20">
        <f>'[56]Template '!$O$17</f>
        <v>4</v>
      </c>
      <c r="EV20">
        <f>'[56]Template '!$O$18</f>
        <v>3</v>
      </c>
      <c r="EW20">
        <f>'[56]Template '!$O$19</f>
        <v>2</v>
      </c>
      <c r="EX20">
        <f>'[56]Template '!$O$20</f>
        <v>3</v>
      </c>
      <c r="EY20">
        <f>'[56]Template '!$O$21</f>
        <v>2</v>
      </c>
      <c r="EZ20">
        <f>'[56]Template '!$O$22</f>
        <v>2</v>
      </c>
      <c r="FA20">
        <f>'[56]Template '!$O$23</f>
        <v>2</v>
      </c>
      <c r="FL20">
        <f>'[56]Template '!$D$5</f>
        <v>0.44816468253968256</v>
      </c>
      <c r="FM20">
        <f>'[56]Template '!$D$6</f>
        <v>0.30605158730158727</v>
      </c>
      <c r="FN20">
        <f>'[56]Template '!$D$7</f>
        <v>0.67280423280423274</v>
      </c>
      <c r="FO20">
        <f>'[56]Template '!$D$8</f>
        <v>0.60316137566137562</v>
      </c>
      <c r="FP20">
        <f>'[56]Template '!$D$9</f>
        <v>0.50754546957671953</v>
      </c>
      <c r="FR20">
        <f>'[56]Template '!$E$5</f>
        <v>0.42886321195144728</v>
      </c>
      <c r="FS20">
        <f>'[56]Template '!$E$6</f>
        <v>0.31051587301587302</v>
      </c>
      <c r="FT20">
        <f>'[56]Template '!$E$7</f>
        <v>0.66447089947089943</v>
      </c>
      <c r="FU20">
        <f>'[56]Template '!$E$8</f>
        <v>0.55987133237133224</v>
      </c>
      <c r="FV20">
        <f>'[56]Template '!$E$9</f>
        <v>0.49093032920238799</v>
      </c>
    </row>
    <row r="21" spans="1:178" x14ac:dyDescent="0.2">
      <c r="A21" t="str">
        <f>'[57]Template '!$A$2</f>
        <v>M_066</v>
      </c>
      <c r="C21" t="str">
        <f t="shared" si="0"/>
        <v>M_066.xlsx</v>
      </c>
      <c r="E21" t="str">
        <f>'[57]Template '!$C$2</f>
        <v>mSTAT only</v>
      </c>
      <c r="G21">
        <f>'[57]Template '!$C$29</f>
        <v>0.3888888888888889</v>
      </c>
      <c r="H21" t="str">
        <f>'[57]Template '!$C$30</f>
        <v>n/a</v>
      </c>
      <c r="I21">
        <f>'[57]Template '!$C$31</f>
        <v>0</v>
      </c>
      <c r="J21">
        <f>'[57]Template '!$C$32</f>
        <v>0.57352941176470584</v>
      </c>
      <c r="K21">
        <f>'[57]Template '!$C$33</f>
        <v>0.4781746031746032</v>
      </c>
      <c r="M21">
        <f>'[57]Template '!$C$80</f>
        <v>995</v>
      </c>
      <c r="N21">
        <f>'[57]Template '!$C$81</f>
        <v>30</v>
      </c>
      <c r="O21">
        <f>'[57]Template '!$C$82</f>
        <v>2</v>
      </c>
      <c r="P21">
        <f>'[57]Template '!$C$83</f>
        <v>1.5</v>
      </c>
      <c r="Q21">
        <f>'[57]Template '!$C$84</f>
        <v>2</v>
      </c>
      <c r="R21">
        <f>'[57]Template '!$C$85</f>
        <v>1</v>
      </c>
      <c r="T21">
        <f>'[57]Template '!$C$74</f>
        <v>0.35909090909090913</v>
      </c>
      <c r="U21" t="str">
        <f>'[57]Template '!$C$75</f>
        <v>n/a</v>
      </c>
      <c r="V21">
        <f>'[57]Template '!$C$76</f>
        <v>0.2857142857142857</v>
      </c>
      <c r="W21">
        <f>'[57]Template '!$C$77</f>
        <v>0.44047619047619047</v>
      </c>
      <c r="X21">
        <f>'[57]Template '!$C$78</f>
        <v>0.59722222222222221</v>
      </c>
      <c r="Z21">
        <f>'[57]Template '!$C$80</f>
        <v>995</v>
      </c>
      <c r="AA21">
        <f>'[57]Template '!$C$81</f>
        <v>30</v>
      </c>
      <c r="AB21">
        <f>'[57]Template '!$C$82</f>
        <v>2</v>
      </c>
      <c r="AC21">
        <f>'[57]Template '!$C$83</f>
        <v>1.5</v>
      </c>
      <c r="AD21">
        <f>'[57]Template '!$C$84</f>
        <v>2</v>
      </c>
      <c r="AE21">
        <f>'[57]Template '!$C$85</f>
        <v>1</v>
      </c>
      <c r="AG21">
        <f>'[57]Template '!$C$96</f>
        <v>0.66666666666666663</v>
      </c>
      <c r="AH21">
        <f>'[57]Template '!$C$97</f>
        <v>0.54074074074074074</v>
      </c>
      <c r="AI21">
        <f>'[57]Template '!$C$98</f>
        <v>0.5</v>
      </c>
      <c r="AJ21">
        <f>'[57]Template '!$C$99</f>
        <v>0.40367965367965364</v>
      </c>
      <c r="AK21">
        <f>'[57]Template '!$C$100</f>
        <v>0.6694444444444444</v>
      </c>
      <c r="AM21">
        <f>'[57]Template '!$C$102</f>
        <v>1275</v>
      </c>
      <c r="AN21">
        <f>'[57]Template '!$C$103</f>
        <v>35</v>
      </c>
      <c r="AO21">
        <f>'[57]Template '!$C$104</f>
        <v>2</v>
      </c>
      <c r="AP21">
        <f>'[57]Template '!$C$105</f>
        <v>2</v>
      </c>
      <c r="AQ21">
        <f>'[57]Template '!$C$106</f>
        <v>2</v>
      </c>
      <c r="AR21">
        <f>'[57]Template '!$C$107</f>
        <v>2</v>
      </c>
      <c r="AT21">
        <f>'[57]Template '!$C$52</f>
        <v>0.68333333333333335</v>
      </c>
      <c r="AU21">
        <f>'[57]Template '!$C$53</f>
        <v>0.54074074074074074</v>
      </c>
      <c r="AV21">
        <f>'[57]Template '!$C$54</f>
        <v>0.5</v>
      </c>
      <c r="AW21">
        <f>'[57]Template '!$C$55</f>
        <v>0.36309523809523808</v>
      </c>
      <c r="AX21">
        <f>'[57]Template '!$C$56</f>
        <v>0.80992063492063482</v>
      </c>
      <c r="AZ21">
        <f>'[57]Template '!$C$58</f>
        <v>1200</v>
      </c>
      <c r="BA21">
        <f>'[57]Template '!$C$59</f>
        <v>50</v>
      </c>
      <c r="BB21">
        <f>'[57]Template '!$C$60</f>
        <v>2.5</v>
      </c>
      <c r="BC21">
        <f>'[57]Template '!$C$61</f>
        <v>2</v>
      </c>
      <c r="BD21">
        <f>'[57]Template '!$C$62</f>
        <v>2.5</v>
      </c>
      <c r="BE21">
        <f>'[57]Template '!$C$63</f>
        <v>2.5</v>
      </c>
      <c r="BG21">
        <f>'[57]Template '!$B$29</f>
        <v>0.3888888888888889</v>
      </c>
      <c r="BH21" t="str">
        <f>'[57]Template '!$B$30</f>
        <v>n/a</v>
      </c>
      <c r="BI21">
        <f>'[57]Template '!$B$31</f>
        <v>0</v>
      </c>
      <c r="BJ21">
        <f>'[57]Template '!$B$32</f>
        <v>0.625</v>
      </c>
      <c r="BK21">
        <f>'[57]Template '!$B$33</f>
        <v>0.4781746031746032</v>
      </c>
      <c r="BM21">
        <f>'[57]Template '!$B$52</f>
        <v>0.72499999999999998</v>
      </c>
      <c r="BN21">
        <f>'[57]Template '!$B$53</f>
        <v>0.54074074074074074</v>
      </c>
      <c r="BO21">
        <f>'[57]Template '!$B$54</f>
        <v>0.5</v>
      </c>
      <c r="BP21">
        <f>'[57]Template '!$B$55</f>
        <v>0.51851851851851849</v>
      </c>
      <c r="BQ21">
        <f>'[57]Template '!$B$56</f>
        <v>0.80992063492063482</v>
      </c>
      <c r="BS21">
        <f>'[57]Template '!$B$74</f>
        <v>0.35909090909090913</v>
      </c>
      <c r="BT21" t="str">
        <f>'[57]Template '!$B$75</f>
        <v>n/a</v>
      </c>
      <c r="BU21">
        <f>'[57]Template '!$B$76</f>
        <v>0.2857142857142857</v>
      </c>
      <c r="BV21">
        <f>'[57]Template '!$B$77</f>
        <v>0.39583333333333331</v>
      </c>
      <c r="BW21">
        <f>'[57]Template '!$B$78</f>
        <v>0.59722222222222221</v>
      </c>
      <c r="BY21">
        <f>'[57]Template '!$B$96</f>
        <v>0.66666666666666663</v>
      </c>
      <c r="BZ21">
        <f>'[57]Template '!$B$97</f>
        <v>0.54074074074074074</v>
      </c>
      <c r="CA21">
        <f>'[57]Template '!$B$98</f>
        <v>0.5</v>
      </c>
      <c r="CB21">
        <f>'[57]Template '!$B$99</f>
        <v>0.45833333333333331</v>
      </c>
      <c r="CC21">
        <f>'[57]Template '!$B$100</f>
        <v>0.6694444444444444</v>
      </c>
      <c r="CF21">
        <f>'[57]Template '!$Z$30</f>
        <v>0</v>
      </c>
      <c r="CG21">
        <f>'[57]Template '!$AB$75</f>
        <v>0</v>
      </c>
      <c r="CH21">
        <f>'[57]Template '!$C$89</f>
        <v>0</v>
      </c>
      <c r="CI21">
        <f>'[57]Template '!$AF$75</f>
        <v>0</v>
      </c>
      <c r="CJ21">
        <f>'[57]Template '!$AR$97</f>
        <v>0</v>
      </c>
      <c r="CK21">
        <f>'[57]Template '!$AS$97</f>
        <v>1</v>
      </c>
      <c r="CL21">
        <f>'[57]Template '!$AZ$97</f>
        <v>1</v>
      </c>
      <c r="CM21">
        <f>'[57]Template '!$BB$97</f>
        <v>1</v>
      </c>
      <c r="CN21">
        <f>'[57]Template '!$AU$53</f>
        <v>0</v>
      </c>
      <c r="CO21">
        <f>'[57]Template '!$AV$53</f>
        <v>1</v>
      </c>
      <c r="CP21">
        <f>'[57]Template '!$AY$53</f>
        <v>0</v>
      </c>
      <c r="CQ21">
        <f>'[57]Template '!$AX$53</f>
        <v>0</v>
      </c>
      <c r="CR21">
        <f>'[57]Template '!$AZ$53</f>
        <v>0</v>
      </c>
      <c r="CS21">
        <f>'[57]Template '!$BF$53</f>
        <v>0</v>
      </c>
      <c r="CT21">
        <f t="shared" si="1"/>
        <v>0</v>
      </c>
      <c r="CU21">
        <f t="shared" si="2"/>
        <v>4</v>
      </c>
      <c r="CV21">
        <f t="shared" si="3"/>
        <v>4</v>
      </c>
      <c r="CY21" t="str">
        <f>'[57]Template '!$E$2</f>
        <v>A</v>
      </c>
      <c r="CZ21">
        <f>'[57]Template '!$B$13</f>
        <v>1</v>
      </c>
      <c r="DA21" t="str">
        <f>'[57]Template '!$D$2</f>
        <v>n/a</v>
      </c>
      <c r="DB21">
        <f>'[57]Template '!$D$3</f>
        <v>0</v>
      </c>
      <c r="DC21">
        <f>'[57]Template '!$F$2</f>
        <v>45496</v>
      </c>
      <c r="DE21">
        <f>'[57]Template '!$B$12</f>
        <v>20</v>
      </c>
      <c r="DF21" t="str">
        <f>'[57]Template '!$B$14</f>
        <v>10/23</v>
      </c>
      <c r="DG21" t="str">
        <f>'[57]Template '!$B$15</f>
        <v>3/24</v>
      </c>
      <c r="DH21">
        <f>'[57]Template '!$B$16</f>
        <v>12</v>
      </c>
      <c r="DI21">
        <f>'[57]Template '!$B$17</f>
        <v>0</v>
      </c>
      <c r="DJ21">
        <f>'[57]Template '!$B$18</f>
        <v>0</v>
      </c>
      <c r="DK21">
        <f>'[57]Template '!$B$19</f>
        <v>0</v>
      </c>
      <c r="DL21">
        <f>'[57]Template '!$B$20</f>
        <v>0</v>
      </c>
      <c r="DM21">
        <f>'[57]Template '!$B$21</f>
        <v>0</v>
      </c>
      <c r="DN21">
        <f>'[57]Template '!$B$22</f>
        <v>0</v>
      </c>
      <c r="DP21">
        <f>'[57]Template '!$I$13</f>
        <v>5</v>
      </c>
      <c r="DQ21">
        <f>'[57]Template '!$I$14</f>
        <v>5</v>
      </c>
      <c r="DR21">
        <f>'[57]Template '!$I$15</f>
        <v>4</v>
      </c>
      <c r="DS21">
        <f>'[57]Template '!$I$16</f>
        <v>4</v>
      </c>
      <c r="DT21">
        <f>'[57]Template '!$I$17</f>
        <v>5</v>
      </c>
      <c r="DU21">
        <f>'[57]Template '!$I$18</f>
        <v>3</v>
      </c>
      <c r="DV21">
        <f>'[57]Template '!$I$19</f>
        <v>5</v>
      </c>
      <c r="DW21">
        <f>'[57]Template '!$I$20</f>
        <v>3</v>
      </c>
      <c r="DX21">
        <f>'[57]Template '!$I$21</f>
        <v>4</v>
      </c>
      <c r="DY21">
        <f>'[57]Template '!$I$22</f>
        <v>4</v>
      </c>
      <c r="DZ21">
        <f>'[57]Template '!$I$23</f>
        <v>5</v>
      </c>
      <c r="EA21">
        <f>'[57]Template '!$I$24</f>
        <v>0</v>
      </c>
      <c r="ED21">
        <f>'[57]Template '!$L$13</f>
        <v>5</v>
      </c>
      <c r="EE21">
        <f>'[57]Template '!$L$14</f>
        <v>5</v>
      </c>
      <c r="EF21">
        <f>'[57]Template '!$L$15</f>
        <v>2</v>
      </c>
      <c r="EG21">
        <f>'[57]Template '!$L$16</f>
        <v>3</v>
      </c>
      <c r="EH21">
        <f>'[57]Template '!$L$17</f>
        <v>4</v>
      </c>
      <c r="EI21">
        <f>'[57]Template '!$L$18</f>
        <v>4</v>
      </c>
      <c r="EJ21">
        <f>'[57]Template '!$L$19</f>
        <v>5</v>
      </c>
      <c r="EK21">
        <f>'[57]Template '!$L$20</f>
        <v>2</v>
      </c>
      <c r="EL21">
        <f>'[57]Template '!$L$21</f>
        <v>4</v>
      </c>
      <c r="EM21">
        <f>'[57]Template '!$L$22</f>
        <v>5</v>
      </c>
      <c r="EN21">
        <f>'[57]Template '!$L$23</f>
        <v>5</v>
      </c>
      <c r="EQ21">
        <f>'[57]Template '!$O$13</f>
        <v>5</v>
      </c>
      <c r="ER21">
        <f>'[57]Template '!$O$14</f>
        <v>1</v>
      </c>
      <c r="ES21">
        <f>'[57]Template '!$O$15</f>
        <v>1</v>
      </c>
      <c r="ET21">
        <f>'[57]Template '!$O$16</f>
        <v>3</v>
      </c>
      <c r="EU21">
        <f>'[57]Template '!$O$17</f>
        <v>5</v>
      </c>
      <c r="EV21">
        <f>'[57]Template '!$O$18</f>
        <v>1</v>
      </c>
      <c r="EW21">
        <f>'[57]Template '!$O$19</f>
        <v>1</v>
      </c>
      <c r="EX21">
        <f>'[57]Template '!$O$20</f>
        <v>3</v>
      </c>
      <c r="EY21">
        <f>'[57]Template '!$O$21</f>
        <v>1</v>
      </c>
      <c r="EZ21">
        <f>'[57]Template '!$O$22</f>
        <v>1</v>
      </c>
      <c r="FA21">
        <f>'[57]Template '!$O$23</f>
        <v>1</v>
      </c>
      <c r="FL21">
        <f>'[57]Template '!$D$5</f>
        <v>0.37301587301587302</v>
      </c>
      <c r="FM21">
        <f>'[57]Template '!$D$6</f>
        <v>0.40946518759018757</v>
      </c>
      <c r="FN21">
        <f>'[57]Template '!$D$7</f>
        <v>0.61883597883597885</v>
      </c>
      <c r="FO21">
        <f>'[57]Template '!$D$8</f>
        <v>0.56703703703703701</v>
      </c>
      <c r="FP21">
        <f>'[57]Template '!$D$9</f>
        <v>0.49208851911976914</v>
      </c>
      <c r="FR21">
        <f>'[57]Template '!$E$5</f>
        <v>0.36014822595704948</v>
      </c>
      <c r="FS21">
        <f>'[57]Template '!$E$6</f>
        <v>0.42062590187590188</v>
      </c>
      <c r="FT21">
        <f>'[57]Template '!$E$7</f>
        <v>0.57941798941798939</v>
      </c>
      <c r="FU21">
        <f>'[57]Template '!$E$8</f>
        <v>0.5561063011063011</v>
      </c>
      <c r="FV21">
        <f>'[57]Template '!$E$9</f>
        <v>0.4790746045893105</v>
      </c>
    </row>
    <row r="22" spans="1:178" x14ac:dyDescent="0.2">
      <c r="A22" t="str">
        <f>'[58]Template '!$A$2</f>
        <v>M_065</v>
      </c>
      <c r="C22" t="str">
        <f t="shared" si="0"/>
        <v>M_065.xlsx</v>
      </c>
      <c r="E22" t="str">
        <f>'[58]Template '!$C$2</f>
        <v>mSTAT only</v>
      </c>
      <c r="G22">
        <f>'[58]Template '!$C$29</f>
        <v>0.3888888888888889</v>
      </c>
      <c r="H22" t="str">
        <f>'[58]Template '!$C$30</f>
        <v>n/a</v>
      </c>
      <c r="I22">
        <f>'[58]Template '!$C$31</f>
        <v>0.16666666666666666</v>
      </c>
      <c r="J22">
        <f>'[58]Template '!$C$32</f>
        <v>0.66013071895424846</v>
      </c>
      <c r="K22">
        <f>'[58]Template '!$C$33</f>
        <v>0.80555555555555547</v>
      </c>
      <c r="M22">
        <f>'[58]Template '!$C$80</f>
        <v>1200</v>
      </c>
      <c r="N22">
        <f>'[58]Template '!$C$81</f>
        <v>20</v>
      </c>
      <c r="O22">
        <f>'[58]Template '!$C$82</f>
        <v>2</v>
      </c>
      <c r="P22">
        <f>'[58]Template '!$C$83</f>
        <v>1</v>
      </c>
      <c r="Q22">
        <f>'[58]Template '!$C$84</f>
        <v>2</v>
      </c>
      <c r="R22">
        <f>'[58]Template '!$C$85</f>
        <v>1</v>
      </c>
      <c r="T22">
        <f>'[58]Template '!$C$74</f>
        <v>0.29090909090909089</v>
      </c>
      <c r="U22" t="str">
        <f>'[58]Template '!$C$75</f>
        <v>n/a</v>
      </c>
      <c r="V22">
        <f>'[58]Template '!$C$76</f>
        <v>0.3214285714285714</v>
      </c>
      <c r="W22">
        <f>'[58]Template '!$C$77</f>
        <v>0.45238095238095233</v>
      </c>
      <c r="X22">
        <f>'[58]Template '!$C$78</f>
        <v>0.2857142857142857</v>
      </c>
      <c r="Z22">
        <f>'[58]Template '!$C$80</f>
        <v>1200</v>
      </c>
      <c r="AA22">
        <f>'[58]Template '!$C$81</f>
        <v>20</v>
      </c>
      <c r="AB22">
        <f>'[58]Template '!$C$82</f>
        <v>2</v>
      </c>
      <c r="AC22">
        <f>'[58]Template '!$C$83</f>
        <v>1</v>
      </c>
      <c r="AD22">
        <f>'[58]Template '!$C$84</f>
        <v>2</v>
      </c>
      <c r="AE22">
        <f>'[58]Template '!$C$85</f>
        <v>1</v>
      </c>
      <c r="AG22">
        <f>'[58]Template '!$C$96</f>
        <v>0.75</v>
      </c>
      <c r="AH22">
        <f>'[58]Template '!$C$97</f>
        <v>0.71851851851851867</v>
      </c>
      <c r="AI22">
        <f>'[58]Template '!$C$98</f>
        <v>0</v>
      </c>
      <c r="AJ22">
        <f>'[58]Template '!$C$99</f>
        <v>0.61183261183261184</v>
      </c>
      <c r="AK22">
        <f>'[58]Template '!$C$100</f>
        <v>0.84920634920634919</v>
      </c>
      <c r="AM22">
        <f>'[58]Template '!$C$102</f>
        <v>1200</v>
      </c>
      <c r="AN22">
        <f>'[58]Template '!$C$103</f>
        <v>70</v>
      </c>
      <c r="AO22">
        <f>'[58]Template '!$C$104</f>
        <v>4</v>
      </c>
      <c r="AP22">
        <f>'[58]Template '!$C$105</f>
        <v>3</v>
      </c>
      <c r="AQ22">
        <f>'[58]Template '!$C$106</f>
        <v>4</v>
      </c>
      <c r="AR22">
        <f>'[58]Template '!$C$107</f>
        <v>4</v>
      </c>
      <c r="AT22">
        <f>'[58]Template '!$C$52</f>
        <v>0.75</v>
      </c>
      <c r="AU22">
        <f>'[58]Template '!$C$53</f>
        <v>0.71851851851851867</v>
      </c>
      <c r="AV22">
        <f>'[58]Template '!$C$54</f>
        <v>0</v>
      </c>
      <c r="AW22">
        <f>'[58]Template '!$C$55</f>
        <v>0.45833333333333331</v>
      </c>
      <c r="AX22">
        <f>'[58]Template '!$C$56</f>
        <v>0.79523809523809519</v>
      </c>
      <c r="AZ22">
        <f>'[58]Template '!$C$58</f>
        <v>1200</v>
      </c>
      <c r="BA22">
        <f>'[58]Template '!$C$59</f>
        <v>80</v>
      </c>
      <c r="BB22">
        <f>'[58]Template '!$C$60</f>
        <v>4</v>
      </c>
      <c r="BC22">
        <f>'[58]Template '!$C$61</f>
        <v>4</v>
      </c>
      <c r="BD22">
        <f>'[58]Template '!$C$62</f>
        <v>4</v>
      </c>
      <c r="BE22">
        <f>'[58]Template '!$C$63</f>
        <v>4</v>
      </c>
      <c r="BG22">
        <f>'[58]Template '!$B$29</f>
        <v>0.3888888888888889</v>
      </c>
      <c r="BH22" t="str">
        <f>'[58]Template '!$B$30</f>
        <v>n/a</v>
      </c>
      <c r="BI22">
        <f>'[58]Template '!$B$31</f>
        <v>0.16666666666666666</v>
      </c>
      <c r="BJ22">
        <f>'[58]Template '!$B$32</f>
        <v>0.75</v>
      </c>
      <c r="BK22">
        <f>'[58]Template '!$B$33</f>
        <v>0.80555555555555547</v>
      </c>
      <c r="BM22">
        <f>'[58]Template '!$B$52</f>
        <v>0.75</v>
      </c>
      <c r="BN22">
        <f>'[58]Template '!$B$53</f>
        <v>0.71851851851851867</v>
      </c>
      <c r="BO22">
        <f>'[58]Template '!$B$54</f>
        <v>0</v>
      </c>
      <c r="BP22">
        <f>'[58]Template '!$B$55</f>
        <v>0.5</v>
      </c>
      <c r="BQ22">
        <f>'[58]Template '!$B$56</f>
        <v>0.79523809523809519</v>
      </c>
      <c r="BS22">
        <f>'[58]Template '!$B$74</f>
        <v>0.29090909090909089</v>
      </c>
      <c r="BT22" t="str">
        <f>'[58]Template '!$B$75</f>
        <v>n/a</v>
      </c>
      <c r="BU22">
        <f>'[58]Template '!$B$76</f>
        <v>0.3214285714285714</v>
      </c>
      <c r="BV22">
        <f>'[58]Template '!$B$77</f>
        <v>0.33333333333333331</v>
      </c>
      <c r="BW22">
        <f>'[58]Template '!$B$78</f>
        <v>0.2857142857142857</v>
      </c>
      <c r="BY22">
        <f>'[58]Template '!$B$96</f>
        <v>0.75</v>
      </c>
      <c r="BZ22">
        <f>'[58]Template '!$B$97</f>
        <v>0.71851851851851867</v>
      </c>
      <c r="CA22">
        <f>'[58]Template '!$B$98</f>
        <v>0</v>
      </c>
      <c r="CB22">
        <f>'[58]Template '!$B$99</f>
        <v>0.88888888888888884</v>
      </c>
      <c r="CC22">
        <f>'[58]Template '!$B$100</f>
        <v>0.84920634920634919</v>
      </c>
      <c r="CF22">
        <f>'[58]Template '!$Z$30</f>
        <v>1</v>
      </c>
      <c r="CG22">
        <f>'[58]Template '!$AB$75</f>
        <v>0</v>
      </c>
      <c r="CH22">
        <f>'[58]Template '!$C$89</f>
        <v>0</v>
      </c>
      <c r="CI22">
        <f>'[58]Template '!$AF$75</f>
        <v>0</v>
      </c>
      <c r="CJ22">
        <f>'[58]Template '!$AR$97</f>
        <v>1</v>
      </c>
      <c r="CK22">
        <f>'[58]Template '!$AS$97</f>
        <v>1</v>
      </c>
      <c r="CL22">
        <f>'[58]Template '!$AZ$97</f>
        <v>0</v>
      </c>
      <c r="CM22">
        <f>'[58]Template '!$BB$97</f>
        <v>0</v>
      </c>
      <c r="CN22">
        <f>'[58]Template '!$AU$53</f>
        <v>1</v>
      </c>
      <c r="CO22">
        <f>'[58]Template '!$AV$53</f>
        <v>1</v>
      </c>
      <c r="CP22">
        <f>'[58]Template '!$AY$53</f>
        <v>1</v>
      </c>
      <c r="CQ22">
        <f>'[58]Template '!$AX$53</f>
        <v>1</v>
      </c>
      <c r="CR22">
        <f>'[58]Template '!$AZ$53</f>
        <v>0</v>
      </c>
      <c r="CS22">
        <f>'[58]Template '!$BF$53</f>
        <v>0</v>
      </c>
      <c r="CT22">
        <f t="shared" si="1"/>
        <v>1</v>
      </c>
      <c r="CU22">
        <f t="shared" si="2"/>
        <v>6</v>
      </c>
      <c r="CV22">
        <f t="shared" si="3"/>
        <v>7</v>
      </c>
      <c r="CY22" t="str">
        <f>'[58]Template '!$E$2</f>
        <v>B</v>
      </c>
      <c r="CZ22">
        <f>'[58]Template '!$B$13</f>
        <v>1</v>
      </c>
      <c r="DA22" t="str">
        <f>'[58]Template '!$D$2</f>
        <v>n/a</v>
      </c>
      <c r="DB22">
        <f>'[58]Template '!$D$3</f>
        <v>0</v>
      </c>
      <c r="DC22">
        <f>'[58]Template '!$F$2</f>
        <v>45496</v>
      </c>
      <c r="DE22">
        <f>'[58]Template '!$B$12</f>
        <v>22</v>
      </c>
      <c r="DF22" t="str">
        <f>'[58]Template '!$B$14</f>
        <v>5/23</v>
      </c>
      <c r="DG22" t="str">
        <f>'[58]Template '!$B$15</f>
        <v>9/23</v>
      </c>
      <c r="DH22">
        <f>'[58]Template '!$B$16</f>
        <v>12</v>
      </c>
      <c r="DI22">
        <f>'[58]Template '!$B$17</f>
        <v>0</v>
      </c>
      <c r="DJ22">
        <f>'[58]Template '!$B$18</f>
        <v>0</v>
      </c>
      <c r="DK22">
        <f>'[58]Template '!$B$19</f>
        <v>0</v>
      </c>
      <c r="DL22">
        <f>'[58]Template '!$B$20</f>
        <v>0</v>
      </c>
      <c r="DM22">
        <f>'[58]Template '!$B$21</f>
        <v>0</v>
      </c>
      <c r="DN22">
        <f>'[58]Template '!$B$22</f>
        <v>0</v>
      </c>
      <c r="DP22">
        <f>'[58]Template '!$I$13</f>
        <v>4</v>
      </c>
      <c r="DQ22">
        <f>'[58]Template '!$I$14</f>
        <v>4</v>
      </c>
      <c r="DR22">
        <f>'[58]Template '!$I$15</f>
        <v>3</v>
      </c>
      <c r="DS22">
        <f>'[58]Template '!$I$16</f>
        <v>4</v>
      </c>
      <c r="DT22">
        <f>'[58]Template '!$I$17</f>
        <v>4</v>
      </c>
      <c r="DU22">
        <f>'[58]Template '!$I$18</f>
        <v>4</v>
      </c>
      <c r="DV22">
        <f>'[58]Template '!$I$19</f>
        <v>5</v>
      </c>
      <c r="DW22">
        <f>'[58]Template '!$I$20</f>
        <v>3</v>
      </c>
      <c r="DX22">
        <f>'[58]Template '!$I$21</f>
        <v>4</v>
      </c>
      <c r="DY22">
        <f>'[58]Template '!$I$22</f>
        <v>3</v>
      </c>
      <c r="DZ22">
        <f>'[58]Template '!$I$23</f>
        <v>4</v>
      </c>
      <c r="EA22">
        <f>'[58]Template '!$I$24</f>
        <v>0</v>
      </c>
      <c r="ED22">
        <f>'[58]Template '!$L$13</f>
        <v>4</v>
      </c>
      <c r="EE22">
        <f>'[58]Template '!$L$14</f>
        <v>4</v>
      </c>
      <c r="EF22">
        <f>'[58]Template '!$L$15</f>
        <v>3</v>
      </c>
      <c r="EG22">
        <f>'[58]Template '!$L$16</f>
        <v>3</v>
      </c>
      <c r="EH22">
        <f>'[58]Template '!$L$17</f>
        <v>4</v>
      </c>
      <c r="EI22">
        <f>'[58]Template '!$L$18</f>
        <v>4</v>
      </c>
      <c r="EJ22">
        <f>'[58]Template '!$L$19</f>
        <v>5</v>
      </c>
      <c r="EK22">
        <f>'[58]Template '!$L$20</f>
        <v>4</v>
      </c>
      <c r="EL22">
        <f>'[58]Template '!$L$21</f>
        <v>3</v>
      </c>
      <c r="EM22">
        <f>'[58]Template '!$L$22</f>
        <v>4</v>
      </c>
      <c r="EN22">
        <f>'[58]Template '!$L$23</f>
        <v>5</v>
      </c>
      <c r="EQ22">
        <f>'[58]Template '!$O$13</f>
        <v>4</v>
      </c>
      <c r="ER22">
        <f>'[58]Template '!$O$14</f>
        <v>3</v>
      </c>
      <c r="ES22">
        <f>'[58]Template '!$O$15</f>
        <v>2</v>
      </c>
      <c r="ET22">
        <f>'[58]Template '!$O$16</f>
        <v>4</v>
      </c>
      <c r="EU22">
        <f>'[58]Template '!$O$17</f>
        <v>5</v>
      </c>
      <c r="EV22">
        <f>'[58]Template '!$O$18</f>
        <v>4</v>
      </c>
      <c r="EW22">
        <f>'[58]Template '!$O$19</f>
        <v>1</v>
      </c>
      <c r="EX22">
        <f>'[58]Template '!$O$20</f>
        <v>2</v>
      </c>
      <c r="EY22">
        <f>'[58]Template '!$O$21</f>
        <v>2</v>
      </c>
      <c r="EZ22">
        <f>'[58]Template '!$O$22</f>
        <v>3</v>
      </c>
      <c r="FA22">
        <f>'[58]Template '!$O$23</f>
        <v>3</v>
      </c>
      <c r="FL22">
        <f>'[58]Template '!$D$5</f>
        <v>0.52777777777777779</v>
      </c>
      <c r="FM22">
        <f>'[58]Template '!$D$6</f>
        <v>0.30784632034632031</v>
      </c>
      <c r="FN22">
        <f>'[58]Template '!$D$7</f>
        <v>0.55275132275132277</v>
      </c>
      <c r="FO22">
        <f>'[58]Template '!$D$8</f>
        <v>0.64132275132275141</v>
      </c>
      <c r="FP22">
        <f>'[58]Template '!$D$9</f>
        <v>0.5074245430495431</v>
      </c>
      <c r="FR22">
        <f>'[58]Template '!$E$5</f>
        <v>0.50531045751633985</v>
      </c>
      <c r="FS22">
        <f>'[58]Template '!$E$6</f>
        <v>0.33760822510822508</v>
      </c>
      <c r="FT22">
        <f>'[58]Template '!$E$7</f>
        <v>0.54441798941798947</v>
      </c>
      <c r="FU22">
        <f>'[58]Template '!$E$8</f>
        <v>0.58591149591149594</v>
      </c>
      <c r="FV22">
        <f>'[58]Template '!$E$9</f>
        <v>0.49331204198851258</v>
      </c>
    </row>
    <row r="23" spans="1:178" x14ac:dyDescent="0.2">
      <c r="A23" t="str">
        <f>'[59]Template '!$A$2</f>
        <v>M_064</v>
      </c>
      <c r="C23" t="str">
        <f t="shared" si="0"/>
        <v>M_064.xlsx</v>
      </c>
      <c r="E23" t="str">
        <f>'[59]Template '!$C$2</f>
        <v>mSTAT only</v>
      </c>
      <c r="G23">
        <f>'[59]Template '!$C$29</f>
        <v>0.3888888888888889</v>
      </c>
      <c r="H23" t="str">
        <f>'[59]Template '!$C$30</f>
        <v>n/a</v>
      </c>
      <c r="I23">
        <f>'[59]Template '!$C$31</f>
        <v>0.41666666666666663</v>
      </c>
      <c r="J23">
        <f>'[59]Template '!$C$32</f>
        <v>0.42647058823529416</v>
      </c>
      <c r="K23">
        <f>'[59]Template '!$C$33</f>
        <v>0.26785714285714285</v>
      </c>
      <c r="M23">
        <f>'[59]Template '!$C$80</f>
        <v>1200</v>
      </c>
      <c r="N23">
        <f>'[59]Template '!$C$81</f>
        <v>22.5</v>
      </c>
      <c r="O23">
        <f>'[59]Template '!$C$82</f>
        <v>2</v>
      </c>
      <c r="P23">
        <f>'[59]Template '!$C$83</f>
        <v>1.5</v>
      </c>
      <c r="Q23">
        <f>'[59]Template '!$C$84</f>
        <v>1</v>
      </c>
      <c r="R23">
        <f>'[59]Template '!$C$85</f>
        <v>1.5</v>
      </c>
      <c r="T23">
        <f>'[59]Template '!$C$74</f>
        <v>0.63181818181818183</v>
      </c>
      <c r="U23" t="str">
        <f>'[59]Template '!$C$75</f>
        <v>n/a</v>
      </c>
      <c r="V23">
        <f>'[59]Template '!$C$76</f>
        <v>0.42857142857142855</v>
      </c>
      <c r="W23">
        <f>'[59]Template '!$C$77</f>
        <v>0.33333333333333331</v>
      </c>
      <c r="X23">
        <f>'[59]Template '!$C$78</f>
        <v>0.35119047619047611</v>
      </c>
      <c r="Z23">
        <f>'[59]Template '!$C$80</f>
        <v>1200</v>
      </c>
      <c r="AA23">
        <f>'[59]Template '!$C$81</f>
        <v>22.5</v>
      </c>
      <c r="AB23">
        <f>'[59]Template '!$C$82</f>
        <v>2</v>
      </c>
      <c r="AC23">
        <f>'[59]Template '!$C$83</f>
        <v>1.5</v>
      </c>
      <c r="AD23">
        <f>'[59]Template '!$C$84</f>
        <v>1</v>
      </c>
      <c r="AE23">
        <f>'[59]Template '!$C$85</f>
        <v>1.5</v>
      </c>
      <c r="AG23">
        <f>'[59]Template '!$C$96</f>
        <v>0.70833333333333326</v>
      </c>
      <c r="AH23">
        <f>'[59]Template '!$C$97</f>
        <v>0.47407407407407409</v>
      </c>
      <c r="AI23">
        <f>'[59]Template '!$C$98</f>
        <v>0.5</v>
      </c>
      <c r="AJ23">
        <f>'[59]Template '!$C$99</f>
        <v>0.17099567099567101</v>
      </c>
      <c r="AK23">
        <f>'[59]Template '!$C$100</f>
        <v>0.56904761904761914</v>
      </c>
      <c r="AM23">
        <f>'[59]Template '!$C$102</f>
        <v>1181</v>
      </c>
      <c r="AN23">
        <f>'[59]Template '!$C$103</f>
        <v>20</v>
      </c>
      <c r="AO23">
        <f>'[59]Template '!$C$104</f>
        <v>2</v>
      </c>
      <c r="AP23">
        <f>'[59]Template '!$C$105</f>
        <v>1.5</v>
      </c>
      <c r="AQ23">
        <f>'[59]Template '!$C$106</f>
        <v>1.5</v>
      </c>
      <c r="AR23">
        <f>'[59]Template '!$C$107</f>
        <v>1.5</v>
      </c>
      <c r="AT23">
        <f>'[59]Template '!$C$52</f>
        <v>0.72222222222222221</v>
      </c>
      <c r="AU23">
        <f>'[59]Template '!$C$53</f>
        <v>0.47407407407407409</v>
      </c>
      <c r="AV23">
        <f>'[59]Template '!$C$54</f>
        <v>0.5</v>
      </c>
      <c r="AW23">
        <f>'[59]Template '!$C$55</f>
        <v>0.1875</v>
      </c>
      <c r="AX23">
        <f>'[59]Template '!$C$56</f>
        <v>0.35198412698412701</v>
      </c>
      <c r="AZ23">
        <f>'[59]Template '!$C$58</f>
        <v>1200</v>
      </c>
      <c r="BA23">
        <f>'[59]Template '!$C$59</f>
        <v>22.5</v>
      </c>
      <c r="BB23">
        <f>'[59]Template '!$C$60</f>
        <v>2</v>
      </c>
      <c r="BC23">
        <f>'[59]Template '!$C$61</f>
        <v>1.5</v>
      </c>
      <c r="BD23">
        <f>'[59]Template '!$C$62</f>
        <v>1.5</v>
      </c>
      <c r="BE23">
        <f>'[59]Template '!$C$63</f>
        <v>1.5</v>
      </c>
      <c r="BG23">
        <f>'[59]Template '!$B$29</f>
        <v>0.3888888888888889</v>
      </c>
      <c r="BH23" t="str">
        <f>'[59]Template '!$B$30</f>
        <v>n/a</v>
      </c>
      <c r="BI23">
        <f>'[59]Template '!$B$31</f>
        <v>0.41666666666666663</v>
      </c>
      <c r="BJ23">
        <f>'[59]Template '!$B$32</f>
        <v>0.5</v>
      </c>
      <c r="BK23">
        <f>'[59]Template '!$B$33</f>
        <v>0.26785714285714285</v>
      </c>
      <c r="BM23">
        <f>'[59]Template '!$B$52</f>
        <v>0.72222222222222221</v>
      </c>
      <c r="BN23">
        <f>'[59]Template '!$B$53</f>
        <v>0.47407407407407409</v>
      </c>
      <c r="BO23">
        <f>'[59]Template '!$B$54</f>
        <v>0.5</v>
      </c>
      <c r="BP23">
        <f>'[59]Template '!$B$55</f>
        <v>0.26851851851851855</v>
      </c>
      <c r="BQ23">
        <f>'[59]Template '!$B$56</f>
        <v>0.35198412698412701</v>
      </c>
      <c r="BS23">
        <f>'[59]Template '!$B$74</f>
        <v>0.63181818181818183</v>
      </c>
      <c r="BT23" t="str">
        <f>'[59]Template '!$B$75</f>
        <v>n/a</v>
      </c>
      <c r="BU23">
        <f>'[59]Template '!$B$76</f>
        <v>0.42857142857142855</v>
      </c>
      <c r="BV23">
        <f>'[59]Template '!$B$77</f>
        <v>0.41666666666666663</v>
      </c>
      <c r="BW23">
        <f>'[59]Template '!$B$78</f>
        <v>0.35119047619047611</v>
      </c>
      <c r="BY23">
        <f>'[59]Template '!$B$96</f>
        <v>0.70833333333333326</v>
      </c>
      <c r="BZ23">
        <f>'[59]Template '!$B$97</f>
        <v>0.47407407407407409</v>
      </c>
      <c r="CA23">
        <f>'[59]Template '!$B$98</f>
        <v>0.5</v>
      </c>
      <c r="CB23">
        <f>'[59]Template '!$B$99</f>
        <v>0.52777777777777779</v>
      </c>
      <c r="CC23">
        <f>'[59]Template '!$B$100</f>
        <v>0.56904761904761914</v>
      </c>
      <c r="CF23">
        <f>'[59]Template '!$Z$30</f>
        <v>0</v>
      </c>
      <c r="CG23">
        <f>'[59]Template '!$AB$75</f>
        <v>0</v>
      </c>
      <c r="CH23">
        <f>'[59]Template '!$C$89</f>
        <v>0</v>
      </c>
      <c r="CI23">
        <f>'[59]Template '!$AF$75</f>
        <v>0</v>
      </c>
      <c r="CJ23">
        <f>'[59]Template '!$AR$97</f>
        <v>0</v>
      </c>
      <c r="CK23">
        <f>'[59]Template '!$AS$97</f>
        <v>0.5</v>
      </c>
      <c r="CL23">
        <f>'[59]Template '!$AZ$97</f>
        <v>0</v>
      </c>
      <c r="CM23">
        <f>'[59]Template '!$BB$97</f>
        <v>0</v>
      </c>
      <c r="CN23">
        <f>'[59]Template '!$AU$53</f>
        <v>0</v>
      </c>
      <c r="CO23">
        <f>'[59]Template '!$AV$53</f>
        <v>0</v>
      </c>
      <c r="CP23">
        <f>'[59]Template '!$AY$53</f>
        <v>0</v>
      </c>
      <c r="CQ23">
        <f>'[59]Template '!$AX$53</f>
        <v>0</v>
      </c>
      <c r="CR23">
        <f>'[59]Template '!$AZ$53</f>
        <v>0</v>
      </c>
      <c r="CS23">
        <f>'[59]Template '!$BF$53</f>
        <v>0</v>
      </c>
      <c r="CT23">
        <f t="shared" si="1"/>
        <v>0</v>
      </c>
      <c r="CU23">
        <f t="shared" si="2"/>
        <v>0.5</v>
      </c>
      <c r="CV23">
        <f t="shared" si="3"/>
        <v>0.5</v>
      </c>
      <c r="CY23" t="str">
        <f>'[59]Template '!$E$2</f>
        <v>A</v>
      </c>
      <c r="CZ23">
        <f>'[59]Template '!$B$13</f>
        <v>1</v>
      </c>
      <c r="DA23" t="str">
        <f>'[59]Template '!$D$2</f>
        <v>n/a</v>
      </c>
      <c r="DB23">
        <f>'[59]Template '!$D$3</f>
        <v>0</v>
      </c>
      <c r="DC23">
        <f>'[59]Template '!$F$2</f>
        <v>45503</v>
      </c>
      <c r="DE23">
        <f>'[59]Template '!$B$12</f>
        <v>22</v>
      </c>
      <c r="DF23" t="str">
        <f>'[59]Template '!$B$14</f>
        <v>4/24</v>
      </c>
      <c r="DG23" t="str">
        <f>'[59]Template '!$B$15</f>
        <v>8/24</v>
      </c>
      <c r="DH23">
        <f>'[59]Template '!$B$16</f>
        <v>12</v>
      </c>
      <c r="DI23">
        <f>'[59]Template '!$B$17</f>
        <v>0</v>
      </c>
      <c r="DJ23">
        <f>'[59]Template '!$B$18</f>
        <v>0</v>
      </c>
      <c r="DK23">
        <f>'[59]Template '!$B$19</f>
        <v>0</v>
      </c>
      <c r="DL23">
        <f>'[59]Template '!$B$20</f>
        <v>0</v>
      </c>
      <c r="DM23">
        <f>'[59]Template '!$B$21</f>
        <v>0</v>
      </c>
      <c r="DN23">
        <f>'[59]Template '!$B$22</f>
        <v>0</v>
      </c>
      <c r="DP23">
        <f>'[59]Template '!$I$13</f>
        <v>4</v>
      </c>
      <c r="DQ23">
        <f>'[59]Template '!$I$14</f>
        <v>4</v>
      </c>
      <c r="DR23">
        <f>'[59]Template '!$I$15</f>
        <v>3</v>
      </c>
      <c r="DS23">
        <f>'[59]Template '!$I$16</f>
        <v>4</v>
      </c>
      <c r="DT23">
        <f>'[59]Template '!$I$17</f>
        <v>4</v>
      </c>
      <c r="DU23">
        <f>'[59]Template '!$I$18</f>
        <v>3</v>
      </c>
      <c r="DV23">
        <f>'[59]Template '!$I$19</f>
        <v>4</v>
      </c>
      <c r="DW23">
        <f>'[59]Template '!$I$20</f>
        <v>4</v>
      </c>
      <c r="DX23">
        <f>'[59]Template '!$I$21</f>
        <v>4</v>
      </c>
      <c r="DY23">
        <f>'[59]Template '!$I$22</f>
        <v>3</v>
      </c>
      <c r="DZ23">
        <f>'[59]Template '!$I$23</f>
        <v>4</v>
      </c>
      <c r="EA23">
        <f>'[59]Template '!$I$24</f>
        <v>0</v>
      </c>
      <c r="ED23">
        <f>'[59]Template '!$L$13</f>
        <v>4</v>
      </c>
      <c r="EE23">
        <f>'[59]Template '!$L$14</f>
        <v>3</v>
      </c>
      <c r="EF23">
        <f>'[59]Template '!$L$15</f>
        <v>4</v>
      </c>
      <c r="EG23">
        <f>'[59]Template '!$L$16</f>
        <v>3</v>
      </c>
      <c r="EH23">
        <f>'[59]Template '!$L$17</f>
        <v>4</v>
      </c>
      <c r="EI23">
        <f>'[59]Template '!$L$18</f>
        <v>4</v>
      </c>
      <c r="EJ23">
        <f>'[59]Template '!$L$19</f>
        <v>5</v>
      </c>
      <c r="EK23">
        <f>'[59]Template '!$L$20</f>
        <v>3</v>
      </c>
      <c r="EL23">
        <f>'[59]Template '!$L$21</f>
        <v>4</v>
      </c>
      <c r="EM23">
        <f>'[59]Template '!$L$22</f>
        <v>2</v>
      </c>
      <c r="EN23">
        <f>'[59]Template '!$L$23</f>
        <v>4</v>
      </c>
      <c r="EQ23">
        <f>'[59]Template '!$O$13</f>
        <v>4</v>
      </c>
      <c r="ER23">
        <f>'[59]Template '!$O$14</f>
        <v>2</v>
      </c>
      <c r="ES23">
        <f>'[59]Template '!$O$15</f>
        <v>2</v>
      </c>
      <c r="ET23">
        <f>'[59]Template '!$O$16</f>
        <v>1</v>
      </c>
      <c r="EU23">
        <f>'[59]Template '!$O$17</f>
        <v>4</v>
      </c>
      <c r="EV23">
        <f>'[59]Template '!$O$18</f>
        <v>1</v>
      </c>
      <c r="EW23">
        <f>'[59]Template '!$O$19</f>
        <v>1</v>
      </c>
      <c r="EX23">
        <f>'[59]Template '!$O$20</f>
        <v>3</v>
      </c>
      <c r="EY23">
        <f>'[59]Template '!$O$21</f>
        <v>1</v>
      </c>
      <c r="EZ23">
        <f>'[59]Template '!$O$22</f>
        <v>1</v>
      </c>
      <c r="FA23">
        <f>'[59]Template '!$O$23</f>
        <v>3</v>
      </c>
      <c r="FL23">
        <f>'[59]Template '!$D$5</f>
        <v>0.39335317460317459</v>
      </c>
      <c r="FM23">
        <f>'[59]Template '!$D$6</f>
        <v>0.45706168831168831</v>
      </c>
      <c r="FN23">
        <f>'[59]Template '!$D$7</f>
        <v>0.46335978835978836</v>
      </c>
      <c r="FO23">
        <f>'[59]Template '!$D$8</f>
        <v>0.55584656084656081</v>
      </c>
      <c r="FP23">
        <f>'[59]Template '!$D$9</f>
        <v>0.46740530303030303</v>
      </c>
      <c r="FR23">
        <f>'[59]Template '!$E$5</f>
        <v>0.37497082166199813</v>
      </c>
      <c r="FS23">
        <f>'[59]Template '!$E$6</f>
        <v>0.43622835497835494</v>
      </c>
      <c r="FT23">
        <f>'[59]Template '!$E$7</f>
        <v>0.44715608465608464</v>
      </c>
      <c r="FU23">
        <f>'[59]Template '!$E$8</f>
        <v>0.48449013949013953</v>
      </c>
      <c r="FV23">
        <f>'[59]Template '!$E$9</f>
        <v>0.43571135019664431</v>
      </c>
    </row>
    <row r="24" spans="1:178" x14ac:dyDescent="0.2">
      <c r="A24" t="str">
        <f>'[60]Template '!$A$2</f>
        <v>M_063</v>
      </c>
      <c r="C24" t="str">
        <f t="shared" si="0"/>
        <v>M_063.xlsx</v>
      </c>
      <c r="E24" t="str">
        <f>'[60]Template '!$C$2</f>
        <v>mSTAT only</v>
      </c>
      <c r="G24">
        <f>'[60]Template '!$C$29</f>
        <v>0.27777777777777779</v>
      </c>
      <c r="H24" t="str">
        <f>'[60]Template '!$C$30</f>
        <v>n/a</v>
      </c>
      <c r="I24">
        <f>'[60]Template '!$C$31</f>
        <v>8.3333333333333329E-2</v>
      </c>
      <c r="J24">
        <f>'[60]Template '!$C$32</f>
        <v>0.66911764705882359</v>
      </c>
      <c r="K24">
        <f>'[60]Template '!$C$33</f>
        <v>0.66468253968253965</v>
      </c>
      <c r="M24">
        <f>'[60]Template '!$C$80</f>
        <v>1086</v>
      </c>
      <c r="N24">
        <f>'[60]Template '!$C$81</f>
        <v>37.5</v>
      </c>
      <c r="O24">
        <f>'[60]Template '!$C$82</f>
        <v>3</v>
      </c>
      <c r="P24">
        <f>'[60]Template '!$C$83</f>
        <v>2</v>
      </c>
      <c r="Q24">
        <f>'[60]Template '!$C$84</f>
        <v>2.5</v>
      </c>
      <c r="R24">
        <f>'[60]Template '!$C$85</f>
        <v>2</v>
      </c>
      <c r="T24">
        <f>'[60]Template '!$C$74</f>
        <v>0.47272727272727272</v>
      </c>
      <c r="U24" t="str">
        <f>'[60]Template '!$C$75</f>
        <v>n/a</v>
      </c>
      <c r="V24">
        <f>'[60]Template '!$C$76</f>
        <v>7.1428571428571425E-2</v>
      </c>
      <c r="W24">
        <f>'[60]Template '!$C$77</f>
        <v>0.5</v>
      </c>
      <c r="X24">
        <f>'[60]Template '!$C$78</f>
        <v>0.54761904761904756</v>
      </c>
      <c r="Z24">
        <f>'[60]Template '!$C$80</f>
        <v>1086</v>
      </c>
      <c r="AA24">
        <f>'[60]Template '!$C$81</f>
        <v>37.5</v>
      </c>
      <c r="AB24">
        <f>'[60]Template '!$C$82</f>
        <v>3</v>
      </c>
      <c r="AC24">
        <f>'[60]Template '!$C$83</f>
        <v>2</v>
      </c>
      <c r="AD24">
        <f>'[60]Template '!$C$84</f>
        <v>2.5</v>
      </c>
      <c r="AE24">
        <f>'[60]Template '!$C$85</f>
        <v>2</v>
      </c>
      <c r="AG24">
        <f>'[60]Template '!$C$96</f>
        <v>0.7583333333333333</v>
      </c>
      <c r="AH24">
        <f>'[60]Template '!$C$97</f>
        <v>0.64444444444444449</v>
      </c>
      <c r="AI24">
        <f>'[60]Template '!$C$98</f>
        <v>0</v>
      </c>
      <c r="AJ24">
        <f>'[60]Template '!$C$99</f>
        <v>0.51659451659451661</v>
      </c>
      <c r="AK24">
        <f>'[60]Template '!$C$100</f>
        <v>0.68333333333333324</v>
      </c>
      <c r="AM24">
        <f>'[60]Template '!$C$102</f>
        <v>791</v>
      </c>
      <c r="AN24">
        <f>'[60]Template '!$C$103</f>
        <v>45</v>
      </c>
      <c r="AO24">
        <f>'[60]Template '!$C$104</f>
        <v>3</v>
      </c>
      <c r="AP24">
        <f>'[60]Template '!$C$105</f>
        <v>2</v>
      </c>
      <c r="AQ24">
        <f>'[60]Template '!$C$106</f>
        <v>3.5</v>
      </c>
      <c r="AR24">
        <f>'[60]Template '!$C$107</f>
        <v>2.5</v>
      </c>
      <c r="AT24">
        <f>'[60]Template '!$C$52</f>
        <v>0.75</v>
      </c>
      <c r="AU24">
        <f>'[60]Template '!$C$53</f>
        <v>0.64444444444444449</v>
      </c>
      <c r="AV24">
        <f>'[60]Template '!$C$54</f>
        <v>0.5</v>
      </c>
      <c r="AW24">
        <f>'[60]Template '!$C$55</f>
        <v>0.625</v>
      </c>
      <c r="AX24">
        <f>'[60]Template '!$C$56</f>
        <v>0.79761904761904756</v>
      </c>
      <c r="AZ24">
        <f>'[60]Template '!$C$58</f>
        <v>1200</v>
      </c>
      <c r="BA24">
        <f>'[60]Template '!$C$59</f>
        <v>70</v>
      </c>
      <c r="BB24">
        <f>'[60]Template '!$C$60</f>
        <v>3.5</v>
      </c>
      <c r="BC24">
        <f>'[60]Template '!$C$61</f>
        <v>2.5</v>
      </c>
      <c r="BD24">
        <f>'[60]Template '!$C$62</f>
        <v>4</v>
      </c>
      <c r="BE24">
        <f>'[60]Template '!$C$63</f>
        <v>3</v>
      </c>
      <c r="BG24">
        <f>'[60]Template '!$B$29</f>
        <v>0.27777777777777779</v>
      </c>
      <c r="BH24" t="str">
        <f>'[60]Template '!$B$30</f>
        <v>n/a</v>
      </c>
      <c r="BI24">
        <f>'[60]Template '!$B$31</f>
        <v>8.3333333333333329E-2</v>
      </c>
      <c r="BJ24">
        <f>'[60]Template '!$B$32</f>
        <v>0.6875</v>
      </c>
      <c r="BK24">
        <f>'[60]Template '!$B$33</f>
        <v>0.66468253968253965</v>
      </c>
      <c r="BM24">
        <f>'[60]Template '!$B$52</f>
        <v>0.75</v>
      </c>
      <c r="BN24">
        <f>'[60]Template '!$B$53</f>
        <v>0.64444444444444449</v>
      </c>
      <c r="BO24">
        <f>'[60]Template '!$B$54</f>
        <v>0.5</v>
      </c>
      <c r="BP24">
        <f>'[60]Template '!$B$55</f>
        <v>0.67592592592592593</v>
      </c>
      <c r="BQ24">
        <f>'[60]Template '!$B$56</f>
        <v>0.79761904761904756</v>
      </c>
      <c r="BS24">
        <f>'[60]Template '!$B$74</f>
        <v>0.47272727272727272</v>
      </c>
      <c r="BT24" t="str">
        <f>'[60]Template '!$B$75</f>
        <v>n/a</v>
      </c>
      <c r="BU24">
        <f>'[60]Template '!$B$76</f>
        <v>7.1428571428571425E-2</v>
      </c>
      <c r="BV24">
        <f>'[60]Template '!$B$77</f>
        <v>0.58333333333333326</v>
      </c>
      <c r="BW24">
        <f>'[60]Template '!$B$78</f>
        <v>0.54761904761904756</v>
      </c>
      <c r="BY24">
        <f>'[60]Template '!$B$96</f>
        <v>0.7583333333333333</v>
      </c>
      <c r="BZ24">
        <f>'[60]Template '!$B$97</f>
        <v>0.64444444444444449</v>
      </c>
      <c r="CA24">
        <f>'[60]Template '!$B$98</f>
        <v>0</v>
      </c>
      <c r="CB24">
        <f>'[60]Template '!$B$99</f>
        <v>0.88888888888888884</v>
      </c>
      <c r="CC24">
        <f>'[60]Template '!$B$100</f>
        <v>0.68333333333333324</v>
      </c>
      <c r="CF24">
        <f>'[60]Template '!$Z$30</f>
        <v>0</v>
      </c>
      <c r="CG24">
        <f>'[60]Template '!$AB$75</f>
        <v>0</v>
      </c>
      <c r="CH24">
        <f>'[60]Template '!$C$89</f>
        <v>0</v>
      </c>
      <c r="CI24">
        <f>'[60]Template '!$AF$75</f>
        <v>0</v>
      </c>
      <c r="CJ24">
        <f>'[60]Template '!$AR$97</f>
        <v>0</v>
      </c>
      <c r="CK24">
        <f>'[60]Template '!$AS$97</f>
        <v>1</v>
      </c>
      <c r="CL24">
        <f>'[60]Template '!$AZ$97</f>
        <v>0.5</v>
      </c>
      <c r="CM24">
        <f>'[60]Template '!$BB$97</f>
        <v>0</v>
      </c>
      <c r="CN24">
        <f>'[60]Template '!$AU$53</f>
        <v>1</v>
      </c>
      <c r="CO24">
        <f>'[60]Template '!$AV$53</f>
        <v>0</v>
      </c>
      <c r="CP24">
        <f>'[60]Template '!$AY$53</f>
        <v>1</v>
      </c>
      <c r="CQ24">
        <f>'[60]Template '!$AX$53</f>
        <v>0.5</v>
      </c>
      <c r="CR24">
        <f>'[60]Template '!$AZ$53</f>
        <v>0</v>
      </c>
      <c r="CS24">
        <f>'[60]Template '!$BF$53</f>
        <v>0.5</v>
      </c>
      <c r="CT24">
        <f t="shared" si="1"/>
        <v>0</v>
      </c>
      <c r="CU24">
        <f t="shared" si="2"/>
        <v>4.5</v>
      </c>
      <c r="CV24">
        <f t="shared" si="3"/>
        <v>4.5</v>
      </c>
      <c r="CY24" t="str">
        <f>'[60]Template '!$E$2</f>
        <v>A</v>
      </c>
      <c r="CZ24">
        <f>'[60]Template '!$B$13</f>
        <v>1</v>
      </c>
      <c r="DA24" t="str">
        <f>'[60]Template '!$D$2</f>
        <v>n/a</v>
      </c>
      <c r="DB24">
        <f>'[60]Template '!$D$3</f>
        <v>0</v>
      </c>
      <c r="DC24">
        <f>'[60]Template '!$F$2</f>
        <v>45503</v>
      </c>
      <c r="DE24">
        <f>'[60]Template '!$B$12</f>
        <v>28</v>
      </c>
      <c r="DF24" t="str">
        <f>'[60]Template '!$B$14</f>
        <v>10/13</v>
      </c>
      <c r="DG24" t="str">
        <f>'[60]Template '!$B$15</f>
        <v>5/14</v>
      </c>
      <c r="DH24">
        <f>'[60]Template '!$B$16</f>
        <v>132</v>
      </c>
      <c r="DI24">
        <f>'[60]Template '!$B$17</f>
        <v>0</v>
      </c>
      <c r="DJ24">
        <f>'[60]Template '!$B$18</f>
        <v>0</v>
      </c>
      <c r="DK24">
        <f>'[60]Template '!$B$19</f>
        <v>1</v>
      </c>
      <c r="DL24">
        <f>'[60]Template '!$B$20</f>
        <v>1</v>
      </c>
      <c r="DM24">
        <f>'[60]Template '!$B$21</f>
        <v>0</v>
      </c>
      <c r="DN24">
        <f>'[60]Template '!$B$22</f>
        <v>0</v>
      </c>
      <c r="DP24">
        <f>'[60]Template '!$I$13</f>
        <v>3</v>
      </c>
      <c r="DQ24">
        <f>'[60]Template '!$I$14</f>
        <v>3</v>
      </c>
      <c r="DR24">
        <f>'[60]Template '!$I$15</f>
        <v>4</v>
      </c>
      <c r="DS24">
        <f>'[60]Template '!$I$16</f>
        <v>3</v>
      </c>
      <c r="DT24">
        <f>'[60]Template '!$I$17</f>
        <v>4</v>
      </c>
      <c r="DU24">
        <f>'[60]Template '!$I$18</f>
        <v>3</v>
      </c>
      <c r="DV24">
        <f>'[60]Template '!$I$19</f>
        <v>5</v>
      </c>
      <c r="DW24">
        <f>'[60]Template '!$I$20</f>
        <v>4</v>
      </c>
      <c r="DX24">
        <f>'[60]Template '!$I$21</f>
        <v>4</v>
      </c>
      <c r="DY24">
        <f>'[60]Template '!$I$22</f>
        <v>4</v>
      </c>
      <c r="DZ24">
        <f>'[60]Template '!$I$23</f>
        <v>5</v>
      </c>
      <c r="EA24">
        <f>'[60]Template '!$I$24</f>
        <v>0</v>
      </c>
      <c r="ED24">
        <f>'[60]Template '!$L$13</f>
        <v>3</v>
      </c>
      <c r="EE24">
        <f>'[60]Template '!$L$14</f>
        <v>2</v>
      </c>
      <c r="EF24">
        <f>'[60]Template '!$L$15</f>
        <v>4</v>
      </c>
      <c r="EG24">
        <f>'[60]Template '!$L$16</f>
        <v>3</v>
      </c>
      <c r="EH24">
        <f>'[60]Template '!$L$17</f>
        <v>4</v>
      </c>
      <c r="EI24">
        <f>'[60]Template '!$L$18</f>
        <v>1</v>
      </c>
      <c r="EJ24">
        <f>'[60]Template '!$L$19</f>
        <v>5</v>
      </c>
      <c r="EK24">
        <f>'[60]Template '!$L$20</f>
        <v>3</v>
      </c>
      <c r="EL24">
        <f>'[60]Template '!$L$21</f>
        <v>3</v>
      </c>
      <c r="EM24">
        <f>'[60]Template '!$L$22</f>
        <v>4</v>
      </c>
      <c r="EN24">
        <f>'[60]Template '!$L$23</f>
        <v>5</v>
      </c>
      <c r="EQ24">
        <f>'[60]Template '!$O$13</f>
        <v>5</v>
      </c>
      <c r="ER24">
        <f>'[60]Template '!$O$14</f>
        <v>1</v>
      </c>
      <c r="ES24">
        <f>'[60]Template '!$O$15</f>
        <v>1</v>
      </c>
      <c r="ET24">
        <f>'[60]Template '!$O$16</f>
        <v>2</v>
      </c>
      <c r="EU24">
        <f>'[60]Template '!$O$17</f>
        <v>5</v>
      </c>
      <c r="EV24">
        <f>'[60]Template '!$O$18</f>
        <v>2</v>
      </c>
      <c r="EW24">
        <f>'[60]Template '!$O$19</f>
        <v>1</v>
      </c>
      <c r="EX24">
        <f>'[60]Template '!$O$20</f>
        <v>4</v>
      </c>
      <c r="EY24">
        <f>'[60]Template '!$O$21</f>
        <v>1</v>
      </c>
      <c r="EZ24">
        <f>'[60]Template '!$O$22</f>
        <v>1</v>
      </c>
      <c r="FA24">
        <f>'[60]Template '!$O$23</f>
        <v>1</v>
      </c>
      <c r="FL24">
        <f>'[60]Template '!$D$5</f>
        <v>0.42832341269841268</v>
      </c>
      <c r="FM24">
        <f>'[60]Template '!$D$6</f>
        <v>0.41877705627705619</v>
      </c>
      <c r="FN24">
        <f>'[60]Template '!$D$7</f>
        <v>0.67359788359788353</v>
      </c>
      <c r="FO24">
        <f>'[60]Template '!$D$8</f>
        <v>0.59499999999999997</v>
      </c>
      <c r="FP24">
        <f>'[60]Template '!$D$9</f>
        <v>0.52892458814333809</v>
      </c>
      <c r="FR24">
        <f>'[60]Template '!$E$5</f>
        <v>0.42372782446311863</v>
      </c>
      <c r="FS24">
        <f>'[60]Template '!$E$6</f>
        <v>0.39794372294372293</v>
      </c>
      <c r="FT24">
        <f>'[60]Template '!$E$7</f>
        <v>0.66341269841269834</v>
      </c>
      <c r="FU24">
        <f>'[60]Template '!$E$8</f>
        <v>0.52054112554112542</v>
      </c>
      <c r="FV24">
        <f>'[60]Template '!$E$9</f>
        <v>0.50140634284016627</v>
      </c>
    </row>
    <row r="25" spans="1:178" s="13" customFormat="1" x14ac:dyDescent="0.2"/>
    <row r="26" spans="1:178" x14ac:dyDescent="0.2">
      <c r="A26" t="str">
        <f>'[38]Template '!$A$2</f>
        <v>M_007</v>
      </c>
      <c r="C26" t="str">
        <f t="shared" ref="C26:C48" si="4">CONCATENATE(A26,".xlsx")</f>
        <v>M_007.xlsx</v>
      </c>
      <c r="E26" t="str">
        <f>'[38]Template '!$C$2</f>
        <v>D only</v>
      </c>
      <c r="G26">
        <f>'[38]Template '!$C$29</f>
        <v>0.22222222222222221</v>
      </c>
      <c r="H26" t="str">
        <f>'[38]Template '!$C$30</f>
        <v>n/a</v>
      </c>
      <c r="I26">
        <f>'[38]Template '!$C$31</f>
        <v>8.3333333333333329E-2</v>
      </c>
      <c r="J26">
        <f>'[38]Template '!$C$32</f>
        <v>0.54411764705882359</v>
      </c>
      <c r="K26">
        <f>'[38]Template '!$C$33</f>
        <v>0.70238095238095222</v>
      </c>
      <c r="M26">
        <f>'[38]Template '!$C$80</f>
        <v>1200</v>
      </c>
      <c r="N26">
        <f>'[38]Template '!$C$81</f>
        <v>40</v>
      </c>
      <c r="O26">
        <f>'[38]Template '!$C$82</f>
        <v>2.5</v>
      </c>
      <c r="P26">
        <f>'[38]Template '!$C$83</f>
        <v>2.5</v>
      </c>
      <c r="Q26">
        <f>'[38]Template '!$C$84</f>
        <v>2</v>
      </c>
      <c r="R26">
        <f>'[38]Template '!$C$85</f>
        <v>2</v>
      </c>
      <c r="T26">
        <f>'[38]Template '!$C$74</f>
        <v>0.43181818181818182</v>
      </c>
      <c r="U26" t="str">
        <f>'[38]Template '!$C$75</f>
        <v>n/a</v>
      </c>
      <c r="V26">
        <f>'[38]Template '!$C$76</f>
        <v>0.3214285714285714</v>
      </c>
      <c r="W26">
        <f>'[38]Template '!$C$77</f>
        <v>0.48809523809523803</v>
      </c>
      <c r="X26">
        <f>'[38]Template '!$C$78</f>
        <v>0.7142857142857143</v>
      </c>
      <c r="Z26">
        <f>'[38]Template '!$C$80</f>
        <v>1200</v>
      </c>
      <c r="AA26">
        <f>'[38]Template '!$C$81</f>
        <v>40</v>
      </c>
      <c r="AB26">
        <f>'[38]Template '!$C$82</f>
        <v>2.5</v>
      </c>
      <c r="AC26">
        <f>'[38]Template '!$C$83</f>
        <v>2.5</v>
      </c>
      <c r="AD26">
        <f>'[38]Template '!$C$84</f>
        <v>2</v>
      </c>
      <c r="AE26">
        <f>'[38]Template '!$C$85</f>
        <v>2</v>
      </c>
      <c r="AG26">
        <f>'[38]Template '!$C$96</f>
        <v>0.5708333333333333</v>
      </c>
      <c r="AH26">
        <f>'[38]Template '!$C$97</f>
        <v>0.37407407407407406</v>
      </c>
      <c r="AI26">
        <f>'[38]Template '!$C$98</f>
        <v>0</v>
      </c>
      <c r="AJ26">
        <f>'[38]Template '!$C$99</f>
        <v>0.1028138528138528</v>
      </c>
      <c r="AK26">
        <f>'[38]Template '!$C$100</f>
        <v>0.49087301587301591</v>
      </c>
      <c r="AM26">
        <f>'[38]Template '!$C$102</f>
        <v>1112</v>
      </c>
      <c r="AN26">
        <f>'[38]Template '!$C$103</f>
        <v>22.5</v>
      </c>
      <c r="AO26">
        <f>'[38]Template '!$C$104</f>
        <v>1.5</v>
      </c>
      <c r="AP26">
        <f>'[38]Template '!$C$105</f>
        <v>1.5</v>
      </c>
      <c r="AQ26">
        <f>'[38]Template '!$C$106</f>
        <v>2</v>
      </c>
      <c r="AR26">
        <f>'[38]Template '!$C$107</f>
        <v>1.5</v>
      </c>
      <c r="AT26">
        <f>'[38]Template '!$C$52</f>
        <v>0.24722222222222223</v>
      </c>
      <c r="AU26">
        <f>'[38]Template '!$C$53</f>
        <v>0.37407407407407406</v>
      </c>
      <c r="AV26">
        <f>'[38]Template '!$C$54</f>
        <v>0</v>
      </c>
      <c r="AW26">
        <f>'[38]Template '!$C$55</f>
        <v>0.13541666666666666</v>
      </c>
      <c r="AX26">
        <f>'[38]Template '!$C$56</f>
        <v>0.47142857142857136</v>
      </c>
      <c r="AZ26">
        <f>'[38]Template '!$C$58</f>
        <v>1200</v>
      </c>
      <c r="BA26">
        <f>'[38]Template '!$C$59</f>
        <v>17.5</v>
      </c>
      <c r="BB26">
        <f>'[38]Template '!$C$60</f>
        <v>1.5</v>
      </c>
      <c r="BC26">
        <f>'[38]Template '!$C$61</f>
        <v>1.5</v>
      </c>
      <c r="BD26">
        <f>'[38]Template '!$C$62</f>
        <v>2</v>
      </c>
      <c r="BE26">
        <f>'[38]Template '!$C$63</f>
        <v>1</v>
      </c>
      <c r="BG26">
        <f>'[38]Template '!$B$29</f>
        <v>0.22222222222222221</v>
      </c>
      <c r="BH26" t="str">
        <f>'[38]Template '!$B$30</f>
        <v>n/a</v>
      </c>
      <c r="BI26">
        <f>'[38]Template '!$B$31</f>
        <v>8.3333333333333329E-2</v>
      </c>
      <c r="BJ26">
        <f>'[38]Template '!$B$32</f>
        <v>0.5625</v>
      </c>
      <c r="BK26">
        <f>'[38]Template '!$B$33</f>
        <v>0.70238095238095222</v>
      </c>
      <c r="BM26">
        <f>'[38]Template '!$B$52</f>
        <v>0.41388888888888892</v>
      </c>
      <c r="BN26">
        <f>'[38]Template '!$B$53</f>
        <v>0.37407407407407406</v>
      </c>
      <c r="BO26">
        <f>'[38]Template '!$B$54</f>
        <v>0</v>
      </c>
      <c r="BP26">
        <f>'[38]Template '!$B$55</f>
        <v>0.17592592592592593</v>
      </c>
      <c r="BQ26">
        <f>'[38]Template '!$B$56</f>
        <v>0.47142857142857136</v>
      </c>
      <c r="BS26">
        <f>'[38]Template '!$B$74</f>
        <v>0.43181818181818182</v>
      </c>
      <c r="BT26" t="str">
        <f>'[38]Template '!$B$75</f>
        <v>n/a</v>
      </c>
      <c r="BU26">
        <f>'[38]Template '!$B$76</f>
        <v>0.3214285714285714</v>
      </c>
      <c r="BV26">
        <f>'[38]Template '!$B$77</f>
        <v>0.52083333333333326</v>
      </c>
      <c r="BW26">
        <f>'[38]Template '!$B$78</f>
        <v>0.7142857142857143</v>
      </c>
      <c r="BY26">
        <f>'[38]Template '!$B$96</f>
        <v>0.5708333333333333</v>
      </c>
      <c r="BZ26">
        <f>'[38]Template '!$B$97</f>
        <v>0.37407407407407406</v>
      </c>
      <c r="CA26">
        <f>'[38]Template '!$B$98</f>
        <v>0</v>
      </c>
      <c r="CB26">
        <f>'[38]Template '!$B$99</f>
        <v>0.375</v>
      </c>
      <c r="CC26">
        <f>'[38]Template '!$B$100</f>
        <v>0.49087301587301591</v>
      </c>
      <c r="CF26">
        <f>'[38]Template '!$Z$30</f>
        <v>0</v>
      </c>
      <c r="CG26">
        <f>'[38]Template '!$AB$75</f>
        <v>0</v>
      </c>
      <c r="CH26">
        <f>'[38]Template '!$C$89</f>
        <v>0</v>
      </c>
      <c r="CI26">
        <f>'[38]Template '!$AF$75</f>
        <v>0</v>
      </c>
      <c r="CJ26">
        <f>'[38]Template '!$AR$97</f>
        <v>0</v>
      </c>
      <c r="CK26">
        <f>'[38]Template '!$AS$97</f>
        <v>0</v>
      </c>
      <c r="CL26">
        <f>'[38]Template '!$AZ$97</f>
        <v>0</v>
      </c>
      <c r="CM26">
        <f>'[38]Template '!$BB$97</f>
        <v>0</v>
      </c>
      <c r="CN26">
        <f>'[38]Template '!$AU$53</f>
        <v>0</v>
      </c>
      <c r="CO26">
        <f>'[38]Template '!$AV$53</f>
        <v>0</v>
      </c>
      <c r="CP26">
        <f>'[38]Template '!$AY$53</f>
        <v>0</v>
      </c>
      <c r="CQ26">
        <f>'[38]Template '!$AX$53</f>
        <v>0</v>
      </c>
      <c r="CR26">
        <f>'[38]Template '!$AZ$53</f>
        <v>0</v>
      </c>
      <c r="CS26">
        <f>'[38]Template '!$BF$53</f>
        <v>0</v>
      </c>
      <c r="CT26">
        <f t="shared" ref="CT26:CT48" si="5">SUM(CF26:CI26)</f>
        <v>0</v>
      </c>
      <c r="CU26">
        <f t="shared" ref="CU26:CU48" si="6">SUM(CJ26:CS26)</f>
        <v>0</v>
      </c>
      <c r="CV26">
        <f t="shared" ref="CV26:CV48" si="7">CT26+CU26</f>
        <v>0</v>
      </c>
      <c r="CY26" t="str">
        <f>'[38]Template '!$E$2</f>
        <v>A</v>
      </c>
      <c r="CZ26">
        <f>'[38]Template '!$B$13</f>
        <v>1</v>
      </c>
      <c r="DA26">
        <f>'[38]Template '!$D$2</f>
        <v>1</v>
      </c>
      <c r="DB26" t="str">
        <f>'[38]Template '!$D$3</f>
        <v>9/20/2022</v>
      </c>
      <c r="DC26">
        <f>'[38]Template '!$F$2</f>
        <v>44964</v>
      </c>
      <c r="DE26">
        <f>'[38]Template '!$B$12</f>
        <v>22</v>
      </c>
      <c r="DF26" t="str">
        <f>'[38]Template '!$B$14</f>
        <v>6/20</v>
      </c>
      <c r="DG26" t="str">
        <f>'[38]Template '!$B$15</f>
        <v>10/22</v>
      </c>
      <c r="DH26">
        <f>'[38]Template '!$B$16</f>
        <v>31</v>
      </c>
      <c r="DI26">
        <f>'[38]Template '!$B$17</f>
        <v>0</v>
      </c>
      <c r="DJ26">
        <f>'[38]Template '!$B$18</f>
        <v>0</v>
      </c>
      <c r="DK26">
        <f>'[38]Template '!$B$19</f>
        <v>0</v>
      </c>
      <c r="DL26">
        <f>'[38]Template '!$B$20</f>
        <v>0</v>
      </c>
      <c r="DM26">
        <f>'[38]Template '!$B$21</f>
        <v>0</v>
      </c>
      <c r="DN26">
        <f>'[38]Template '!$B$22</f>
        <v>0</v>
      </c>
      <c r="DP26">
        <f>'[38]Template '!$I$13</f>
        <v>4</v>
      </c>
      <c r="DQ26">
        <f>'[38]Template '!$I$14</f>
        <v>4</v>
      </c>
      <c r="DR26">
        <f>'[38]Template '!$I$15</f>
        <v>4</v>
      </c>
      <c r="DS26">
        <f>'[38]Template '!$I$16</f>
        <v>3</v>
      </c>
      <c r="DT26">
        <f>'[38]Template '!$I$17</f>
        <v>4</v>
      </c>
      <c r="DU26">
        <f>'[38]Template '!$I$18</f>
        <v>3</v>
      </c>
      <c r="DV26">
        <f>'[38]Template '!$I$19</f>
        <v>5</v>
      </c>
      <c r="DW26">
        <f>'[38]Template '!$I$20</f>
        <v>3</v>
      </c>
      <c r="DX26">
        <f>'[38]Template '!$I$21</f>
        <v>4</v>
      </c>
      <c r="DY26">
        <f>'[38]Template '!$I$22</f>
        <v>3</v>
      </c>
      <c r="DZ26">
        <f>'[38]Template '!$I$23</f>
        <v>5</v>
      </c>
      <c r="EA26">
        <f>'[38]Template '!$I$24</f>
        <v>1</v>
      </c>
      <c r="ED26">
        <f>'[38]Template '!$L$13</f>
        <v>4</v>
      </c>
      <c r="EE26">
        <f>'[38]Template '!$L$14</f>
        <v>4</v>
      </c>
      <c r="EF26">
        <f>'[38]Template '!$L$15</f>
        <v>4</v>
      </c>
      <c r="EG26">
        <f>'[38]Template '!$L$16</f>
        <v>3</v>
      </c>
      <c r="EH26">
        <f>'[38]Template '!$L$17</f>
        <v>4</v>
      </c>
      <c r="EI26">
        <f>'[38]Template '!$L$18</f>
        <v>4</v>
      </c>
      <c r="EJ26">
        <f>'[38]Template '!$L$19</f>
        <v>5</v>
      </c>
      <c r="EK26">
        <f>'[38]Template '!$L$20</f>
        <v>2</v>
      </c>
      <c r="EL26">
        <f>'[38]Template '!$L$21</f>
        <v>2</v>
      </c>
      <c r="EM26">
        <f>'[38]Template '!$L$22</f>
        <v>2</v>
      </c>
      <c r="EN26">
        <f>'[38]Template '!$L$23</f>
        <v>5</v>
      </c>
      <c r="EQ26">
        <f>'[38]Template '!$O$13</f>
        <v>3</v>
      </c>
      <c r="ER26">
        <f>'[38]Template '!$O$14</f>
        <v>2</v>
      </c>
      <c r="ES26">
        <f>'[38]Template '!$O$15</f>
        <v>1</v>
      </c>
      <c r="ET26">
        <f>'[38]Template '!$O$16</f>
        <v>3</v>
      </c>
      <c r="EU26">
        <f>'[38]Template '!$O$17</f>
        <v>5</v>
      </c>
      <c r="EV26">
        <f>'[38]Template '!$O$18</f>
        <v>3</v>
      </c>
      <c r="EW26">
        <f>'[38]Template '!$O$19</f>
        <v>1</v>
      </c>
      <c r="EX26">
        <f>'[38]Template '!$O$20</f>
        <v>3</v>
      </c>
      <c r="EY26">
        <f>'[38]Template '!$O$21</f>
        <v>2</v>
      </c>
      <c r="EZ26">
        <f>'[38]Template '!$O$22</f>
        <v>3</v>
      </c>
      <c r="FA26">
        <f>'[38]Template '!$O$23</f>
        <v>5</v>
      </c>
      <c r="FL26">
        <f>'[38]Template '!$D$5</f>
        <v>0.39260912698412698</v>
      </c>
      <c r="FM26">
        <f>'[38]Template '!$D$6</f>
        <v>0.49709145021645018</v>
      </c>
      <c r="FN26">
        <f>'[38]Template '!$D$7</f>
        <v>0.28706349206349208</v>
      </c>
      <c r="FO26">
        <f>'[38]Template '!$D$8</f>
        <v>0.36215608465608462</v>
      </c>
      <c r="FP26">
        <f>'[38]Template '!$D$9</f>
        <v>0.38473003848003851</v>
      </c>
      <c r="FR26">
        <f>'[38]Template '!$E$5</f>
        <v>0.38801353874883282</v>
      </c>
      <c r="FS26">
        <f>'[38]Template '!$E$6</f>
        <v>0.48890692640692646</v>
      </c>
      <c r="FT26">
        <f>'[38]Template '!$E$7</f>
        <v>0.24562830687830686</v>
      </c>
      <c r="FU26">
        <f>'[38]Template '!$E$8</f>
        <v>0.30771885521885523</v>
      </c>
      <c r="FV26">
        <f>'[38]Template '!$E$9</f>
        <v>0.35756690681323033</v>
      </c>
    </row>
    <row r="27" spans="1:178" x14ac:dyDescent="0.2">
      <c r="A27" t="str">
        <f>'[39]Template '!$A$2</f>
        <v>M_009</v>
      </c>
      <c r="C27" t="str">
        <f t="shared" si="4"/>
        <v>M_009.xlsx</v>
      </c>
      <c r="E27" t="str">
        <f>'[39]Template '!$C$2</f>
        <v>D only</v>
      </c>
      <c r="G27">
        <f>'[39]Template '!$C$29</f>
        <v>0.22222222222222221</v>
      </c>
      <c r="H27" t="str">
        <f>'[39]Template '!$C$30</f>
        <v>n/a</v>
      </c>
      <c r="I27">
        <f>'[39]Template '!$C$31</f>
        <v>0.25</v>
      </c>
      <c r="J27">
        <f>'[39]Template '!$C$32</f>
        <v>0.48529411764705882</v>
      </c>
      <c r="K27">
        <f>'[39]Template '!$C$33</f>
        <v>0.33730158730158727</v>
      </c>
      <c r="M27">
        <f>'[39]Template '!$C$80</f>
        <v>603</v>
      </c>
      <c r="N27">
        <f>'[39]Template '!$C$81</f>
        <v>12.5</v>
      </c>
      <c r="O27">
        <f>'[39]Template '!$C$82</f>
        <v>1.5</v>
      </c>
      <c r="P27">
        <f>'[39]Template '!$C$83</f>
        <v>1</v>
      </c>
      <c r="Q27">
        <f>'[39]Template '!$C$84</f>
        <v>2</v>
      </c>
      <c r="R27">
        <f>'[39]Template '!$C$85</f>
        <v>1</v>
      </c>
      <c r="T27">
        <f>'[39]Template '!$C$74</f>
        <v>0.29090909090909089</v>
      </c>
      <c r="U27" t="str">
        <f>'[39]Template '!$C$75</f>
        <v>n/a</v>
      </c>
      <c r="V27">
        <f>'[39]Template '!$C$76</f>
        <v>0.10714285714285714</v>
      </c>
      <c r="W27">
        <f>'[39]Template '!$C$77</f>
        <v>0.51190476190476186</v>
      </c>
      <c r="X27">
        <f>'[39]Template '!$C$78</f>
        <v>0.40873015873015878</v>
      </c>
      <c r="Z27">
        <f>'[39]Template '!$C$80</f>
        <v>603</v>
      </c>
      <c r="AA27">
        <f>'[39]Template '!$C$81</f>
        <v>12.5</v>
      </c>
      <c r="AB27">
        <f>'[39]Template '!$C$82</f>
        <v>1.5</v>
      </c>
      <c r="AC27">
        <f>'[39]Template '!$C$83</f>
        <v>1</v>
      </c>
      <c r="AD27">
        <f>'[39]Template '!$C$84</f>
        <v>2</v>
      </c>
      <c r="AE27">
        <f>'[39]Template '!$C$85</f>
        <v>1</v>
      </c>
      <c r="AG27">
        <f>'[39]Template '!$C$96</f>
        <v>0.43333333333333335</v>
      </c>
      <c r="AH27">
        <f>'[39]Template '!$C$97</f>
        <v>0.37777777777777777</v>
      </c>
      <c r="AI27">
        <f>'[39]Template '!$C$98</f>
        <v>0</v>
      </c>
      <c r="AJ27">
        <f>'[39]Template '!$C$99</f>
        <v>0.39754689754689748</v>
      </c>
      <c r="AK27">
        <f>'[39]Template '!$C$100</f>
        <v>0.64444444444444438</v>
      </c>
      <c r="AM27">
        <f>'[39]Template '!$C$102</f>
        <v>875</v>
      </c>
      <c r="AN27">
        <f>'[39]Template '!$C$103</f>
        <v>27.5</v>
      </c>
      <c r="AO27">
        <f>'[39]Template '!$C$104</f>
        <v>2</v>
      </c>
      <c r="AP27">
        <f>'[39]Template '!$C$105</f>
        <v>2</v>
      </c>
      <c r="AQ27">
        <f>'[39]Template '!$C$106</f>
        <v>2.5</v>
      </c>
      <c r="AR27">
        <f>'[39]Template '!$C$107</f>
        <v>2</v>
      </c>
      <c r="AT27">
        <f>'[39]Template '!$C$52</f>
        <v>0.33333333333333331</v>
      </c>
      <c r="AU27">
        <f>'[39]Template '!$C$53</f>
        <v>0.37777777777777777</v>
      </c>
      <c r="AV27">
        <f>'[39]Template '!$C$54</f>
        <v>0</v>
      </c>
      <c r="AW27">
        <f>'[39]Template '!$C$55</f>
        <v>0.30952380952380953</v>
      </c>
      <c r="AX27">
        <f>'[39]Template '!$C$56</f>
        <v>0.48412698412698413</v>
      </c>
      <c r="AZ27">
        <f>'[39]Template '!$C$58</f>
        <v>813</v>
      </c>
      <c r="BA27">
        <f>'[39]Template '!$C$59</f>
        <v>20</v>
      </c>
      <c r="BB27">
        <f>'[39]Template '!$C$60</f>
        <v>2</v>
      </c>
      <c r="BC27">
        <f>'[39]Template '!$C$61</f>
        <v>1</v>
      </c>
      <c r="BD27">
        <f>'[39]Template '!$C$62</f>
        <v>2</v>
      </c>
      <c r="BE27">
        <f>'[39]Template '!$C$63</f>
        <v>1</v>
      </c>
      <c r="BG27">
        <f>'[39]Template '!$B$29</f>
        <v>0.22222222222222221</v>
      </c>
      <c r="BH27" t="str">
        <f>'[39]Template '!$B$30</f>
        <v>n/a</v>
      </c>
      <c r="BI27">
        <f>'[39]Template '!$B$31</f>
        <v>0.25</v>
      </c>
      <c r="BJ27">
        <f>'[39]Template '!$B$32</f>
        <v>0.5</v>
      </c>
      <c r="BK27">
        <f>'[39]Template '!$B$33</f>
        <v>0.33730158730158727</v>
      </c>
      <c r="BM27">
        <f>'[39]Template '!$B$52</f>
        <v>0.375</v>
      </c>
      <c r="BN27">
        <f>'[39]Template '!$B$53</f>
        <v>0.37777777777777777</v>
      </c>
      <c r="BO27">
        <f>'[39]Template '!$B$54</f>
        <v>0</v>
      </c>
      <c r="BP27">
        <f>'[39]Template '!$B$55</f>
        <v>0.5</v>
      </c>
      <c r="BQ27">
        <f>'[39]Template '!$B$56</f>
        <v>0.48412698412698413</v>
      </c>
      <c r="BS27">
        <f>'[39]Template '!$B$74</f>
        <v>0.29090909090909089</v>
      </c>
      <c r="BT27" t="str">
        <f>'[39]Template '!$B$75</f>
        <v>n/a</v>
      </c>
      <c r="BU27">
        <f>'[39]Template '!$B$76</f>
        <v>0.10714285714285714</v>
      </c>
      <c r="BV27">
        <f>'[39]Template '!$B$77</f>
        <v>0.39583333333333331</v>
      </c>
      <c r="BW27">
        <f>'[39]Template '!$B$78</f>
        <v>0.40873015873015878</v>
      </c>
      <c r="BY27">
        <f>'[39]Template '!$B$96</f>
        <v>0.43333333333333335</v>
      </c>
      <c r="BZ27">
        <f>'[39]Template '!$B$97</f>
        <v>0.37777777777777777</v>
      </c>
      <c r="CA27">
        <f>'[39]Template '!$B$98</f>
        <v>0</v>
      </c>
      <c r="CB27">
        <f>'[39]Template '!$B$99</f>
        <v>0.63888888888888884</v>
      </c>
      <c r="CC27">
        <f>'[39]Template '!$B$100</f>
        <v>0.64444444444444438</v>
      </c>
      <c r="CF27">
        <f>'[39]Template '!$Z$30</f>
        <v>0</v>
      </c>
      <c r="CG27">
        <f>'[39]Template '!$AB$75</f>
        <v>0</v>
      </c>
      <c r="CH27">
        <f>'[39]Template '!$C$89</f>
        <v>0.5</v>
      </c>
      <c r="CI27">
        <f>'[39]Template '!$AF$75</f>
        <v>0</v>
      </c>
      <c r="CJ27">
        <f>'[39]Template '!$AR$97</f>
        <v>0</v>
      </c>
      <c r="CK27">
        <f>'[39]Template '!$AS$97</f>
        <v>0</v>
      </c>
      <c r="CL27">
        <f>'[39]Template '!$AZ$97</f>
        <v>0</v>
      </c>
      <c r="CM27">
        <f>'[39]Template '!$BB$97</f>
        <v>0</v>
      </c>
      <c r="CN27">
        <f>'[39]Template '!$AU$53</f>
        <v>0</v>
      </c>
      <c r="CO27">
        <f>'[39]Template '!$AV$53</f>
        <v>0</v>
      </c>
      <c r="CP27">
        <f>'[39]Template '!$AY$53</f>
        <v>0</v>
      </c>
      <c r="CQ27">
        <f>'[39]Template '!$AX$53</f>
        <v>0</v>
      </c>
      <c r="CR27">
        <f>'[39]Template '!$AZ$53</f>
        <v>0</v>
      </c>
      <c r="CS27">
        <f>'[39]Template '!$BF$53</f>
        <v>0</v>
      </c>
      <c r="CT27">
        <f t="shared" si="5"/>
        <v>0.5</v>
      </c>
      <c r="CU27">
        <f t="shared" si="6"/>
        <v>0</v>
      </c>
      <c r="CV27">
        <f t="shared" si="7"/>
        <v>0.5</v>
      </c>
      <c r="CY27" t="str">
        <f>'[39]Template '!$E$2</f>
        <v>A</v>
      </c>
      <c r="CZ27">
        <f>'[39]Template '!$B$13</f>
        <v>1</v>
      </c>
      <c r="DA27">
        <f>'[39]Template '!$D$2</f>
        <v>1</v>
      </c>
      <c r="DB27" t="str">
        <f>'[39]Template '!$D$3</f>
        <v>9/20/2022</v>
      </c>
      <c r="DC27">
        <f>'[39]Template '!$F$2</f>
        <v>44988</v>
      </c>
      <c r="DE27">
        <f>'[39]Template '!$B$12</f>
        <v>21</v>
      </c>
      <c r="DF27" t="str">
        <f>'[39]Template '!$B$14</f>
        <v>2/20</v>
      </c>
      <c r="DG27" t="str">
        <f>'[39]Template '!$B$15</f>
        <v>6/20</v>
      </c>
      <c r="DH27">
        <f>'[39]Template '!$B$16</f>
        <v>24</v>
      </c>
      <c r="DI27">
        <f>'[39]Template '!$B$17</f>
        <v>0</v>
      </c>
      <c r="DJ27">
        <f>'[39]Template '!$B$18</f>
        <v>0</v>
      </c>
      <c r="DK27">
        <f>'[39]Template '!$B$19</f>
        <v>0</v>
      </c>
      <c r="DL27">
        <f>'[39]Template '!$B$20</f>
        <v>0</v>
      </c>
      <c r="DM27">
        <f>'[39]Template '!$B$21</f>
        <v>0</v>
      </c>
      <c r="DN27" t="str">
        <f>'[39]Template '!$B$22</f>
        <v>n/a</v>
      </c>
      <c r="DP27">
        <f>'[39]Template '!$I$13</f>
        <v>5</v>
      </c>
      <c r="DQ27">
        <f>'[39]Template '!$I$14</f>
        <v>5</v>
      </c>
      <c r="DR27">
        <f>'[39]Template '!$I$15</f>
        <v>4</v>
      </c>
      <c r="DS27">
        <f>'[39]Template '!$I$16</f>
        <v>4</v>
      </c>
      <c r="DT27">
        <f>'[39]Template '!$I$17</f>
        <v>4</v>
      </c>
      <c r="DU27">
        <f>'[39]Template '!$I$18</f>
        <v>4</v>
      </c>
      <c r="DV27">
        <f>'[39]Template '!$I$19</f>
        <v>4</v>
      </c>
      <c r="DW27">
        <f>'[39]Template '!$I$20</f>
        <v>3</v>
      </c>
      <c r="DX27">
        <f>'[39]Template '!$I$21</f>
        <v>4</v>
      </c>
      <c r="DY27">
        <f>'[39]Template '!$I$22</f>
        <v>4</v>
      </c>
      <c r="DZ27">
        <f>'[39]Template '!$I$23</f>
        <v>4</v>
      </c>
      <c r="EA27">
        <f>'[39]Template '!$I$24</f>
        <v>0</v>
      </c>
      <c r="ED27">
        <f>'[39]Template '!$L$13</f>
        <v>5</v>
      </c>
      <c r="EE27">
        <f>'[39]Template '!$L$14</f>
        <v>5</v>
      </c>
      <c r="EF27">
        <f>'[39]Template '!$L$15</f>
        <v>4</v>
      </c>
      <c r="EG27">
        <f>'[39]Template '!$L$16</f>
        <v>2</v>
      </c>
      <c r="EH27">
        <f>'[39]Template '!$L$17</f>
        <v>2</v>
      </c>
      <c r="EI27">
        <f>'[39]Template '!$L$18</f>
        <v>2</v>
      </c>
      <c r="EJ27">
        <f>'[39]Template '!$L$19</f>
        <v>4</v>
      </c>
      <c r="EK27">
        <f>'[39]Template '!$L$20</f>
        <v>2</v>
      </c>
      <c r="EL27">
        <f>'[39]Template '!$L$21</f>
        <v>3</v>
      </c>
      <c r="EM27">
        <f>'[39]Template '!$L$22</f>
        <v>4</v>
      </c>
      <c r="EN27">
        <f>'[39]Template '!$L$23</f>
        <v>4</v>
      </c>
      <c r="EQ27">
        <f>'[39]Template '!$O$13</f>
        <v>4</v>
      </c>
      <c r="ER27">
        <f>'[39]Template '!$O$14</f>
        <v>1</v>
      </c>
      <c r="ES27">
        <f>'[39]Template '!$O$15</f>
        <v>1</v>
      </c>
      <c r="ET27">
        <f>'[39]Template '!$O$16</f>
        <v>1</v>
      </c>
      <c r="EU27">
        <f>'[39]Template '!$O$17</f>
        <v>4</v>
      </c>
      <c r="EV27">
        <f>'[39]Template '!$O$18</f>
        <v>1</v>
      </c>
      <c r="EW27">
        <f>'[39]Template '!$O$19</f>
        <v>1</v>
      </c>
      <c r="EX27">
        <f>'[39]Template '!$O$20</f>
        <v>3</v>
      </c>
      <c r="EY27">
        <f>'[39]Template '!$O$21</f>
        <v>1</v>
      </c>
      <c r="EZ27">
        <f>'[39]Template '!$O$22</f>
        <v>1</v>
      </c>
      <c r="FA27">
        <f>'[39]Template '!$O$23</f>
        <v>1</v>
      </c>
      <c r="FL27">
        <f>'[39]Template '!$D$5</f>
        <v>0.32738095238095238</v>
      </c>
      <c r="FM27">
        <f>'[39]Template '!$D$6</f>
        <v>0.30065386002886002</v>
      </c>
      <c r="FN27">
        <f>'[39]Template '!$D$7</f>
        <v>0.3473809523809524</v>
      </c>
      <c r="FO27">
        <f>'[39]Template '!$D$8</f>
        <v>0.41888888888888881</v>
      </c>
      <c r="FP27">
        <f>'[39]Template '!$D$9</f>
        <v>0.34857616341991343</v>
      </c>
      <c r="FR27">
        <f>'[39]Template '!$E$5</f>
        <v>0.32370448179271705</v>
      </c>
      <c r="FS27">
        <f>'[39]Template '!$E$6</f>
        <v>0.32967171717171717</v>
      </c>
      <c r="FT27">
        <f>'[39]Template '!$E$7</f>
        <v>0.30095238095238097</v>
      </c>
      <c r="FU27">
        <f>'[39]Template '!$E$8</f>
        <v>0.37062049062049057</v>
      </c>
      <c r="FV27">
        <f>'[39]Template '!$E$9</f>
        <v>0.33123726763432643</v>
      </c>
    </row>
    <row r="28" spans="1:178" s="28" customFormat="1" x14ac:dyDescent="0.2">
      <c r="A28" s="28" t="str">
        <f>'[1]Template '!$A$2</f>
        <v>M_013</v>
      </c>
      <c r="C28" s="28" t="str">
        <f t="shared" si="4"/>
        <v>M_013.xlsx</v>
      </c>
      <c r="E28" s="28" t="str">
        <f>'[1]Template '!$C$2</f>
        <v>D only</v>
      </c>
      <c r="G28" s="28">
        <f>'[1]Template '!$C$29</f>
        <v>0</v>
      </c>
      <c r="H28" s="28" t="str">
        <f>'[1]Template '!$C$30</f>
        <v>n/a</v>
      </c>
      <c r="I28" s="28">
        <f>'[1]Template '!$C$31</f>
        <v>0.33333333333333331</v>
      </c>
      <c r="J28" s="28">
        <f>'[1]Template '!$C$32</f>
        <v>0.5845588235294118</v>
      </c>
      <c r="K28" s="28">
        <f>'[1]Template '!$C$33</f>
        <v>0</v>
      </c>
      <c r="M28" s="28">
        <f>'[1]Template '!$C$80</f>
        <v>872</v>
      </c>
      <c r="N28" s="28">
        <f>'[1]Template '!$C$81</f>
        <v>19</v>
      </c>
      <c r="O28" s="28">
        <f>'[1]Template '!$C$82</f>
        <v>2.5</v>
      </c>
      <c r="P28" s="28">
        <f>'[1]Template '!$C$83</f>
        <v>1.5</v>
      </c>
      <c r="Q28" s="28">
        <f>'[1]Template '!$C$84</f>
        <v>1.5</v>
      </c>
      <c r="R28" s="28">
        <f>'[1]Template '!$C$85</f>
        <v>1</v>
      </c>
      <c r="T28" s="28">
        <f>'[1]Template '!$C$74</f>
        <v>0.51818181818181819</v>
      </c>
      <c r="U28" s="28" t="str">
        <f>'[1]Template '!$C$75</f>
        <v>n/a</v>
      </c>
      <c r="V28" s="28">
        <f>'[1]Template '!$C$76</f>
        <v>0.42857142857142855</v>
      </c>
      <c r="W28" s="28">
        <f>'[1]Template '!$C$77</f>
        <v>0.48809523809523803</v>
      </c>
      <c r="X28" s="28">
        <f>'[1]Template '!$C$78</f>
        <v>0.47817460317460325</v>
      </c>
      <c r="Z28" s="28">
        <f>'[1]Template '!$C$80</f>
        <v>872</v>
      </c>
      <c r="AA28" s="28">
        <f>'[1]Template '!$C$81</f>
        <v>19</v>
      </c>
      <c r="AB28" s="28">
        <f>'[1]Template '!$C$82</f>
        <v>2.5</v>
      </c>
      <c r="AC28" s="28">
        <f>'[1]Template '!$C$83</f>
        <v>1.5</v>
      </c>
      <c r="AD28" s="28">
        <f>'[1]Template '!$C$84</f>
        <v>1.5</v>
      </c>
      <c r="AE28" s="28">
        <f>'[1]Template '!$C$85</f>
        <v>1</v>
      </c>
      <c r="AG28" s="28">
        <f>'[1]Template '!$C$96</f>
        <v>0.58333333333333326</v>
      </c>
      <c r="AH28" s="28">
        <f>'[1]Template '!$C$97</f>
        <v>0.48518518518518522</v>
      </c>
      <c r="AI28" s="28">
        <f>'[1]Template '!$C$98</f>
        <v>0.5</v>
      </c>
      <c r="AJ28" s="28">
        <f>'[1]Template '!$C$99</f>
        <v>0.25252525252525254</v>
      </c>
      <c r="AK28" s="28">
        <f>'[1]Template '!$C$100</f>
        <v>0.65793650793650793</v>
      </c>
      <c r="AM28" s="28">
        <f>'[1]Template '!$C$102</f>
        <v>987</v>
      </c>
      <c r="AN28" s="28">
        <f>'[1]Template '!$C$103</f>
        <v>28</v>
      </c>
      <c r="AO28" s="28">
        <f>'[1]Template '!$C$104</f>
        <v>3</v>
      </c>
      <c r="AP28" s="28">
        <f>'[1]Template '!$C$105</f>
        <v>1.5</v>
      </c>
      <c r="AQ28" s="28">
        <f>'[1]Template '!$C$106</f>
        <v>2</v>
      </c>
      <c r="AR28" s="28">
        <f>'[1]Template '!$C$107</f>
        <v>1.5</v>
      </c>
      <c r="AT28" s="28">
        <f>'[1]Template '!$C$52</f>
        <v>0.55555555555555558</v>
      </c>
      <c r="AU28" s="28">
        <f>'[1]Template '!$C$53</f>
        <v>0.48518518518518522</v>
      </c>
      <c r="AV28" s="28">
        <f>'[1]Template '!$C$54</f>
        <v>0.5</v>
      </c>
      <c r="AW28" s="28">
        <f>'[1]Template '!$C$55</f>
        <v>0.3125</v>
      </c>
      <c r="AX28" s="28">
        <f>'[1]Template '!$C$56</f>
        <v>0.55476190476190479</v>
      </c>
      <c r="AZ28" s="28">
        <f>'[1]Template '!$C$58</f>
        <v>1200</v>
      </c>
      <c r="BA28" s="28">
        <f>'[1]Template '!$C$59</f>
        <v>27.5</v>
      </c>
      <c r="BB28" s="28">
        <f>'[1]Template '!$C$60</f>
        <v>3</v>
      </c>
      <c r="BC28" s="28">
        <f>'[1]Template '!$C$61</f>
        <v>2</v>
      </c>
      <c r="BD28" s="28">
        <f>'[1]Template '!$C$62</f>
        <v>2</v>
      </c>
      <c r="BE28" s="28">
        <f>'[1]Template '!$C$63</f>
        <v>1.5</v>
      </c>
      <c r="BG28" s="28">
        <f>'[1]Template '!$B$29</f>
        <v>0</v>
      </c>
      <c r="BH28" s="28" t="str">
        <f>'[1]Template '!$B$30</f>
        <v>n/a</v>
      </c>
      <c r="BI28" s="28">
        <f>'[1]Template '!$B$31</f>
        <v>0.33333333333333331</v>
      </c>
      <c r="BJ28" s="28">
        <f>'[1]Template '!$B$32</f>
        <v>0.4375</v>
      </c>
      <c r="BK28" s="28">
        <f>'[1]Template '!$B$33</f>
        <v>0</v>
      </c>
      <c r="BM28" s="28">
        <f>'[1]Template '!$B$52</f>
        <v>0.47222222222222221</v>
      </c>
      <c r="BN28" s="28">
        <f>'[1]Template '!$B$53</f>
        <v>0.48518518518518522</v>
      </c>
      <c r="BO28" s="28">
        <f>'[1]Template '!$B$54</f>
        <v>0.5</v>
      </c>
      <c r="BP28" s="28">
        <f>'[1]Template '!$B$55</f>
        <v>0.3611111111111111</v>
      </c>
      <c r="BQ28" s="28">
        <f>'[1]Template '!$B$56</f>
        <v>0.55476190476190479</v>
      </c>
      <c r="BS28" s="28">
        <f>'[1]Template '!$B$74</f>
        <v>0.51818181818181819</v>
      </c>
      <c r="BT28" s="28" t="str">
        <f>'[1]Template '!$B$75</f>
        <v>n/a</v>
      </c>
      <c r="BU28" s="28">
        <f>'[1]Template '!$B$76</f>
        <v>0.42857142857142855</v>
      </c>
      <c r="BV28" s="28">
        <f>'[1]Template '!$B$77</f>
        <v>0.52083333333333326</v>
      </c>
      <c r="BW28" s="28">
        <f>'[1]Template '!$B$78</f>
        <v>0.47817460317460325</v>
      </c>
      <c r="BY28" s="28">
        <f>'[1]Template '!$B$96</f>
        <v>0.58333333333333326</v>
      </c>
      <c r="BZ28" s="28">
        <f>'[1]Template '!$B$97</f>
        <v>0.48518518518518522</v>
      </c>
      <c r="CA28" s="28">
        <f>'[1]Template '!$B$98</f>
        <v>0.5</v>
      </c>
      <c r="CB28" s="28">
        <f>'[1]Template '!$B$99</f>
        <v>0.33333333333333331</v>
      </c>
      <c r="CC28" s="28">
        <f>'[1]Template '!$B$100</f>
        <v>0.65793650793650793</v>
      </c>
      <c r="CF28" s="28">
        <f>'[1]Template '!$Z$30</f>
        <v>0</v>
      </c>
      <c r="CG28" s="28">
        <f>'[1]Template '!$AB$75</f>
        <v>0</v>
      </c>
      <c r="CH28" s="28">
        <f>'[1]Template '!$C$89</f>
        <v>0</v>
      </c>
      <c r="CI28" s="28">
        <f>'[1]Template '!$AF$75</f>
        <v>0</v>
      </c>
      <c r="CJ28" s="28">
        <f>'[1]Template '!$AR$97</f>
        <v>0</v>
      </c>
      <c r="CK28" s="28">
        <f>'[1]Template '!$AS$97</f>
        <v>0</v>
      </c>
      <c r="CL28" s="28">
        <f>'[1]Template '!$AZ$97</f>
        <v>0</v>
      </c>
      <c r="CM28" s="28">
        <f>'[1]Template '!$BB$97</f>
        <v>0</v>
      </c>
      <c r="CN28" s="28">
        <f>'[1]Template '!$AU$53</f>
        <v>0</v>
      </c>
      <c r="CO28" s="28">
        <f>'[1]Template '!$AV$53</f>
        <v>0</v>
      </c>
      <c r="CP28" s="28">
        <f>'[1]Template '!$AY$53</f>
        <v>0</v>
      </c>
      <c r="CQ28" s="28">
        <f>'[1]Template '!$AX$53</f>
        <v>0</v>
      </c>
      <c r="CR28" s="28">
        <f>'[1]Template '!$AZ$53</f>
        <v>0</v>
      </c>
      <c r="CS28" s="28">
        <f>'[1]Template '!$BF$53</f>
        <v>0</v>
      </c>
      <c r="CT28" s="28">
        <f t="shared" si="5"/>
        <v>0</v>
      </c>
      <c r="CU28" s="28">
        <f t="shared" si="6"/>
        <v>0</v>
      </c>
      <c r="CV28" s="28">
        <f t="shared" si="7"/>
        <v>0</v>
      </c>
      <c r="CY28" s="28" t="str">
        <f>'[1]Template '!$E$2</f>
        <v>A</v>
      </c>
      <c r="CZ28" s="28">
        <f>'[1]Template '!$B$13</f>
        <v>1</v>
      </c>
      <c r="DA28" s="28">
        <f>'[1]Template '!$D$2</f>
        <v>1</v>
      </c>
      <c r="DB28" s="28" t="str">
        <f>'[1]Template '!$D$3</f>
        <v>9/20/2022</v>
      </c>
      <c r="DC28" s="28">
        <f>'[1]Template '!$F$2</f>
        <v>45027</v>
      </c>
      <c r="DE28" s="28">
        <f>'[1]Template '!$B$12</f>
        <v>20</v>
      </c>
      <c r="DF28" s="28" t="str">
        <f>'[1]Template '!$B$14</f>
        <v>10/21</v>
      </c>
      <c r="DG28" s="28" t="str">
        <f>'[1]Template '!$B$15</f>
        <v>3/22</v>
      </c>
      <c r="DH28" s="28">
        <f>'[1]Template '!$B$16</f>
        <v>12</v>
      </c>
      <c r="DI28" s="28">
        <f>'[1]Template '!$B$17</f>
        <v>0</v>
      </c>
      <c r="DJ28" s="28">
        <f>'[1]Template '!$B$18</f>
        <v>0</v>
      </c>
      <c r="DK28" s="28">
        <f>'[1]Template '!$B$19</f>
        <v>0</v>
      </c>
      <c r="DL28" s="28">
        <f>'[1]Template '!$B$20</f>
        <v>0</v>
      </c>
      <c r="DM28" s="28">
        <f>'[1]Template '!$B$21</f>
        <v>0</v>
      </c>
      <c r="DN28" s="28">
        <f>'[1]Template '!$B$22</f>
        <v>0</v>
      </c>
      <c r="DP28" s="28">
        <f>'[1]Template '!$I$13</f>
        <v>4</v>
      </c>
      <c r="DQ28" s="28">
        <f>'[1]Template '!$I$14</f>
        <v>4</v>
      </c>
      <c r="DR28" s="28">
        <f>'[1]Template '!$I$15</f>
        <v>4</v>
      </c>
      <c r="DS28" s="28">
        <f>'[1]Template '!$I$16</f>
        <v>3</v>
      </c>
      <c r="DT28" s="28">
        <f>'[1]Template '!$I$17</f>
        <v>4</v>
      </c>
      <c r="DU28" s="28">
        <f>'[1]Template '!$I$18</f>
        <v>3</v>
      </c>
      <c r="DV28" s="28">
        <f>'[1]Template '!$I$19</f>
        <v>5</v>
      </c>
      <c r="DW28" s="28">
        <f>'[1]Template '!$I$20</f>
        <v>3</v>
      </c>
      <c r="DX28" s="28">
        <f>'[1]Template '!$I$21</f>
        <v>3</v>
      </c>
      <c r="DY28" s="28">
        <f>'[1]Template '!$I$22</f>
        <v>3</v>
      </c>
      <c r="DZ28" s="28">
        <f>'[1]Template '!$I$23</f>
        <v>1</v>
      </c>
      <c r="EA28" s="28">
        <f>'[1]Template '!$I$24</f>
        <v>0</v>
      </c>
      <c r="ED28" s="28">
        <f>'[1]Template '!$L$13</f>
        <v>4</v>
      </c>
      <c r="EE28" s="28">
        <f>'[1]Template '!$L$14</f>
        <v>4</v>
      </c>
      <c r="EF28" s="28">
        <f>'[1]Template '!$L$15</f>
        <v>4</v>
      </c>
      <c r="EG28" s="28">
        <f>'[1]Template '!$L$16</f>
        <v>3</v>
      </c>
      <c r="EH28" s="28">
        <f>'[1]Template '!$L$17</f>
        <v>3</v>
      </c>
      <c r="EI28" s="28">
        <f>'[1]Template '!$L$18</f>
        <v>2</v>
      </c>
      <c r="EJ28" s="28">
        <f>'[1]Template '!$L$19</f>
        <v>5</v>
      </c>
      <c r="EK28" s="28">
        <f>'[1]Template '!$L$20</f>
        <v>2</v>
      </c>
      <c r="EL28" s="28">
        <f>'[1]Template '!$L$21</f>
        <v>3</v>
      </c>
      <c r="EM28" s="28">
        <f>'[1]Template '!$L$22</f>
        <v>3</v>
      </c>
      <c r="EN28" s="28">
        <f>'[1]Template '!$L$23</f>
        <v>5</v>
      </c>
      <c r="EQ28" s="28">
        <f>'[1]Template '!$O$13</f>
        <v>4</v>
      </c>
      <c r="ER28" s="28">
        <f>'[1]Template '!$O$14</f>
        <v>1</v>
      </c>
      <c r="ES28" s="28">
        <f>'[1]Template '!$O$15</f>
        <v>1</v>
      </c>
      <c r="ET28" s="28">
        <f>'[1]Template '!$O$16</f>
        <v>2</v>
      </c>
      <c r="EU28" s="28">
        <f>'[1]Template '!$O$17</f>
        <v>4</v>
      </c>
      <c r="EV28" s="28">
        <f>'[1]Template '!$O$18</f>
        <v>2</v>
      </c>
      <c r="EW28" s="28">
        <f>'[1]Template '!$O$19</f>
        <v>3</v>
      </c>
      <c r="EX28" s="28">
        <f>'[1]Template '!$O$20</f>
        <v>4</v>
      </c>
      <c r="EY28" s="28">
        <f>'[1]Template '!$O$21</f>
        <v>1</v>
      </c>
      <c r="EZ28" s="28">
        <f>'[1]Template '!$O$22</f>
        <v>2</v>
      </c>
      <c r="FA28" s="28">
        <f>'[1]Template '!$O$23</f>
        <v>1</v>
      </c>
      <c r="FL28" s="28">
        <f>'[1]Template '!$D$5</f>
        <v>0.19270833333333331</v>
      </c>
      <c r="FM28" s="28">
        <f>'[1]Template '!$D$6</f>
        <v>0.4864402958152958</v>
      </c>
      <c r="FN28" s="28">
        <f>'[1]Template '!$D$7</f>
        <v>0.47465608465608466</v>
      </c>
      <c r="FO28" s="28">
        <f>'[1]Template '!$D$8</f>
        <v>0.51195767195767194</v>
      </c>
      <c r="FP28" s="28">
        <f>'[1]Template '!$D$9</f>
        <v>0.41644059644059639</v>
      </c>
      <c r="FR28" s="28">
        <f>'[1]Template '!$E$5</f>
        <v>0.22947303921568629</v>
      </c>
      <c r="FS28" s="28">
        <f>'[1]Template '!$E$6</f>
        <v>0.47825577200577196</v>
      </c>
      <c r="FT28" s="28">
        <f>'[1]Template '!$E$7</f>
        <v>0.48160052910052914</v>
      </c>
      <c r="FU28" s="28">
        <f>'[1]Template '!$E$8</f>
        <v>0.49579605579605579</v>
      </c>
      <c r="FV28" s="28">
        <f>'[1]Template '!$E$9</f>
        <v>0.42128134902951075</v>
      </c>
    </row>
    <row r="29" spans="1:178" x14ac:dyDescent="0.2">
      <c r="A29" t="str">
        <f>'[4]Template '!$A$2</f>
        <v>M_022</v>
      </c>
      <c r="C29" t="str">
        <f t="shared" si="4"/>
        <v>M_022.xlsx</v>
      </c>
      <c r="E29" t="str">
        <f>'[4]Template '!$C$2</f>
        <v>D only</v>
      </c>
      <c r="G29">
        <f>'[4]Template '!$C$29</f>
        <v>0.66666666666666663</v>
      </c>
      <c r="H29" t="str">
        <f>'[4]Template '!$C$30</f>
        <v>n/a</v>
      </c>
      <c r="I29">
        <f>'[4]Template '!$C$31</f>
        <v>0.16666666666666666</v>
      </c>
      <c r="J29">
        <f>'[4]Template '!$C$32</f>
        <v>0.54411764705882359</v>
      </c>
      <c r="K29">
        <f>'[4]Template '!$C$33</f>
        <v>0.65873015873015872</v>
      </c>
      <c r="M29">
        <f>'[4]Template '!$C$80</f>
        <v>1200</v>
      </c>
      <c r="N29">
        <f>'[4]Template '!$C$81</f>
        <v>18.5</v>
      </c>
      <c r="O29">
        <f>'[4]Template '!$C$82</f>
        <v>2.5</v>
      </c>
      <c r="P29">
        <f>'[4]Template '!$C$83</f>
        <v>1.5</v>
      </c>
      <c r="Q29">
        <f>'[4]Template '!$C$84</f>
        <v>1.5</v>
      </c>
      <c r="R29">
        <f>'[4]Template '!$C$85</f>
        <v>1</v>
      </c>
      <c r="T29">
        <f>'[4]Template '!$C$74</f>
        <v>0.51818181818181819</v>
      </c>
      <c r="U29" t="str">
        <f>'[4]Template '!$C$75</f>
        <v>n/a</v>
      </c>
      <c r="V29">
        <f>'[4]Template '!$C$76</f>
        <v>0.21428571428571427</v>
      </c>
      <c r="W29">
        <f>'[4]Template '!$C$77</f>
        <v>0.11904761904761904</v>
      </c>
      <c r="X29">
        <f>'[4]Template '!$C$78</f>
        <v>0.28769841269841273</v>
      </c>
      <c r="Z29">
        <f>'[4]Template '!$C$80</f>
        <v>1200</v>
      </c>
      <c r="AA29">
        <f>'[4]Template '!$C$81</f>
        <v>18.5</v>
      </c>
      <c r="AB29">
        <f>'[4]Template '!$C$82</f>
        <v>2.5</v>
      </c>
      <c r="AC29">
        <f>'[4]Template '!$C$83</f>
        <v>1.5</v>
      </c>
      <c r="AD29">
        <f>'[4]Template '!$C$84</f>
        <v>1.5</v>
      </c>
      <c r="AE29">
        <f>'[4]Template '!$C$85</f>
        <v>1</v>
      </c>
      <c r="AG29">
        <f>'[4]Template '!$C$96</f>
        <v>0.64583333333333326</v>
      </c>
      <c r="AH29">
        <f>'[4]Template '!$C$97</f>
        <v>0.34074074074074073</v>
      </c>
      <c r="AI29">
        <f>'[4]Template '!$C$98</f>
        <v>0</v>
      </c>
      <c r="AJ29">
        <f>'[4]Template '!$C$99</f>
        <v>0.28787878787878785</v>
      </c>
      <c r="AK29">
        <f>'[4]Template '!$C$100</f>
        <v>0.79007936507936505</v>
      </c>
      <c r="AM29">
        <f>'[4]Template '!$C$102</f>
        <v>1065</v>
      </c>
      <c r="AN29">
        <f>'[4]Template '!$C$103</f>
        <v>61.5</v>
      </c>
      <c r="AO29">
        <f>'[4]Template '!$C$104</f>
        <v>2.5</v>
      </c>
      <c r="AP29">
        <f>'[4]Template '!$C$105</f>
        <v>3</v>
      </c>
      <c r="AQ29">
        <f>'[4]Template '!$C$106</f>
        <v>3</v>
      </c>
      <c r="AR29">
        <f>'[4]Template '!$C$107</f>
        <v>3</v>
      </c>
      <c r="AT29">
        <f>'[4]Template '!$C$52</f>
        <v>0.77341269841269844</v>
      </c>
      <c r="AU29">
        <f>'[4]Template '!$C$53</f>
        <v>0.34074074074074073</v>
      </c>
      <c r="AV29">
        <f>'[4]Template '!$C$54</f>
        <v>0</v>
      </c>
      <c r="AW29">
        <f>'[4]Template '!$C$55</f>
        <v>0.43005952380952378</v>
      </c>
      <c r="AX29">
        <f>'[4]Template '!$C$56</f>
        <v>0.60079365079365077</v>
      </c>
      <c r="AZ29">
        <f>'[4]Template '!$C$58</f>
        <v>1195</v>
      </c>
      <c r="BA29">
        <f>'[4]Template '!$C$59</f>
        <v>68</v>
      </c>
      <c r="BB29">
        <f>'[4]Template '!$C$60</f>
        <v>2.5</v>
      </c>
      <c r="BC29">
        <f>'[4]Template '!$C$61</f>
        <v>2</v>
      </c>
      <c r="BD29">
        <f>'[4]Template '!$C$62</f>
        <v>2.5</v>
      </c>
      <c r="BE29">
        <f>'[4]Template '!$C$63</f>
        <v>3</v>
      </c>
      <c r="BG29">
        <f>'[4]Template '!$B$29</f>
        <v>0.66666666666666663</v>
      </c>
      <c r="BH29" t="str">
        <f>'[4]Template '!$B$30</f>
        <v>n/a</v>
      </c>
      <c r="BI29">
        <f>'[4]Template '!$B$31</f>
        <v>0.16666666666666666</v>
      </c>
      <c r="BJ29">
        <f>'[4]Template '!$B$32</f>
        <v>0.5625</v>
      </c>
      <c r="BK29">
        <f>'[4]Template '!$B$33</f>
        <v>0.65873015873015872</v>
      </c>
      <c r="BM29">
        <f>'[4]Template '!$B$52</f>
        <v>0.63055555555555554</v>
      </c>
      <c r="BN29">
        <f>'[4]Template '!$B$53</f>
        <v>0.34074074074074073</v>
      </c>
      <c r="BO29">
        <f>'[4]Template '!$B$54</f>
        <v>0</v>
      </c>
      <c r="BP29">
        <f>'[4]Template '!$B$55</f>
        <v>0.56481481481481477</v>
      </c>
      <c r="BQ29">
        <f>'[4]Template '!$B$56</f>
        <v>0.60079365079365077</v>
      </c>
      <c r="BS29">
        <f>'[4]Template '!$B$74</f>
        <v>0.51818181818181819</v>
      </c>
      <c r="BT29" t="str">
        <f>'[4]Template '!$B$75</f>
        <v>n/a</v>
      </c>
      <c r="BU29">
        <f>'[4]Template '!$B$76</f>
        <v>0.21428571428571427</v>
      </c>
      <c r="BV29">
        <f>'[4]Template '!$B$77</f>
        <v>0</v>
      </c>
      <c r="BW29">
        <f>'[4]Template '!$B$78</f>
        <v>0.28769841269841273</v>
      </c>
      <c r="BY29">
        <f>'[4]Template '!$B$96</f>
        <v>0.64583333333333326</v>
      </c>
      <c r="BZ29">
        <f>'[4]Template '!$B$97</f>
        <v>0.34074074074074073</v>
      </c>
      <c r="CA29">
        <f>'[4]Template '!$B$98</f>
        <v>0</v>
      </c>
      <c r="CB29">
        <f>'[4]Template '!$B$99</f>
        <v>0.58333333333333337</v>
      </c>
      <c r="CC29">
        <f>'[4]Template '!$B$100</f>
        <v>0.79007936507936505</v>
      </c>
      <c r="CF29">
        <f>'[4]Template '!$Z$30</f>
        <v>0</v>
      </c>
      <c r="CG29">
        <f>'[4]Template '!$AB$75</f>
        <v>0</v>
      </c>
      <c r="CH29">
        <f>'[4]Template '!$C$89</f>
        <v>0</v>
      </c>
      <c r="CI29">
        <f>'[4]Template '!$AF$75</f>
        <v>0</v>
      </c>
      <c r="CJ29">
        <f>'[4]Template '!$AR$97</f>
        <v>1</v>
      </c>
      <c r="CK29">
        <f>'[4]Template '!$AS$97</f>
        <v>1</v>
      </c>
      <c r="CL29">
        <f>'[4]Template '!$AZ$97</f>
        <v>0.5</v>
      </c>
      <c r="CM29">
        <f>'[4]Template '!$BB$97</f>
        <v>0</v>
      </c>
      <c r="CN29">
        <f>'[4]Template '!$AU$53</f>
        <v>0.5</v>
      </c>
      <c r="CO29">
        <f>'[4]Template '!$AV$53</f>
        <v>0.5</v>
      </c>
      <c r="CP29">
        <f>'[4]Template '!$AY$53</f>
        <v>0</v>
      </c>
      <c r="CQ29">
        <f>'[4]Template '!$AX$53</f>
        <v>0.5</v>
      </c>
      <c r="CR29">
        <f>'[4]Template '!$AZ$53</f>
        <v>1</v>
      </c>
      <c r="CS29">
        <f>'[4]Template '!$BF$53</f>
        <v>0.5</v>
      </c>
      <c r="CT29">
        <f t="shared" si="5"/>
        <v>0</v>
      </c>
      <c r="CU29">
        <f t="shared" si="6"/>
        <v>5.5</v>
      </c>
      <c r="CV29">
        <f t="shared" si="7"/>
        <v>5.5</v>
      </c>
      <c r="CY29" t="str">
        <f>'[4]Template '!$E$2</f>
        <v>B</v>
      </c>
      <c r="CZ29">
        <f>'[4]Template '!$B$13</f>
        <v>1</v>
      </c>
      <c r="DA29">
        <f>'[4]Template '!$D$2</f>
        <v>1</v>
      </c>
      <c r="DB29" t="str">
        <f>'[4]Template '!$D$3</f>
        <v>9/20/2022</v>
      </c>
      <c r="DC29">
        <f>'[4]Template '!$F$2</f>
        <v>45027</v>
      </c>
      <c r="DE29">
        <f>'[4]Template '!$B$12</f>
        <v>20</v>
      </c>
      <c r="DF29" t="str">
        <f>'[4]Template '!$B$14</f>
        <v>9/21</v>
      </c>
      <c r="DG29" t="str">
        <f>'[4]Template '!$B$15</f>
        <v>2/22</v>
      </c>
      <c r="DH29">
        <f>'[4]Template '!$B$16</f>
        <v>12</v>
      </c>
      <c r="DI29">
        <f>'[4]Template '!$B$17</f>
        <v>0</v>
      </c>
      <c r="DJ29">
        <f>'[4]Template '!$B$18</f>
        <v>0</v>
      </c>
      <c r="DK29">
        <f>'[4]Template '!$B$19</f>
        <v>0</v>
      </c>
      <c r="DL29">
        <f>'[4]Template '!$B$20</f>
        <v>0</v>
      </c>
      <c r="DM29">
        <f>'[4]Template '!$B$21</f>
        <v>0</v>
      </c>
      <c r="DN29">
        <f>'[4]Template '!$B$22</f>
        <v>0</v>
      </c>
      <c r="DP29">
        <f>'[4]Template '!$I$13</f>
        <v>2</v>
      </c>
      <c r="DQ29">
        <f>'[4]Template '!$I$14</f>
        <v>2</v>
      </c>
      <c r="DR29">
        <f>'[4]Template '!$I$15</f>
        <v>4</v>
      </c>
      <c r="DS29">
        <f>'[4]Template '!$I$16</f>
        <v>4</v>
      </c>
      <c r="DT29">
        <f>'[4]Template '!$I$17</f>
        <v>4</v>
      </c>
      <c r="DU29">
        <f>'[4]Template '!$I$18</f>
        <v>3</v>
      </c>
      <c r="DV29">
        <f>'[4]Template '!$I$19</f>
        <v>4</v>
      </c>
      <c r="DW29">
        <f>'[4]Template '!$I$20</f>
        <v>4</v>
      </c>
      <c r="DX29">
        <f>'[4]Template '!$I$21</f>
        <v>4</v>
      </c>
      <c r="DY29">
        <f>'[4]Template '!$I$22</f>
        <v>4</v>
      </c>
      <c r="DZ29">
        <f>'[4]Template '!$I$23</f>
        <v>4</v>
      </c>
      <c r="EA29">
        <f>'[4]Template '!$I$24</f>
        <v>1</v>
      </c>
      <c r="ED29">
        <f>'[4]Template '!$L$13</f>
        <v>2</v>
      </c>
      <c r="EE29">
        <f>'[4]Template '!$L$14</f>
        <v>2</v>
      </c>
      <c r="EF29">
        <f>'[4]Template '!$L$15</f>
        <v>4</v>
      </c>
      <c r="EG29">
        <f>'[4]Template '!$L$16</f>
        <v>2</v>
      </c>
      <c r="EH29">
        <f>'[4]Template '!$L$17</f>
        <v>4</v>
      </c>
      <c r="EI29">
        <f>'[4]Template '!$L$18</f>
        <v>4</v>
      </c>
      <c r="EJ29">
        <f>'[4]Template '!$L$19</f>
        <v>4</v>
      </c>
      <c r="EK29">
        <f>'[4]Template '!$L$20</f>
        <v>4</v>
      </c>
      <c r="EL29">
        <f>'[4]Template '!$L$21</f>
        <v>2</v>
      </c>
      <c r="EM29">
        <f>'[4]Template '!$L$22</f>
        <v>4</v>
      </c>
      <c r="EN29">
        <f>'[4]Template '!$L$23</f>
        <v>4</v>
      </c>
      <c r="EQ29">
        <f>'[4]Template '!$O$13</f>
        <v>5</v>
      </c>
      <c r="ER29">
        <f>'[4]Template '!$O$14</f>
        <v>0</v>
      </c>
      <c r="ES29">
        <f>'[4]Template '!$O$15</f>
        <v>1</v>
      </c>
      <c r="ET29">
        <f>'[4]Template '!$O$16</f>
        <v>3</v>
      </c>
      <c r="EU29">
        <f>'[4]Template '!$O$17</f>
        <v>4</v>
      </c>
      <c r="EV29">
        <f>'[4]Template '!$O$18</f>
        <v>3</v>
      </c>
      <c r="EW29">
        <f>'[4]Template '!$O$19</f>
        <v>1</v>
      </c>
      <c r="EX29">
        <f>'[4]Template '!$O$20</f>
        <v>4</v>
      </c>
      <c r="EY29">
        <f>'[4]Template '!$O$21</f>
        <v>4</v>
      </c>
      <c r="EZ29">
        <f>'[4]Template '!$O$22</f>
        <v>4</v>
      </c>
      <c r="FA29">
        <f>'[4]Template '!$O$23</f>
        <v>2</v>
      </c>
      <c r="FL29">
        <f>'[4]Template '!$D$5</f>
        <v>0.51364087301587302</v>
      </c>
      <c r="FM29">
        <f>'[4]Template '!$D$6</f>
        <v>0.25504148629148632</v>
      </c>
      <c r="FN29">
        <f>'[4]Template '!$D$7</f>
        <v>0.42738095238095236</v>
      </c>
      <c r="FO29">
        <f>'[4]Template '!$D$8</f>
        <v>0.47199735449735447</v>
      </c>
      <c r="FP29">
        <f>'[4]Template '!$D$9</f>
        <v>0.41701516654641657</v>
      </c>
      <c r="FR29">
        <f>'[4]Template '!$E$5</f>
        <v>0.50904528478057887</v>
      </c>
      <c r="FS29">
        <f>'[4]Template '!$E$6</f>
        <v>0.28480339105339109</v>
      </c>
      <c r="FT29">
        <f>'[4]Template '!$E$7</f>
        <v>0.42900132275132269</v>
      </c>
      <c r="FU29">
        <f>'[4]Template '!$E$8</f>
        <v>0.41290644540644539</v>
      </c>
      <c r="FV29">
        <f>'[4]Template '!$E$9</f>
        <v>0.40893911099793456</v>
      </c>
    </row>
    <row r="30" spans="1:178" x14ac:dyDescent="0.2">
      <c r="A30" t="str">
        <f>'[5]Template '!$A$2</f>
        <v>M_024</v>
      </c>
      <c r="C30" t="str">
        <f t="shared" si="4"/>
        <v>M_024.xlsx</v>
      </c>
      <c r="E30" t="str">
        <f>'[5]Template '!$C$2</f>
        <v>D only</v>
      </c>
      <c r="G30">
        <f>'[5]Template '!$C$29</f>
        <v>0</v>
      </c>
      <c r="H30" t="str">
        <f>'[5]Template '!$C$30</f>
        <v>n/a</v>
      </c>
      <c r="I30">
        <f>'[5]Template '!$C$31</f>
        <v>0</v>
      </c>
      <c r="J30">
        <f>'[5]Template '!$C$32</f>
        <v>0.23529411764705882</v>
      </c>
      <c r="K30">
        <f>'[5]Template '!$C$33</f>
        <v>0.48214285714285721</v>
      </c>
      <c r="M30">
        <f>'[5]Template '!$C$80</f>
        <v>735</v>
      </c>
      <c r="N30">
        <f>'[5]Template '!$C$81</f>
        <v>20</v>
      </c>
      <c r="O30">
        <f>'[5]Template '!$C$82</f>
        <v>2</v>
      </c>
      <c r="P30">
        <f>'[5]Template '!$C$83</f>
        <v>1.5</v>
      </c>
      <c r="Q30">
        <f>'[5]Template '!$C$84</f>
        <v>2</v>
      </c>
      <c r="R30">
        <f>'[5]Template '!$C$85</f>
        <v>1.5</v>
      </c>
      <c r="T30">
        <f>'[5]Template '!$C$74</f>
        <v>0.65454545454545454</v>
      </c>
      <c r="U30" t="str">
        <f>'[5]Template '!$C$75</f>
        <v>n/a</v>
      </c>
      <c r="V30">
        <f>'[5]Template '!$C$76</f>
        <v>7.1428571428571425E-2</v>
      </c>
      <c r="W30">
        <f>'[5]Template '!$C$77</f>
        <v>0.46428571428571425</v>
      </c>
      <c r="X30">
        <f>'[5]Template '!$C$78</f>
        <v>0.50595238095238093</v>
      </c>
      <c r="Z30">
        <f>'[5]Template '!$C$80</f>
        <v>735</v>
      </c>
      <c r="AA30">
        <f>'[5]Template '!$C$81</f>
        <v>20</v>
      </c>
      <c r="AB30">
        <f>'[5]Template '!$C$82</f>
        <v>2</v>
      </c>
      <c r="AC30">
        <f>'[5]Template '!$C$83</f>
        <v>1.5</v>
      </c>
      <c r="AD30">
        <f>'[5]Template '!$C$84</f>
        <v>2</v>
      </c>
      <c r="AE30">
        <f>'[5]Template '!$C$85</f>
        <v>1.5</v>
      </c>
      <c r="AG30">
        <f>'[5]Template '!$C$96</f>
        <v>0.65625</v>
      </c>
      <c r="AH30">
        <f>'[5]Template '!$C$97</f>
        <v>0.30740740740740741</v>
      </c>
      <c r="AI30">
        <f>'[5]Template '!$C$98</f>
        <v>0</v>
      </c>
      <c r="AJ30">
        <f>'[5]Template '!$C$99</f>
        <v>0.34235209235209235</v>
      </c>
      <c r="AK30">
        <f>'[5]Template '!$C$100</f>
        <v>0.61190476190476184</v>
      </c>
      <c r="AM30">
        <f>'[5]Template '!$C$102</f>
        <v>302</v>
      </c>
      <c r="AN30">
        <f>'[5]Template '!$C$103</f>
        <v>20</v>
      </c>
      <c r="AO30">
        <f>'[5]Template '!$C$104</f>
        <v>2</v>
      </c>
      <c r="AP30">
        <f>'[5]Template '!$C$105</f>
        <v>2</v>
      </c>
      <c r="AQ30">
        <f>'[5]Template '!$C$106</f>
        <v>2</v>
      </c>
      <c r="AR30">
        <f>'[5]Template '!$C$107</f>
        <v>2</v>
      </c>
      <c r="AT30">
        <f>'[5]Template '!$C$52</f>
        <v>0</v>
      </c>
      <c r="AU30">
        <f>'[5]Template '!$C$53</f>
        <v>0.30740740740740741</v>
      </c>
      <c r="AV30">
        <f>'[5]Template '!$C$54</f>
        <v>0</v>
      </c>
      <c r="AW30">
        <f>'[5]Template '!$C$55</f>
        <v>0.32142857142857145</v>
      </c>
      <c r="AX30">
        <f>'[5]Template '!$C$56</f>
        <v>0.57857142857142863</v>
      </c>
      <c r="AZ30">
        <f>'[5]Template '!$C$58</f>
        <v>207</v>
      </c>
      <c r="BA30">
        <f>'[5]Template '!$C$59</f>
        <v>12.5</v>
      </c>
      <c r="BB30">
        <f>'[5]Template '!$C$60</f>
        <v>2</v>
      </c>
      <c r="BC30">
        <f>'[5]Template '!$C$61</f>
        <v>1</v>
      </c>
      <c r="BD30">
        <f>'[5]Template '!$C$62</f>
        <v>2</v>
      </c>
      <c r="BE30">
        <f>'[5]Template '!$C$63</f>
        <v>1</v>
      </c>
      <c r="BG30">
        <f>'[5]Template '!$B$29</f>
        <v>0</v>
      </c>
      <c r="BH30" t="str">
        <f>'[5]Template '!$B$30</f>
        <v>n/a</v>
      </c>
      <c r="BI30">
        <f>'[5]Template '!$B$31</f>
        <v>0</v>
      </c>
      <c r="BJ30">
        <f>'[5]Template '!$B$32</f>
        <v>0.1875</v>
      </c>
      <c r="BK30">
        <f>'[5]Template '!$B$33</f>
        <v>0.48214285714285721</v>
      </c>
      <c r="BM30">
        <f>'[5]Template '!$B$52</f>
        <v>0</v>
      </c>
      <c r="BN30">
        <f>'[5]Template '!$B$53</f>
        <v>0.30740740740740741</v>
      </c>
      <c r="BO30">
        <f>'[5]Template '!$B$54</f>
        <v>0</v>
      </c>
      <c r="BP30">
        <f>'[5]Template '!$B$55</f>
        <v>0.41666666666666669</v>
      </c>
      <c r="BQ30">
        <f>'[5]Template '!$B$56</f>
        <v>0.57857142857142863</v>
      </c>
      <c r="BS30">
        <f>'[5]Template '!$B$74</f>
        <v>0.65454545454545454</v>
      </c>
      <c r="BT30" t="str">
        <f>'[5]Template '!$B$75</f>
        <v>n/a</v>
      </c>
      <c r="BU30">
        <f>'[5]Template '!$B$76</f>
        <v>7.1428571428571425E-2</v>
      </c>
      <c r="BV30">
        <f>'[5]Template '!$B$77</f>
        <v>0.39583333333333331</v>
      </c>
      <c r="BW30">
        <f>'[5]Template '!$B$78</f>
        <v>0.50595238095238093</v>
      </c>
      <c r="BY30">
        <f>'[5]Template '!$B$96</f>
        <v>0.65625</v>
      </c>
      <c r="BZ30">
        <f>'[5]Template '!$B$97</f>
        <v>0.30740740740740741</v>
      </c>
      <c r="CA30">
        <f>'[5]Template '!$B$98</f>
        <v>0</v>
      </c>
      <c r="CB30">
        <f>'[5]Template '!$B$99</f>
        <v>0.65277777777777768</v>
      </c>
      <c r="CC30">
        <f>'[5]Template '!$B$100</f>
        <v>0.61190476190476184</v>
      </c>
      <c r="CF30">
        <f>'[5]Template '!$Z$30</f>
        <v>0</v>
      </c>
      <c r="CG30">
        <f>'[5]Template '!$AB$75</f>
        <v>0</v>
      </c>
      <c r="CH30">
        <f>'[5]Template '!$C$89</f>
        <v>0</v>
      </c>
      <c r="CI30">
        <f>'[5]Template '!$AF$75</f>
        <v>0</v>
      </c>
      <c r="CJ30">
        <f>'[5]Template '!$AR$97</f>
        <v>0</v>
      </c>
      <c r="CK30">
        <f>'[5]Template '!$AS$97</f>
        <v>0</v>
      </c>
      <c r="CL30">
        <f>'[5]Template '!$AZ$97</f>
        <v>0</v>
      </c>
      <c r="CM30">
        <f>'[5]Template '!$BB$97</f>
        <v>0</v>
      </c>
      <c r="CN30">
        <f>'[5]Template '!$AU$53</f>
        <v>0</v>
      </c>
      <c r="CO30">
        <f>'[5]Template '!$AV$53</f>
        <v>0</v>
      </c>
      <c r="CP30">
        <f>'[5]Template '!$AY$53</f>
        <v>0</v>
      </c>
      <c r="CQ30">
        <f>'[5]Template '!$AX$53</f>
        <v>0</v>
      </c>
      <c r="CR30">
        <f>'[5]Template '!$AZ$53</f>
        <v>0</v>
      </c>
      <c r="CS30">
        <f>'[5]Template '!$BF$53</f>
        <v>0</v>
      </c>
      <c r="CT30">
        <f t="shared" si="5"/>
        <v>0</v>
      </c>
      <c r="CU30">
        <f t="shared" si="6"/>
        <v>0</v>
      </c>
      <c r="CV30">
        <f t="shared" si="7"/>
        <v>0</v>
      </c>
      <c r="CY30" t="str">
        <f>'[5]Template '!$E$2</f>
        <v>A</v>
      </c>
      <c r="CZ30">
        <f>'[5]Template '!$B$13</f>
        <v>1</v>
      </c>
      <c r="DA30">
        <f>'[5]Template '!$D$2</f>
        <v>1</v>
      </c>
      <c r="DB30" t="str">
        <f>'[5]Template '!$D$3</f>
        <v>9/20/2022</v>
      </c>
      <c r="DC30">
        <f>'[5]Template '!$F$2</f>
        <v>45006</v>
      </c>
      <c r="DE30">
        <f>'[5]Template '!$B$12</f>
        <v>23</v>
      </c>
      <c r="DF30" t="str">
        <f>'[5]Template '!$B$14</f>
        <v>7/21</v>
      </c>
      <c r="DG30" t="str">
        <f>'[5]Template '!$B$15</f>
        <v>10/21</v>
      </c>
      <c r="DH30">
        <f>'[5]Template '!$B$16</f>
        <v>12</v>
      </c>
      <c r="DI30">
        <f>'[5]Template '!$B$17</f>
        <v>1</v>
      </c>
      <c r="DJ30">
        <f>'[5]Template '!$B$18</f>
        <v>3</v>
      </c>
      <c r="DK30">
        <f>'[5]Template '!$B$19</f>
        <v>1</v>
      </c>
      <c r="DL30">
        <f>'[5]Template '!$B$20</f>
        <v>1</v>
      </c>
      <c r="DM30">
        <f>'[5]Template '!$B$21</f>
        <v>0</v>
      </c>
      <c r="DN30">
        <f>'[5]Template '!$B$22</f>
        <v>0</v>
      </c>
      <c r="DP30">
        <f>'[5]Template '!$I$13</f>
        <v>5</v>
      </c>
      <c r="DQ30">
        <f>'[5]Template '!$I$14</f>
        <v>4</v>
      </c>
      <c r="DR30">
        <f>'[5]Template '!$I$15</f>
        <v>4</v>
      </c>
      <c r="DS30">
        <f>'[5]Template '!$I$16</f>
        <v>4</v>
      </c>
      <c r="DT30">
        <f>'[5]Template '!$I$17</f>
        <v>4</v>
      </c>
      <c r="DU30">
        <f>'[5]Template '!$I$18</f>
        <v>4</v>
      </c>
      <c r="DV30">
        <f>'[5]Template '!$I$19</f>
        <v>5</v>
      </c>
      <c r="DW30">
        <f>'[5]Template '!$I$20</f>
        <v>4</v>
      </c>
      <c r="DX30">
        <f>'[5]Template '!$I$21</f>
        <v>4</v>
      </c>
      <c r="DY30">
        <f>'[5]Template '!$I$22</f>
        <v>4</v>
      </c>
      <c r="DZ30">
        <f>'[5]Template '!$I$23</f>
        <v>5</v>
      </c>
      <c r="EA30">
        <f>'[5]Template '!$I$24</f>
        <v>0</v>
      </c>
      <c r="ED30">
        <f>'[5]Template '!$L$13</f>
        <v>5</v>
      </c>
      <c r="EE30">
        <f>'[5]Template '!$L$14</f>
        <v>4</v>
      </c>
      <c r="EF30">
        <f>'[5]Template '!$L$15</f>
        <v>3</v>
      </c>
      <c r="EG30">
        <f>'[5]Template '!$L$16</f>
        <v>4</v>
      </c>
      <c r="EH30">
        <f>'[5]Template '!$L$17</f>
        <v>4</v>
      </c>
      <c r="EI30">
        <f>'[5]Template '!$L$18</f>
        <v>4</v>
      </c>
      <c r="EJ30">
        <f>'[5]Template '!$L$19</f>
        <v>5</v>
      </c>
      <c r="EK30">
        <f>'[5]Template '!$L$20</f>
        <v>4</v>
      </c>
      <c r="EL30">
        <f>'[5]Template '!$L$21</f>
        <v>0</v>
      </c>
      <c r="EM30">
        <f>'[5]Template '!$L$22</f>
        <v>4</v>
      </c>
      <c r="EN30">
        <f>'[5]Template '!$L$23</f>
        <v>5</v>
      </c>
      <c r="EQ30">
        <f>'[5]Template '!$O$13</f>
        <v>5</v>
      </c>
      <c r="ER30">
        <f>'[5]Template '!$O$14</f>
        <v>2</v>
      </c>
      <c r="ES30">
        <f>'[5]Template '!$O$15</f>
        <v>2</v>
      </c>
      <c r="ET30">
        <f>'[5]Template '!$O$16</f>
        <v>2</v>
      </c>
      <c r="EU30">
        <f>'[5]Template '!$O$17</f>
        <v>2</v>
      </c>
      <c r="EV30">
        <f>'[5]Template '!$O$18</f>
        <v>2</v>
      </c>
      <c r="EW30">
        <f>'[5]Template '!$O$19</f>
        <v>1</v>
      </c>
      <c r="EX30">
        <f>'[5]Template '!$O$20</f>
        <v>3</v>
      </c>
      <c r="EY30">
        <f>'[5]Template '!$O$21</f>
        <v>3</v>
      </c>
      <c r="EZ30">
        <f>'[5]Template '!$O$22</f>
        <v>2</v>
      </c>
      <c r="FA30">
        <f>'[5]Template '!$O$23</f>
        <v>2</v>
      </c>
      <c r="FL30">
        <f>'[5]Template '!$D$5</f>
        <v>0.1674107142857143</v>
      </c>
      <c r="FM30">
        <f>'[5]Template '!$D$6</f>
        <v>0.40693993506493503</v>
      </c>
      <c r="FN30">
        <f>'[5]Template '!$D$7</f>
        <v>0.2605291005291005</v>
      </c>
      <c r="FO30">
        <f>'[5]Template '!$D$8</f>
        <v>0.44566798941798941</v>
      </c>
      <c r="FP30">
        <f>'[5]Template '!$D$9</f>
        <v>0.32013693482443484</v>
      </c>
      <c r="FR30">
        <f>'[5]Template '!$E$5</f>
        <v>0.17935924369747902</v>
      </c>
      <c r="FS30">
        <f>'[5]Template '!$E$6</f>
        <v>0.42405303030303027</v>
      </c>
      <c r="FT30">
        <f>'[5]Template '!$E$7</f>
        <v>0.24148148148148149</v>
      </c>
      <c r="FU30">
        <f>'[5]Template '!$E$8</f>
        <v>0.38358285233285228</v>
      </c>
      <c r="FV30">
        <f>'[5]Template '!$E$9</f>
        <v>0.30711915195371076</v>
      </c>
    </row>
    <row r="31" spans="1:178" x14ac:dyDescent="0.2">
      <c r="A31" t="str">
        <f>'[9]Template '!$A$2</f>
        <v>M_031</v>
      </c>
      <c r="C31" t="str">
        <f t="shared" si="4"/>
        <v>M_031.xlsx</v>
      </c>
      <c r="E31" t="str">
        <f>'[9]Template '!$C$2</f>
        <v>D only</v>
      </c>
      <c r="G31">
        <f>'[9]Template '!$C$29</f>
        <v>0.66666666666666663</v>
      </c>
      <c r="H31" t="str">
        <f>'[9]Template '!$C$30</f>
        <v>n/a</v>
      </c>
      <c r="I31">
        <f>'[9]Template '!$C$31</f>
        <v>0.58333333333333326</v>
      </c>
      <c r="J31">
        <f>'[9]Template '!$C$32</f>
        <v>0.19117647058823528</v>
      </c>
      <c r="K31">
        <f>'[9]Template '!$C$33</f>
        <v>0.34523809523809518</v>
      </c>
      <c r="M31">
        <f>'[9]Template '!$C$80</f>
        <v>1200</v>
      </c>
      <c r="N31">
        <f>'[9]Template '!$C$81</f>
        <v>37.5</v>
      </c>
      <c r="O31">
        <f>'[9]Template '!$C$82</f>
        <v>2.5</v>
      </c>
      <c r="P31">
        <f>'[9]Template '!$C$83</f>
        <v>3.5</v>
      </c>
      <c r="Q31">
        <f>'[9]Template '!$C$84</f>
        <v>2</v>
      </c>
      <c r="R31">
        <f>'[9]Template '!$C$85</f>
        <v>2</v>
      </c>
      <c r="T31">
        <f>'[9]Template '!$C$74</f>
        <v>0.47272727272727272</v>
      </c>
      <c r="U31" t="str">
        <f>'[9]Template '!$C$75</f>
        <v>n/a</v>
      </c>
      <c r="V31">
        <f>'[9]Template '!$C$76</f>
        <v>0.42857142857142855</v>
      </c>
      <c r="W31">
        <f>'[9]Template '!$C$77</f>
        <v>0.54761904761904756</v>
      </c>
      <c r="X31">
        <f>'[9]Template '!$C$78</f>
        <v>0.3611111111111111</v>
      </c>
      <c r="Z31">
        <f>'[9]Template '!$C$80</f>
        <v>1200</v>
      </c>
      <c r="AA31">
        <f>'[9]Template '!$C$81</f>
        <v>37.5</v>
      </c>
      <c r="AB31">
        <f>'[9]Template '!$C$82</f>
        <v>2.5</v>
      </c>
      <c r="AC31">
        <f>'[9]Template '!$C$83</f>
        <v>3.5</v>
      </c>
      <c r="AD31">
        <f>'[9]Template '!$C$84</f>
        <v>2</v>
      </c>
      <c r="AE31">
        <f>'[9]Template '!$C$85</f>
        <v>2</v>
      </c>
      <c r="AG31">
        <f>'[9]Template '!$C$96</f>
        <v>0.8</v>
      </c>
      <c r="AH31">
        <f>'[9]Template '!$C$97</f>
        <v>0.38148148148148148</v>
      </c>
      <c r="AI31">
        <f>'[9]Template '!$C$98</f>
        <v>0.5</v>
      </c>
      <c r="AJ31">
        <f>'[9]Template '!$C$99</f>
        <v>0.20995670995670992</v>
      </c>
      <c r="AK31">
        <f>'[9]Template '!$C$100</f>
        <v>0.55555555555555547</v>
      </c>
      <c r="AM31">
        <f>'[9]Template '!$C$102</f>
        <v>1094</v>
      </c>
      <c r="AN31">
        <f>'[9]Template '!$C$103</f>
        <v>42.5</v>
      </c>
      <c r="AO31">
        <f>'[9]Template '!$C$104</f>
        <v>2.5</v>
      </c>
      <c r="AP31">
        <f>'[9]Template '!$C$105</f>
        <v>2</v>
      </c>
      <c r="AQ31">
        <f>'[9]Template '!$C$106</f>
        <v>2.5</v>
      </c>
      <c r="AR31">
        <f>'[9]Template '!$C$107</f>
        <v>3</v>
      </c>
      <c r="AT31">
        <f>'[9]Template '!$C$52</f>
        <v>0.21349206349206351</v>
      </c>
      <c r="AU31">
        <f>'[9]Template '!$C$53</f>
        <v>0.38148148148148148</v>
      </c>
      <c r="AV31">
        <f>'[9]Template '!$C$54</f>
        <v>0.5</v>
      </c>
      <c r="AW31">
        <f>'[9]Template '!$C$55</f>
        <v>0.23958333333333334</v>
      </c>
      <c r="AX31">
        <f>'[9]Template '!$C$56</f>
        <v>0.32777777777777778</v>
      </c>
      <c r="AZ31">
        <f>'[9]Template '!$C$58</f>
        <v>1200</v>
      </c>
      <c r="BA31">
        <f>'[9]Template '!$C$59</f>
        <v>15</v>
      </c>
      <c r="BB31">
        <f>'[9]Template '!$C$60</f>
        <v>2.5</v>
      </c>
      <c r="BC31">
        <f>'[9]Template '!$C$61</f>
        <v>2</v>
      </c>
      <c r="BD31">
        <f>'[9]Template '!$C$62</f>
        <v>2</v>
      </c>
      <c r="BE31">
        <f>'[9]Template '!$C$63</f>
        <v>1.5</v>
      </c>
      <c r="BG31">
        <f>'[9]Template '!$B$29</f>
        <v>0.66666666666666663</v>
      </c>
      <c r="BH31" t="str">
        <f>'[9]Template '!$B$30</f>
        <v>n/a</v>
      </c>
      <c r="BI31">
        <f>'[9]Template '!$B$31</f>
        <v>0.58333333333333326</v>
      </c>
      <c r="BJ31">
        <f>'[9]Template '!$B$32</f>
        <v>9.375E-2</v>
      </c>
      <c r="BK31">
        <f>'[9]Template '!$B$33</f>
        <v>0.34523809523809518</v>
      </c>
      <c r="BM31">
        <f>'[9]Template '!$B$52</f>
        <v>0.21349206349206351</v>
      </c>
      <c r="BN31">
        <f>'[9]Template '!$B$53</f>
        <v>0.38148148148148148</v>
      </c>
      <c r="BO31">
        <f>'[9]Template '!$B$54</f>
        <v>0.5</v>
      </c>
      <c r="BP31">
        <f>'[9]Template '!$B$55</f>
        <v>0.29629629629629628</v>
      </c>
      <c r="BQ31">
        <f>'[9]Template '!$B$56</f>
        <v>0.32777777777777778</v>
      </c>
      <c r="BS31">
        <f>'[9]Template '!$B$74</f>
        <v>0.47272727272727272</v>
      </c>
      <c r="BT31" t="str">
        <f>'[9]Template '!$B$75</f>
        <v>n/a</v>
      </c>
      <c r="BU31">
        <f>'[9]Template '!$B$76</f>
        <v>0.42857142857142855</v>
      </c>
      <c r="BV31">
        <f>'[9]Template '!$B$77</f>
        <v>0.58333333333333326</v>
      </c>
      <c r="BW31">
        <f>'[9]Template '!$B$78</f>
        <v>0.3611111111111111</v>
      </c>
      <c r="BY31">
        <f>'[9]Template '!$B$96</f>
        <v>0.8</v>
      </c>
      <c r="BZ31">
        <f>'[9]Template '!$B$97</f>
        <v>0.38148148148148148</v>
      </c>
      <c r="CA31">
        <f>'[9]Template '!$B$98</f>
        <v>0.5</v>
      </c>
      <c r="CB31">
        <f>'[9]Template '!$B$99</f>
        <v>0.58333333333333337</v>
      </c>
      <c r="CC31">
        <f>'[9]Template '!$B$100</f>
        <v>0.55555555555555547</v>
      </c>
      <c r="CF31">
        <f>'[9]Template '!$Z$30</f>
        <v>0</v>
      </c>
      <c r="CG31">
        <f>'[9]Template '!$AB$75</f>
        <v>1</v>
      </c>
      <c r="CH31">
        <f>'[9]Template '!$C$89</f>
        <v>0</v>
      </c>
      <c r="CI31">
        <f>'[9]Template '!$AF$75</f>
        <v>0</v>
      </c>
      <c r="CJ31">
        <f>'[9]Template '!$AR$97</f>
        <v>0</v>
      </c>
      <c r="CK31">
        <f>'[9]Template '!$AS$97</f>
        <v>1</v>
      </c>
      <c r="CL31">
        <f>'[9]Template '!$AZ$97</f>
        <v>0</v>
      </c>
      <c r="CM31">
        <f>'[9]Template '!$BB$97</f>
        <v>0</v>
      </c>
      <c r="CN31">
        <f>'[9]Template '!$AU$53</f>
        <v>0</v>
      </c>
      <c r="CO31">
        <f>'[9]Template '!$AV$53</f>
        <v>0</v>
      </c>
      <c r="CP31">
        <f>'[9]Template '!$AY$53</f>
        <v>0</v>
      </c>
      <c r="CQ31">
        <f>'[9]Template '!$AX$53</f>
        <v>0</v>
      </c>
      <c r="CR31">
        <f>'[9]Template '!$AZ$53</f>
        <v>0</v>
      </c>
      <c r="CS31">
        <f>'[9]Template '!$BF$53</f>
        <v>0</v>
      </c>
      <c r="CT31">
        <f t="shared" si="5"/>
        <v>1</v>
      </c>
      <c r="CU31">
        <f t="shared" si="6"/>
        <v>1</v>
      </c>
      <c r="CV31">
        <f t="shared" si="7"/>
        <v>2</v>
      </c>
      <c r="CY31" t="str">
        <f>'[9]Template '!$E$2</f>
        <v>A</v>
      </c>
      <c r="CZ31">
        <f>'[9]Template '!$B$13</f>
        <v>1</v>
      </c>
      <c r="DA31">
        <f>'[9]Template '!$D$2</f>
        <v>1</v>
      </c>
      <c r="DB31" t="str">
        <f>'[9]Template '!$D$3</f>
        <v>9/20/2022</v>
      </c>
      <c r="DC31">
        <f>'[9]Template '!$F$2</f>
        <v>44939</v>
      </c>
      <c r="DE31">
        <f>'[9]Template '!$B$12</f>
        <v>19</v>
      </c>
      <c r="DF31" t="str">
        <f>'[9]Template '!$B$14</f>
        <v>9/21</v>
      </c>
      <c r="DG31" t="str">
        <f>'[9]Template '!$B$15</f>
        <v>2/22</v>
      </c>
      <c r="DH31">
        <f>'[9]Template '!$B$16</f>
        <v>24</v>
      </c>
      <c r="DI31">
        <f>'[9]Template '!$B$17</f>
        <v>0</v>
      </c>
      <c r="DJ31">
        <f>'[9]Template '!$B$18</f>
        <v>0</v>
      </c>
      <c r="DK31">
        <f>'[9]Template '!$B$19</f>
        <v>0</v>
      </c>
      <c r="DL31">
        <f>'[9]Template '!$B$20</f>
        <v>0</v>
      </c>
      <c r="DM31">
        <f>'[9]Template '!$B$21</f>
        <v>0</v>
      </c>
      <c r="DN31">
        <f>'[9]Template '!$B$22</f>
        <v>0</v>
      </c>
      <c r="DP31">
        <f>'[9]Template '!$I$13</f>
        <v>4</v>
      </c>
      <c r="DQ31">
        <f>'[9]Template '!$I$14</f>
        <v>4</v>
      </c>
      <c r="DR31">
        <f>'[9]Template '!$I$15</f>
        <v>4</v>
      </c>
      <c r="DS31">
        <f>'[9]Template '!$I$16</f>
        <v>4</v>
      </c>
      <c r="DT31">
        <f>'[9]Template '!$I$17</f>
        <v>4</v>
      </c>
      <c r="DU31">
        <f>'[9]Template '!$I$18</f>
        <v>4</v>
      </c>
      <c r="DV31">
        <f>'[9]Template '!$I$19</f>
        <v>5</v>
      </c>
      <c r="DW31">
        <f>'[9]Template '!$I$20</f>
        <v>4</v>
      </c>
      <c r="DX31">
        <f>'[9]Template '!$I$21</f>
        <v>3</v>
      </c>
      <c r="DY31">
        <f>'[9]Template '!$I$22</f>
        <v>4</v>
      </c>
      <c r="DZ31">
        <f>'[9]Template '!$I$23</f>
        <v>4</v>
      </c>
      <c r="EA31">
        <f>'[9]Template '!$I$24</f>
        <v>1</v>
      </c>
      <c r="ED31">
        <f>'[9]Template '!$L$13</f>
        <v>3</v>
      </c>
      <c r="EE31">
        <f>'[9]Template '!$L$14</f>
        <v>4</v>
      </c>
      <c r="EF31">
        <f>'[9]Template '!$L$15</f>
        <v>4</v>
      </c>
      <c r="EG31">
        <f>'[9]Template '!$L$16</f>
        <v>4</v>
      </c>
      <c r="EH31">
        <f>'[9]Template '!$L$17</f>
        <v>4</v>
      </c>
      <c r="EI31">
        <f>'[9]Template '!$L$18</f>
        <v>3</v>
      </c>
      <c r="EJ31">
        <f>'[9]Template '!$L$19</f>
        <v>4</v>
      </c>
      <c r="EK31">
        <f>'[9]Template '!$L$20</f>
        <v>2</v>
      </c>
      <c r="EL31">
        <f>'[9]Template '!$L$21</f>
        <v>3</v>
      </c>
      <c r="EM31">
        <f>'[9]Template '!$L$22</f>
        <v>3</v>
      </c>
      <c r="EN31">
        <f>'[9]Template '!$L$23</f>
        <v>4</v>
      </c>
      <c r="EQ31">
        <f>'[9]Template '!$O$13</f>
        <v>4</v>
      </c>
      <c r="ER31">
        <f>'[9]Template '!$O$14</f>
        <v>2</v>
      </c>
      <c r="ES31">
        <f>'[9]Template '!$O$15</f>
        <v>3</v>
      </c>
      <c r="ET31">
        <f>'[9]Template '!$O$16</f>
        <v>2</v>
      </c>
      <c r="EU31">
        <f>'[9]Template '!$O$17</f>
        <v>3</v>
      </c>
      <c r="EV31">
        <f>'[9]Template '!$O$18</f>
        <v>5</v>
      </c>
      <c r="EW31">
        <f>'[9]Template '!$O$19</f>
        <v>1</v>
      </c>
      <c r="EX31">
        <f>'[9]Template '!$O$20</f>
        <v>3</v>
      </c>
      <c r="EY31">
        <f>'[9]Template '!$O$21</f>
        <v>2</v>
      </c>
      <c r="EZ31">
        <f>'[9]Template '!$O$22</f>
        <v>3</v>
      </c>
      <c r="FA31">
        <f>'[9]Template '!$O$23</f>
        <v>3</v>
      </c>
      <c r="FL31">
        <f>'[9]Template '!$D$5</f>
        <v>0.42224702380952378</v>
      </c>
      <c r="FM31">
        <f>'[9]Template '!$D$6</f>
        <v>0.46143578643578642</v>
      </c>
      <c r="FN31">
        <f>'[9]Template '!$D$7</f>
        <v>0.34380952380952379</v>
      </c>
      <c r="FO31">
        <f>'[9]Template '!$D$8</f>
        <v>0.56407407407407406</v>
      </c>
      <c r="FP31">
        <f>'[9]Template '!$D$9</f>
        <v>0.447891602032227</v>
      </c>
      <c r="FR31">
        <f>'[9]Template '!$E$5</f>
        <v>0.4466036414565826</v>
      </c>
      <c r="FS31">
        <f>'[9]Template '!$E$6</f>
        <v>0.45250721500721502</v>
      </c>
      <c r="FT31">
        <f>'[9]Template '!$E$7</f>
        <v>0.33246693121693116</v>
      </c>
      <c r="FU31">
        <f>'[9]Template '!$E$8</f>
        <v>0.48939874939874939</v>
      </c>
      <c r="FV31">
        <f>'[9]Template '!$E$9</f>
        <v>0.43024413426986952</v>
      </c>
    </row>
    <row r="32" spans="1:178" x14ac:dyDescent="0.2">
      <c r="A32" t="str">
        <f>'[11]Template '!$A$2</f>
        <v>M_033</v>
      </c>
      <c r="C32" t="str">
        <f t="shared" si="4"/>
        <v>M_033.xlsx</v>
      </c>
      <c r="E32" t="str">
        <f>'[11]Template '!$C$2</f>
        <v>D only</v>
      </c>
      <c r="G32">
        <f>'[11]Template '!$C$29</f>
        <v>0</v>
      </c>
      <c r="H32" t="str">
        <f>'[11]Template '!$C$30</f>
        <v>n/a</v>
      </c>
      <c r="I32">
        <f>'[11]Template '!$C$31</f>
        <v>0.41666666666666663</v>
      </c>
      <c r="J32">
        <f>'[11]Template '!$C$32</f>
        <v>0.56617647058823528</v>
      </c>
      <c r="K32">
        <f>'[11]Template '!$C$33</f>
        <v>0.65873015873015872</v>
      </c>
      <c r="M32">
        <f>'[11]Template '!$C$80</f>
        <v>801</v>
      </c>
      <c r="N32">
        <f>'[11]Template '!$C$81</f>
        <v>13</v>
      </c>
      <c r="O32">
        <f>'[11]Template '!$C$82</f>
        <v>2</v>
      </c>
      <c r="P32">
        <f>'[11]Template '!$C$83</f>
        <v>1</v>
      </c>
      <c r="Q32">
        <f>'[11]Template '!$C$84</f>
        <v>2.5</v>
      </c>
      <c r="R32">
        <f>'[11]Template '!$C$85</f>
        <v>1</v>
      </c>
      <c r="T32">
        <f>'[11]Template '!$C$74</f>
        <v>0.29090909090909089</v>
      </c>
      <c r="U32" t="str">
        <f>'[11]Template '!$C$75</f>
        <v>n/a</v>
      </c>
      <c r="V32">
        <f>'[11]Template '!$C$76</f>
        <v>0.3571428571428571</v>
      </c>
      <c r="W32">
        <f>'[11]Template '!$C$77</f>
        <v>0.46428571428571425</v>
      </c>
      <c r="X32">
        <f>'[11]Template '!$C$78</f>
        <v>0.62103174603174605</v>
      </c>
      <c r="Z32">
        <f>'[11]Template '!$C$80</f>
        <v>801</v>
      </c>
      <c r="AA32">
        <f>'[11]Template '!$C$81</f>
        <v>13</v>
      </c>
      <c r="AB32">
        <f>'[11]Template '!$C$82</f>
        <v>2</v>
      </c>
      <c r="AC32">
        <f>'[11]Template '!$C$83</f>
        <v>1</v>
      </c>
      <c r="AD32">
        <f>'[11]Template '!$C$84</f>
        <v>2.5</v>
      </c>
      <c r="AE32">
        <f>'[11]Template '!$C$85</f>
        <v>1</v>
      </c>
      <c r="AG32">
        <f>'[11]Template '!$C$96</f>
        <v>0.40625</v>
      </c>
      <c r="AH32">
        <f>'[11]Template '!$C$97</f>
        <v>0.24444444444444446</v>
      </c>
      <c r="AI32">
        <f>'[11]Template '!$C$98</f>
        <v>0.5</v>
      </c>
      <c r="AJ32">
        <f>'[11]Template '!$C$99</f>
        <v>0.30014430014430016</v>
      </c>
      <c r="AK32">
        <f>'[11]Template '!$C$100</f>
        <v>0.63650793650793647</v>
      </c>
      <c r="AM32">
        <f>'[11]Template '!$C$102</f>
        <v>126</v>
      </c>
      <c r="AN32">
        <f>'[11]Template '!$C$103</f>
        <v>9</v>
      </c>
      <c r="AO32">
        <f>'[11]Template '!$C$104</f>
        <v>1.5</v>
      </c>
      <c r="AP32">
        <f>'[11]Template '!$C$105</f>
        <v>1</v>
      </c>
      <c r="AQ32">
        <f>'[11]Template '!$C$106</f>
        <v>1.5</v>
      </c>
      <c r="AR32">
        <f>'[11]Template '!$C$107</f>
        <v>1</v>
      </c>
      <c r="AT32">
        <f>'[11]Template '!$C$52</f>
        <v>0.14166666666666666</v>
      </c>
      <c r="AU32">
        <f>'[11]Template '!$C$53</f>
        <v>0.24444444444444446</v>
      </c>
      <c r="AV32">
        <f>'[11]Template '!$C$54</f>
        <v>0.5</v>
      </c>
      <c r="AW32">
        <f>'[11]Template '!$C$55</f>
        <v>0.25</v>
      </c>
      <c r="AX32">
        <f>'[11]Template '!$C$56</f>
        <v>0.67023809523809519</v>
      </c>
      <c r="AZ32">
        <f>'[11]Template '!$C$58</f>
        <v>190</v>
      </c>
      <c r="BA32">
        <f>'[11]Template '!$C$59</f>
        <v>11</v>
      </c>
      <c r="BB32">
        <f>'[11]Template '!$C$60</f>
        <v>1.5</v>
      </c>
      <c r="BC32">
        <f>'[11]Template '!$C$61</f>
        <v>1.5</v>
      </c>
      <c r="BD32">
        <f>'[11]Template '!$C$62</f>
        <v>2</v>
      </c>
      <c r="BE32">
        <f>'[11]Template '!$C$63</f>
        <v>1.5</v>
      </c>
      <c r="BG32">
        <f>'[11]Template '!$B$29</f>
        <v>0</v>
      </c>
      <c r="BH32" t="str">
        <f>'[11]Template '!$B$30</f>
        <v>n/a</v>
      </c>
      <c r="BI32">
        <f>'[11]Template '!$B$31</f>
        <v>0.41666666666666663</v>
      </c>
      <c r="BJ32">
        <f>'[11]Template '!$B$32</f>
        <v>0.46875</v>
      </c>
      <c r="BK32">
        <f>'[11]Template '!$B$33</f>
        <v>0.65873015873015872</v>
      </c>
      <c r="BM32">
        <f>'[11]Template '!$B$52</f>
        <v>0.14166666666666666</v>
      </c>
      <c r="BN32">
        <f>'[11]Template '!$B$53</f>
        <v>0.24444444444444446</v>
      </c>
      <c r="BO32">
        <f>'[11]Template '!$B$54</f>
        <v>0.5</v>
      </c>
      <c r="BP32">
        <f>'[11]Template '!$B$55</f>
        <v>0.25</v>
      </c>
      <c r="BQ32">
        <f>'[11]Template '!$B$56</f>
        <v>0.67023809523809519</v>
      </c>
      <c r="BS32">
        <f>'[11]Template '!$B$74</f>
        <v>0.29090909090909089</v>
      </c>
      <c r="BT32" t="str">
        <f>'[11]Template '!$B$75</f>
        <v>n/a</v>
      </c>
      <c r="BU32">
        <f>'[11]Template '!$B$76</f>
        <v>0.3571428571428571</v>
      </c>
      <c r="BV32">
        <f>'[11]Template '!$B$77</f>
        <v>0.39583333333333331</v>
      </c>
      <c r="BW32">
        <f>'[11]Template '!$B$78</f>
        <v>0.62103174603174605</v>
      </c>
      <c r="BY32">
        <f>'[11]Template '!$B$96</f>
        <v>0.40625</v>
      </c>
      <c r="BZ32">
        <f>'[11]Template '!$B$97</f>
        <v>0.24444444444444446</v>
      </c>
      <c r="CA32">
        <f>'[11]Template '!$B$98</f>
        <v>0.5</v>
      </c>
      <c r="CB32">
        <f>'[11]Template '!$B$99</f>
        <v>0.49999999999999994</v>
      </c>
      <c r="CC32">
        <f>'[11]Template '!$B$100</f>
        <v>0.63650793650793647</v>
      </c>
      <c r="CF32">
        <f>'[11]Template '!$Z$30</f>
        <v>0</v>
      </c>
      <c r="CG32">
        <f>'[11]Template '!$AB$75</f>
        <v>0</v>
      </c>
      <c r="CH32">
        <f>'[11]Template '!$C$89</f>
        <v>0</v>
      </c>
      <c r="CI32">
        <f>'[11]Template '!$AF$75</f>
        <v>0</v>
      </c>
      <c r="CJ32">
        <f>'[11]Template '!$AR$97</f>
        <v>0</v>
      </c>
      <c r="CK32">
        <f>'[11]Template '!$AS$97</f>
        <v>0</v>
      </c>
      <c r="CL32">
        <f>'[11]Template '!$AZ$97</f>
        <v>0</v>
      </c>
      <c r="CM32">
        <f>'[11]Template '!$BB$97</f>
        <v>0</v>
      </c>
      <c r="CN32">
        <f>'[11]Template '!$AU$53</f>
        <v>0</v>
      </c>
      <c r="CO32">
        <f>'[11]Template '!$AV$53</f>
        <v>0</v>
      </c>
      <c r="CP32">
        <f>'[11]Template '!$AY$53</f>
        <v>0</v>
      </c>
      <c r="CQ32">
        <f>'[11]Template '!$AX$53</f>
        <v>0</v>
      </c>
      <c r="CR32">
        <f>'[11]Template '!$AZ$53</f>
        <v>0</v>
      </c>
      <c r="CS32">
        <f>'[11]Template '!$BF$53</f>
        <v>0</v>
      </c>
      <c r="CT32">
        <f t="shared" si="5"/>
        <v>0</v>
      </c>
      <c r="CU32">
        <f t="shared" si="6"/>
        <v>0</v>
      </c>
      <c r="CV32">
        <f t="shared" si="7"/>
        <v>0</v>
      </c>
      <c r="CY32" t="str">
        <f>'[11]Template '!$E$2</f>
        <v>A</v>
      </c>
      <c r="CZ32">
        <f>'[11]Template '!$B$13</f>
        <v>1</v>
      </c>
      <c r="DA32">
        <f>'[11]Template '!$D$2</f>
        <v>2</v>
      </c>
      <c r="DB32">
        <f>'[11]Template '!$D$3</f>
        <v>45013</v>
      </c>
      <c r="DC32">
        <f>'[11]Template '!$F$2</f>
        <v>45139</v>
      </c>
      <c r="DE32">
        <f>'[11]Template '!$B$12</f>
        <v>30</v>
      </c>
      <c r="DF32" t="str">
        <f>'[11]Template '!$B$14</f>
        <v>1/13</v>
      </c>
      <c r="DG32" t="str">
        <f>'[11]Template '!$B$15</f>
        <v>7/13</v>
      </c>
      <c r="DH32">
        <f>'[11]Template '!$B$16</f>
        <v>120</v>
      </c>
      <c r="DI32">
        <f>'[11]Template '!$B$17</f>
        <v>0</v>
      </c>
      <c r="DJ32">
        <f>'[11]Template '!$B$18</f>
        <v>0</v>
      </c>
      <c r="DK32">
        <f>'[11]Template '!$B$19</f>
        <v>1</v>
      </c>
      <c r="DL32">
        <f>'[11]Template '!$B$20</f>
        <v>2</v>
      </c>
      <c r="DM32">
        <f>'[11]Template '!$B$21</f>
        <v>1</v>
      </c>
      <c r="DN32">
        <f>'[11]Template '!$B$22</f>
        <v>0</v>
      </c>
      <c r="DP32">
        <f>'[11]Template '!$I$13</f>
        <v>4</v>
      </c>
      <c r="DQ32">
        <f>'[11]Template '!$I$14</f>
        <v>4</v>
      </c>
      <c r="DR32">
        <f>'[11]Template '!$I$15</f>
        <v>4</v>
      </c>
      <c r="DS32">
        <f>'[11]Template '!$I$16</f>
        <v>4</v>
      </c>
      <c r="DT32">
        <f>'[11]Template '!$I$17</f>
        <v>4</v>
      </c>
      <c r="DU32">
        <f>'[11]Template '!$I$18</f>
        <v>4</v>
      </c>
      <c r="DV32">
        <f>'[11]Template '!$I$19</f>
        <v>5</v>
      </c>
      <c r="DW32">
        <f>'[11]Template '!$I$20</f>
        <v>4</v>
      </c>
      <c r="DX32">
        <f>'[11]Template '!$I$21</f>
        <v>4</v>
      </c>
      <c r="DY32">
        <f>'[11]Template '!$I$22</f>
        <v>4</v>
      </c>
      <c r="DZ32">
        <f>'[11]Template '!$I$23</f>
        <v>5</v>
      </c>
      <c r="EA32">
        <f>'[11]Template '!$I$24</f>
        <v>2</v>
      </c>
      <c r="ED32">
        <f>'[11]Template '!$L$13</f>
        <v>4</v>
      </c>
      <c r="EE32">
        <f>'[11]Template '!$L$14</f>
        <v>4</v>
      </c>
      <c r="EF32">
        <f>'[11]Template '!$L$15</f>
        <v>4</v>
      </c>
      <c r="EG32">
        <f>'[11]Template '!$L$16</f>
        <v>3</v>
      </c>
      <c r="EH32">
        <f>'[11]Template '!$L$17</f>
        <v>4</v>
      </c>
      <c r="EI32">
        <f>'[11]Template '!$L$18</f>
        <v>3</v>
      </c>
      <c r="EJ32">
        <f>'[11]Template '!$L$19</f>
        <v>5</v>
      </c>
      <c r="EK32">
        <f>'[11]Template '!$L$20</f>
        <v>3</v>
      </c>
      <c r="EL32">
        <f>'[11]Template '!$L$21</f>
        <v>3</v>
      </c>
      <c r="EM32">
        <f>'[11]Template '!$L$22</f>
        <v>4</v>
      </c>
      <c r="EN32">
        <f>'[11]Template '!$L$23</f>
        <v>5</v>
      </c>
      <c r="EQ32">
        <f>'[11]Template '!$O$13</f>
        <v>4</v>
      </c>
      <c r="ER32">
        <f>'[11]Template '!$O$14</f>
        <v>3</v>
      </c>
      <c r="ES32">
        <f>'[11]Template '!$O$15</f>
        <v>3</v>
      </c>
      <c r="ET32">
        <f>'[11]Template '!$O$16</f>
        <v>3</v>
      </c>
      <c r="EU32">
        <f>'[11]Template '!$O$17</f>
        <v>5</v>
      </c>
      <c r="EV32">
        <f>'[11]Template '!$O$18</f>
        <v>3</v>
      </c>
      <c r="EW32">
        <f>'[11]Template '!$O$19</f>
        <v>1</v>
      </c>
      <c r="EX32">
        <f>'[11]Template '!$O$20</f>
        <v>4</v>
      </c>
      <c r="EY32">
        <f>'[11]Template '!$O$21</f>
        <v>3</v>
      </c>
      <c r="EZ32">
        <f>'[11]Template '!$O$22</f>
        <v>3</v>
      </c>
      <c r="FA32">
        <f>'[11]Template '!$O$23</f>
        <v>3</v>
      </c>
      <c r="FL32">
        <f>'[11]Template '!$D$5</f>
        <v>0.38603670634920634</v>
      </c>
      <c r="FM32">
        <f>'[11]Template '!$D$6</f>
        <v>0.41622925685425682</v>
      </c>
      <c r="FN32">
        <f>'[11]Template '!$D$7</f>
        <v>0.36126984126984124</v>
      </c>
      <c r="FO32">
        <f>'[11]Template '!$D$8</f>
        <v>0.45744047619047618</v>
      </c>
      <c r="FP32">
        <f>'[11]Template '!$D$9</f>
        <v>0.40524407016594516</v>
      </c>
      <c r="FR32">
        <f>'[11]Template '!$E$5</f>
        <v>0.41039332399626516</v>
      </c>
      <c r="FS32">
        <f>'[11]Template '!$E$6</f>
        <v>0.43334235209235206</v>
      </c>
      <c r="FT32">
        <f>'[11]Template '!$E$7</f>
        <v>0.36126984126984124</v>
      </c>
      <c r="FU32">
        <f>'[11]Template '!$E$8</f>
        <v>0.41746933621933618</v>
      </c>
      <c r="FV32">
        <f>'[11]Template '!$E$9</f>
        <v>0.40561871339444866</v>
      </c>
    </row>
    <row r="33" spans="1:178" x14ac:dyDescent="0.2">
      <c r="A33" t="str">
        <f>'[13]Template '!$A$2</f>
        <v>M_035</v>
      </c>
      <c r="C33" t="str">
        <f t="shared" si="4"/>
        <v>M_035.xlsx</v>
      </c>
      <c r="E33" t="str">
        <f>'[13]Template '!$C$2</f>
        <v>D only</v>
      </c>
      <c r="G33">
        <f>'[13]Template '!$C$29</f>
        <v>0.27777777777777779</v>
      </c>
      <c r="H33" t="str">
        <f>'[13]Template '!$C$30</f>
        <v>n/a</v>
      </c>
      <c r="I33">
        <f>'[13]Template '!$C$31</f>
        <v>0.33333333333333331</v>
      </c>
      <c r="J33">
        <f>'[13]Template '!$C$32</f>
        <v>0.48529411764705882</v>
      </c>
      <c r="K33">
        <f>'[13]Template '!$C$33</f>
        <v>0.50396825396825395</v>
      </c>
      <c r="M33">
        <f>'[13]Template '!$C$80</f>
        <v>861</v>
      </c>
      <c r="N33">
        <f>'[13]Template '!$C$81</f>
        <v>2</v>
      </c>
      <c r="O33">
        <f>'[13]Template '!$C$82</f>
        <v>1</v>
      </c>
      <c r="P33">
        <f>'[13]Template '!$C$83</f>
        <v>1</v>
      </c>
      <c r="Q33">
        <f>'[13]Template '!$C$84</f>
        <v>1</v>
      </c>
      <c r="R33">
        <f>'[13]Template '!$C$85</f>
        <v>1</v>
      </c>
      <c r="T33">
        <f>'[13]Template '!$C$74</f>
        <v>0.51818181818181819</v>
      </c>
      <c r="U33" t="str">
        <f>'[13]Template '!$C$75</f>
        <v>n/a</v>
      </c>
      <c r="V33">
        <f>'[13]Template '!$C$76</f>
        <v>0</v>
      </c>
      <c r="W33">
        <f>'[13]Template '!$C$77</f>
        <v>0.19047619047619047</v>
      </c>
      <c r="X33">
        <f>'[13]Template '!$C$78</f>
        <v>0.24999999999999997</v>
      </c>
      <c r="Z33">
        <f>'[13]Template '!$C$80</f>
        <v>861</v>
      </c>
      <c r="AA33">
        <f>'[13]Template '!$C$81</f>
        <v>2</v>
      </c>
      <c r="AB33">
        <f>'[13]Template '!$C$82</f>
        <v>1</v>
      </c>
      <c r="AC33">
        <f>'[13]Template '!$C$83</f>
        <v>1</v>
      </c>
      <c r="AD33">
        <f>'[13]Template '!$C$84</f>
        <v>1</v>
      </c>
      <c r="AE33">
        <f>'[13]Template '!$C$85</f>
        <v>1</v>
      </c>
      <c r="AG33">
        <f>'[13]Template '!$C$96</f>
        <v>0.26041666666666663</v>
      </c>
      <c r="AH33">
        <f>'[13]Template '!$C$97</f>
        <v>0.27407407407407408</v>
      </c>
      <c r="AI33">
        <f>'[13]Template '!$C$98</f>
        <v>0.5</v>
      </c>
      <c r="AJ33">
        <f>'[13]Template '!$C$99</f>
        <v>6.0606060606060608E-2</v>
      </c>
      <c r="AK33">
        <f>'[13]Template '!$C$100</f>
        <v>0.20158730158730162</v>
      </c>
      <c r="AM33">
        <f>'[13]Template '!$C$102</f>
        <v>477</v>
      </c>
      <c r="AN33">
        <f>'[13]Template '!$C$103</f>
        <v>9.5</v>
      </c>
      <c r="AO33">
        <f>'[13]Template '!$C$104</f>
        <v>1</v>
      </c>
      <c r="AP33">
        <f>'[13]Template '!$C$105</f>
        <v>1.5</v>
      </c>
      <c r="AQ33">
        <f>'[13]Template '!$C$106</f>
        <v>1.5</v>
      </c>
      <c r="AR33">
        <f>'[13]Template '!$C$107</f>
        <v>1</v>
      </c>
      <c r="AT33">
        <f>'[13]Template '!$C$52</f>
        <v>0</v>
      </c>
      <c r="AU33">
        <f>'[13]Template '!$C$53</f>
        <v>0.27407407407407408</v>
      </c>
      <c r="AV33">
        <f>'[13]Template '!$C$54</f>
        <v>0</v>
      </c>
      <c r="AW33">
        <f>'[13]Template '!$C$55</f>
        <v>0</v>
      </c>
      <c r="AX33">
        <f>'[13]Template '!$C$56</f>
        <v>0.24166666666666667</v>
      </c>
      <c r="AZ33">
        <f>'[13]Template '!$C$58</f>
        <v>658</v>
      </c>
      <c r="BA33">
        <f>'[13]Template '!$C$59</f>
        <v>9</v>
      </c>
      <c r="BB33">
        <f>'[13]Template '!$C$60</f>
        <v>1</v>
      </c>
      <c r="BC33">
        <f>'[13]Template '!$C$61</f>
        <v>1.5</v>
      </c>
      <c r="BD33">
        <f>'[13]Template '!$C$62</f>
        <v>1</v>
      </c>
      <c r="BE33">
        <f>'[13]Template '!$C$63</f>
        <v>1</v>
      </c>
      <c r="BG33">
        <f>'[13]Template '!$B$29</f>
        <v>0.27777777777777779</v>
      </c>
      <c r="BH33" t="str">
        <f>'[13]Template '!$B$30</f>
        <v>n/a</v>
      </c>
      <c r="BI33">
        <f>'[13]Template '!$B$31</f>
        <v>0.33333333333333331</v>
      </c>
      <c r="BJ33">
        <f>'[13]Template '!$B$32</f>
        <v>0.5625</v>
      </c>
      <c r="BK33">
        <f>'[13]Template '!$B$33</f>
        <v>0.50396825396825395</v>
      </c>
      <c r="BM33">
        <f>'[13]Template '!$B$52</f>
        <v>0</v>
      </c>
      <c r="BN33">
        <f>'[13]Template '!$B$53</f>
        <v>0.27407407407407408</v>
      </c>
      <c r="BO33">
        <f>'[13]Template '!$B$54</f>
        <v>0</v>
      </c>
      <c r="BP33">
        <f>'[13]Template '!$B$55</f>
        <v>0</v>
      </c>
      <c r="BQ33">
        <f>'[13]Template '!$B$56</f>
        <v>0.24166666666666667</v>
      </c>
      <c r="BS33">
        <f>'[13]Template '!$B$74</f>
        <v>0.51818181818181819</v>
      </c>
      <c r="BT33" t="str">
        <f>'[13]Template '!$B$75</f>
        <v>n/a</v>
      </c>
      <c r="BU33">
        <f>'[13]Template '!$B$76</f>
        <v>0</v>
      </c>
      <c r="BV33">
        <f>'[13]Template '!$B$77</f>
        <v>0.375</v>
      </c>
      <c r="BW33">
        <f>'[13]Template '!$B$78</f>
        <v>0.24999999999999997</v>
      </c>
      <c r="BY33">
        <f>'[13]Template '!$B$96</f>
        <v>0.26041666666666663</v>
      </c>
      <c r="BZ33">
        <f>'[13]Template '!$B$97</f>
        <v>0.27407407407407408</v>
      </c>
      <c r="CA33">
        <f>'[13]Template '!$B$98</f>
        <v>0.5</v>
      </c>
      <c r="CB33">
        <f>'[13]Template '!$B$99</f>
        <v>0.22222222222222221</v>
      </c>
      <c r="CC33">
        <f>'[13]Template '!$B$100</f>
        <v>0.20158730158730162</v>
      </c>
      <c r="CF33">
        <f>'[13]Template '!$Z$30</f>
        <v>0</v>
      </c>
      <c r="CG33">
        <f>'[13]Template '!$AB$75</f>
        <v>0</v>
      </c>
      <c r="CH33">
        <f>'[13]Template '!$C$89</f>
        <v>0</v>
      </c>
      <c r="CI33">
        <f>'[13]Template '!$AF$75</f>
        <v>0</v>
      </c>
      <c r="CJ33">
        <f>'[13]Template '!$AR$97</f>
        <v>0</v>
      </c>
      <c r="CK33">
        <f>'[13]Template '!$AS$97</f>
        <v>0</v>
      </c>
      <c r="CL33">
        <f>'[13]Template '!$AZ$97</f>
        <v>0</v>
      </c>
      <c r="CM33">
        <f>'[13]Template '!$BB$97</f>
        <v>0</v>
      </c>
      <c r="CN33">
        <f>'[13]Template '!$AU$53</f>
        <v>0</v>
      </c>
      <c r="CO33">
        <f>'[13]Template '!$AV$53</f>
        <v>0</v>
      </c>
      <c r="CP33">
        <f>'[13]Template '!$AY$53</f>
        <v>0</v>
      </c>
      <c r="CQ33">
        <f>'[13]Template '!$AX$53</f>
        <v>0</v>
      </c>
      <c r="CR33">
        <f>'[13]Template '!$AZ$53</f>
        <v>0</v>
      </c>
      <c r="CS33">
        <f>'[13]Template '!$BF$53</f>
        <v>0</v>
      </c>
      <c r="CT33">
        <f t="shared" si="5"/>
        <v>0</v>
      </c>
      <c r="CU33">
        <f t="shared" si="6"/>
        <v>0</v>
      </c>
      <c r="CV33">
        <f t="shared" si="7"/>
        <v>0</v>
      </c>
      <c r="CY33" t="str">
        <f>'[13]Template '!$E$2</f>
        <v>B</v>
      </c>
      <c r="CZ33">
        <f>'[13]Template '!$B$13</f>
        <v>1</v>
      </c>
      <c r="DA33">
        <f>'[13]Template '!$D$2</f>
        <v>2</v>
      </c>
      <c r="DB33">
        <f>'[13]Template '!$D$3</f>
        <v>45013</v>
      </c>
      <c r="DC33">
        <f>'[13]Template '!$F$2</f>
        <v>45093</v>
      </c>
      <c r="DE33">
        <f>'[13]Template '!$B$12</f>
        <v>22</v>
      </c>
      <c r="DF33" t="str">
        <f>'[13]Template '!$B$14</f>
        <v>1/19</v>
      </c>
      <c r="DG33" t="str">
        <f>'[13]Template '!$B$15</f>
        <v>6/20</v>
      </c>
      <c r="DH33">
        <f>'[13]Template '!$B$16</f>
        <v>48</v>
      </c>
      <c r="DI33">
        <f>'[13]Template '!$B$17</f>
        <v>0</v>
      </c>
      <c r="DJ33">
        <f>'[13]Template '!$B$18</f>
        <v>0</v>
      </c>
      <c r="DK33">
        <f>'[13]Template '!$B$19</f>
        <v>0</v>
      </c>
      <c r="DL33">
        <f>'[13]Template '!$B$20</f>
        <v>0</v>
      </c>
      <c r="DM33">
        <f>'[13]Template '!$B$21</f>
        <v>0</v>
      </c>
      <c r="DN33">
        <f>'[13]Template '!$B$22</f>
        <v>0</v>
      </c>
      <c r="DP33">
        <f>'[13]Template '!$I$13</f>
        <v>4</v>
      </c>
      <c r="DQ33">
        <f>'[13]Template '!$I$14</f>
        <v>4</v>
      </c>
      <c r="DR33">
        <f>'[13]Template '!$I$15</f>
        <v>4</v>
      </c>
      <c r="DS33">
        <f>'[13]Template '!$I$16</f>
        <v>4</v>
      </c>
      <c r="DT33">
        <f>'[13]Template '!$I$17</f>
        <v>4</v>
      </c>
      <c r="DU33">
        <f>'[13]Template '!$I$18</f>
        <v>5</v>
      </c>
      <c r="DV33">
        <f>'[13]Template '!$I$19</f>
        <v>5</v>
      </c>
      <c r="DW33">
        <f>'[13]Template '!$I$20</f>
        <v>4</v>
      </c>
      <c r="DX33">
        <f>'[13]Template '!$I$21</f>
        <v>3</v>
      </c>
      <c r="DY33">
        <f>'[13]Template '!$I$22</f>
        <v>4</v>
      </c>
      <c r="DZ33">
        <f>'[13]Template '!$I$23</f>
        <v>4</v>
      </c>
      <c r="EA33">
        <f>'[13]Template '!$I$24</f>
        <v>0</v>
      </c>
      <c r="ED33">
        <f>'[13]Template '!$L$13</f>
        <v>4</v>
      </c>
      <c r="EE33">
        <f>'[13]Template '!$L$14</f>
        <v>4</v>
      </c>
      <c r="EF33">
        <f>'[13]Template '!$L$15</f>
        <v>4</v>
      </c>
      <c r="EG33">
        <f>'[13]Template '!$L$16</f>
        <v>2</v>
      </c>
      <c r="EH33">
        <f>'[13]Template '!$L$17</f>
        <v>4</v>
      </c>
      <c r="EI33">
        <f>'[13]Template '!$L$18</f>
        <v>3</v>
      </c>
      <c r="EJ33">
        <f>'[13]Template '!$L$19</f>
        <v>5</v>
      </c>
      <c r="EK33">
        <f>'[13]Template '!$L$20</f>
        <v>3</v>
      </c>
      <c r="EL33">
        <f>'[13]Template '!$L$21</f>
        <v>3</v>
      </c>
      <c r="EM33">
        <f>'[13]Template '!$L$22</f>
        <v>4</v>
      </c>
      <c r="EN33">
        <f>'[13]Template '!$L$23</f>
        <v>5</v>
      </c>
      <c r="EQ33">
        <f>'[13]Template '!$O$13</f>
        <v>4</v>
      </c>
      <c r="ER33">
        <f>'[13]Template '!$O$14</f>
        <v>2</v>
      </c>
      <c r="ES33">
        <f>'[13]Template '!$O$15</f>
        <v>2</v>
      </c>
      <c r="ET33">
        <f>'[13]Template '!$O$16</f>
        <v>2</v>
      </c>
      <c r="EU33">
        <f>'[13]Template '!$O$17</f>
        <v>5</v>
      </c>
      <c r="EV33">
        <f>'[13]Template '!$O$18</f>
        <v>3</v>
      </c>
      <c r="EW33">
        <f>'[13]Template '!$O$19</f>
        <v>2</v>
      </c>
      <c r="EX33">
        <f>'[13]Template '!$O$20</f>
        <v>2</v>
      </c>
      <c r="EY33">
        <f>'[13]Template '!$O$21</f>
        <v>3</v>
      </c>
      <c r="EZ33">
        <f>'[13]Template '!$O$22</f>
        <v>3</v>
      </c>
      <c r="FA33">
        <f>'[13]Template '!$O$23</f>
        <v>2</v>
      </c>
      <c r="FL33">
        <f>'[13]Template '!$D$5</f>
        <v>0.41939484126984128</v>
      </c>
      <c r="FM33">
        <f>'[13]Template '!$D$6</f>
        <v>0.28579545454545452</v>
      </c>
      <c r="FN33">
        <f>'[13]Template '!$D$7</f>
        <v>0.10314814814814814</v>
      </c>
      <c r="FO33">
        <f>'[13]Template '!$D$8</f>
        <v>0.29166005291005292</v>
      </c>
      <c r="FP33">
        <f>'[13]Template '!$D$9</f>
        <v>0.27499962421837421</v>
      </c>
      <c r="FR33">
        <f>'[13]Template '!$E$5</f>
        <v>0.400093370681606</v>
      </c>
      <c r="FS33">
        <f>'[13]Template '!$E$6</f>
        <v>0.23966450216450216</v>
      </c>
      <c r="FT33">
        <f>'[13]Template '!$E$7</f>
        <v>0.10314814814814814</v>
      </c>
      <c r="FU33">
        <f>'[13]Template '!$E$8</f>
        <v>0.25933682058682056</v>
      </c>
      <c r="FV33">
        <f>'[13]Template '!$E$9</f>
        <v>0.25056071039526923</v>
      </c>
    </row>
    <row r="34" spans="1:178" x14ac:dyDescent="0.2">
      <c r="A34" t="str">
        <f>'[14]Template '!$A$2</f>
        <v>M_036</v>
      </c>
      <c r="C34" t="str">
        <f t="shared" si="4"/>
        <v>M_036.xlsx</v>
      </c>
      <c r="E34" t="str">
        <f>'[14]Template '!$C$2</f>
        <v>D only</v>
      </c>
      <c r="G34">
        <f>'[14]Template '!$C$29</f>
        <v>5.5555555555555552E-2</v>
      </c>
      <c r="H34" t="str">
        <f>'[14]Template '!$C$30</f>
        <v>n/a</v>
      </c>
      <c r="I34">
        <f>'[14]Template '!$C$31</f>
        <v>0.25</v>
      </c>
      <c r="J34">
        <f>'[14]Template '!$C$32</f>
        <v>0.41176470588235292</v>
      </c>
      <c r="K34">
        <f>'[14]Template '!$C$33</f>
        <v>0.51388888888888895</v>
      </c>
      <c r="M34">
        <f>'[14]Template '!$C$80</f>
        <v>1200</v>
      </c>
      <c r="N34">
        <f>'[14]Template '!$C$81</f>
        <v>30</v>
      </c>
      <c r="O34">
        <f>'[14]Template '!$C$82</f>
        <v>2</v>
      </c>
      <c r="P34">
        <f>'[14]Template '!$C$83</f>
        <v>2</v>
      </c>
      <c r="Q34">
        <f>'[14]Template '!$C$84</f>
        <v>1.5</v>
      </c>
      <c r="R34">
        <f>'[14]Template '!$C$85</f>
        <v>2</v>
      </c>
      <c r="T34">
        <f>'[14]Template '!$C$74</f>
        <v>0.38181818181818183</v>
      </c>
      <c r="U34" t="str">
        <f>'[14]Template '!$C$75</f>
        <v>n/a</v>
      </c>
      <c r="V34">
        <f>'[14]Template '!$C$76</f>
        <v>0.14285714285714285</v>
      </c>
      <c r="W34">
        <f>'[14]Template '!$C$77</f>
        <v>0.5</v>
      </c>
      <c r="X34">
        <f>'[14]Template '!$C$78</f>
        <v>0.66666666666666663</v>
      </c>
      <c r="Z34">
        <f>'[14]Template '!$C$80</f>
        <v>1200</v>
      </c>
      <c r="AA34">
        <f>'[14]Template '!$C$81</f>
        <v>30</v>
      </c>
      <c r="AB34">
        <f>'[14]Template '!$C$82</f>
        <v>2</v>
      </c>
      <c r="AC34">
        <f>'[14]Template '!$C$83</f>
        <v>2</v>
      </c>
      <c r="AD34">
        <f>'[14]Template '!$C$84</f>
        <v>1.5</v>
      </c>
      <c r="AE34">
        <f>'[14]Template '!$C$85</f>
        <v>2</v>
      </c>
      <c r="AG34">
        <f>'[14]Template '!$C$96</f>
        <v>0.19583333333333333</v>
      </c>
      <c r="AH34">
        <f>'[14]Template '!$C$97</f>
        <v>0.57777777777777783</v>
      </c>
      <c r="AI34">
        <f>'[14]Template '!$C$98</f>
        <v>0</v>
      </c>
      <c r="AJ34">
        <f>'[14]Template '!$C$99</f>
        <v>0.22222222222222221</v>
      </c>
      <c r="AK34">
        <f>'[14]Template '!$C$100</f>
        <v>0.47301587301587306</v>
      </c>
      <c r="AM34">
        <f>'[14]Template '!$C$102</f>
        <v>774</v>
      </c>
      <c r="AN34">
        <f>'[14]Template '!$C$103</f>
        <v>12.5</v>
      </c>
      <c r="AO34">
        <f>'[14]Template '!$C$104</f>
        <v>2</v>
      </c>
      <c r="AP34">
        <f>'[14]Template '!$C$105</f>
        <v>1</v>
      </c>
      <c r="AQ34">
        <f>'[14]Template '!$C$106</f>
        <v>1.5</v>
      </c>
      <c r="AR34">
        <f>'[14]Template '!$C$107</f>
        <v>1</v>
      </c>
      <c r="AT34">
        <f>'[14]Template '!$C$52</f>
        <v>0.27777777777777779</v>
      </c>
      <c r="AU34">
        <f>'[14]Template '!$C$53</f>
        <v>0.57777777777777783</v>
      </c>
      <c r="AV34">
        <f>'[14]Template '!$C$54</f>
        <v>0.25</v>
      </c>
      <c r="AW34">
        <f>'[14]Template '!$C$55</f>
        <v>0.27083333333333331</v>
      </c>
      <c r="AX34">
        <f>'[14]Template '!$C$56</f>
        <v>0.47936507936507944</v>
      </c>
      <c r="AZ34">
        <f>'[14]Template '!$C$58</f>
        <v>873</v>
      </c>
      <c r="BA34">
        <f>'[14]Template '!$C$59</f>
        <v>12</v>
      </c>
      <c r="BB34">
        <f>'[14]Template '!$C$60</f>
        <v>2</v>
      </c>
      <c r="BC34">
        <f>'[14]Template '!$C$61</f>
        <v>1.5</v>
      </c>
      <c r="BD34">
        <f>'[14]Template '!$C$62</f>
        <v>1.5</v>
      </c>
      <c r="BE34">
        <f>'[14]Template '!$C$63</f>
        <v>2</v>
      </c>
      <c r="BG34">
        <f>'[14]Template '!$B$29</f>
        <v>5.5555555555555552E-2</v>
      </c>
      <c r="BH34" t="str">
        <f>'[14]Template '!$B$30</f>
        <v>n/a</v>
      </c>
      <c r="BI34">
        <f>'[14]Template '!$B$31</f>
        <v>0.25</v>
      </c>
      <c r="BJ34">
        <f>'[14]Template '!$B$32</f>
        <v>0.40625</v>
      </c>
      <c r="BK34">
        <f>'[14]Template '!$B$33</f>
        <v>0.51388888888888895</v>
      </c>
      <c r="BM34">
        <f>'[14]Template '!$B$52</f>
        <v>0.27777777777777779</v>
      </c>
      <c r="BN34">
        <f>'[14]Template '!$B$53</f>
        <v>0.57777777777777783</v>
      </c>
      <c r="BO34">
        <f>'[14]Template '!$B$54</f>
        <v>0.25</v>
      </c>
      <c r="BP34">
        <f>'[14]Template '!$B$55</f>
        <v>0.28240740740740738</v>
      </c>
      <c r="BQ34">
        <f>'[14]Template '!$B$56</f>
        <v>0.47936507936507944</v>
      </c>
      <c r="BS34">
        <f>'[14]Template '!$B$74</f>
        <v>0.38181818181818183</v>
      </c>
      <c r="BT34" t="str">
        <f>'[14]Template '!$B$75</f>
        <v>n/a</v>
      </c>
      <c r="BU34">
        <f>'[14]Template '!$B$76</f>
        <v>0.14285714285714285</v>
      </c>
      <c r="BV34">
        <f>'[14]Template '!$B$77</f>
        <v>0.58333333333333326</v>
      </c>
      <c r="BW34">
        <f>'[14]Template '!$B$78</f>
        <v>0.66666666666666663</v>
      </c>
      <c r="BY34">
        <f>'[14]Template '!$B$96</f>
        <v>0.19583333333333333</v>
      </c>
      <c r="BZ34">
        <f>'[14]Template '!$B$97</f>
        <v>0.57777777777777783</v>
      </c>
      <c r="CA34">
        <f>'[14]Template '!$B$98</f>
        <v>0</v>
      </c>
      <c r="CB34">
        <f>'[14]Template '!$B$99</f>
        <v>0.22222222222222221</v>
      </c>
      <c r="CC34">
        <f>'[14]Template '!$B$100</f>
        <v>0.47301587301587306</v>
      </c>
      <c r="CF34">
        <f>'[14]Template '!$Z$30</f>
        <v>0</v>
      </c>
      <c r="CG34">
        <f>'[14]Template '!$AB$75</f>
        <v>0</v>
      </c>
      <c r="CH34">
        <f>'[14]Template '!$C$89</f>
        <v>1</v>
      </c>
      <c r="CI34">
        <f>'[14]Template '!$AF$75</f>
        <v>0</v>
      </c>
      <c r="CJ34">
        <f>'[14]Template '!$AR$97</f>
        <v>0</v>
      </c>
      <c r="CK34">
        <f>'[14]Template '!$AS$97</f>
        <v>0</v>
      </c>
      <c r="CL34">
        <f>'[14]Template '!$AZ$97</f>
        <v>0</v>
      </c>
      <c r="CM34">
        <f>'[14]Template '!$BB$97</f>
        <v>0</v>
      </c>
      <c r="CN34">
        <f>'[14]Template '!$AU$53</f>
        <v>0</v>
      </c>
      <c r="CO34">
        <f>'[14]Template '!$AV$53</f>
        <v>0</v>
      </c>
      <c r="CP34">
        <f>'[14]Template '!$AY$53</f>
        <v>0</v>
      </c>
      <c r="CQ34">
        <f>'[14]Template '!$AX$53</f>
        <v>0</v>
      </c>
      <c r="CR34">
        <f>'[14]Template '!$AZ$53</f>
        <v>0.5</v>
      </c>
      <c r="CS34">
        <f>'[14]Template '!$BF$53</f>
        <v>0</v>
      </c>
      <c r="CT34">
        <f t="shared" si="5"/>
        <v>1</v>
      </c>
      <c r="CU34">
        <f t="shared" si="6"/>
        <v>0.5</v>
      </c>
      <c r="CV34">
        <f t="shared" si="7"/>
        <v>1.5</v>
      </c>
      <c r="CY34" t="str">
        <f>'[14]Template '!$E$2</f>
        <v>B</v>
      </c>
      <c r="CZ34">
        <f>'[14]Template '!$B$13</f>
        <v>1</v>
      </c>
      <c r="DA34">
        <f>'[14]Template '!$D$2</f>
        <v>2</v>
      </c>
      <c r="DB34">
        <f>'[14]Template '!$D$3</f>
        <v>45013</v>
      </c>
      <c r="DC34">
        <f>'[14]Template '!$F$2</f>
        <v>45153</v>
      </c>
      <c r="DE34">
        <f>'[14]Template '!$B$12</f>
        <v>19</v>
      </c>
      <c r="DF34" t="str">
        <f>'[14]Template '!$B$14</f>
        <v>5/22</v>
      </c>
      <c r="DG34" t="str">
        <f>'[14]Template '!$B$15</f>
        <v>9/22</v>
      </c>
      <c r="DH34">
        <f>'[14]Template '!$B$16</f>
        <v>12</v>
      </c>
      <c r="DI34">
        <f>'[14]Template '!$B$17</f>
        <v>0</v>
      </c>
      <c r="DJ34">
        <f>'[14]Template '!$B$18</f>
        <v>0</v>
      </c>
      <c r="DK34">
        <f>'[14]Template '!$B$19</f>
        <v>0</v>
      </c>
      <c r="DL34">
        <f>'[14]Template '!$B$20</f>
        <v>0</v>
      </c>
      <c r="DM34">
        <f>'[14]Template '!$B$21</f>
        <v>0</v>
      </c>
      <c r="DN34">
        <f>'[14]Template '!$B$22</f>
        <v>0</v>
      </c>
      <c r="DP34">
        <f>'[14]Template '!$I$13</f>
        <v>5</v>
      </c>
      <c r="DQ34">
        <f>'[14]Template '!$I$14</f>
        <v>4</v>
      </c>
      <c r="DR34">
        <f>'[14]Template '!$I$15</f>
        <v>2</v>
      </c>
      <c r="DS34">
        <f>'[14]Template '!$I$16</f>
        <v>4</v>
      </c>
      <c r="DT34">
        <f>'[14]Template '!$I$17</f>
        <v>4</v>
      </c>
      <c r="DU34">
        <f>'[14]Template '!$I$18</f>
        <v>2</v>
      </c>
      <c r="DV34">
        <f>'[14]Template '!$I$19</f>
        <v>5</v>
      </c>
      <c r="DW34">
        <f>'[14]Template '!$I$20</f>
        <v>1</v>
      </c>
      <c r="DX34">
        <f>'[14]Template '!$I$21</f>
        <v>3</v>
      </c>
      <c r="DY34">
        <f>'[14]Template '!$I$22</f>
        <v>2</v>
      </c>
      <c r="DZ34">
        <f>'[14]Template '!$I$23</f>
        <v>4</v>
      </c>
      <c r="EA34">
        <f>'[14]Template '!$I$24</f>
        <v>1</v>
      </c>
      <c r="ED34">
        <f>'[14]Template '!$L$13</f>
        <v>5</v>
      </c>
      <c r="EE34">
        <f>'[14]Template '!$L$14</f>
        <v>4</v>
      </c>
      <c r="EF34">
        <f>'[14]Template '!$L$15</f>
        <v>4</v>
      </c>
      <c r="EG34">
        <f>'[14]Template '!$L$16</f>
        <v>1</v>
      </c>
      <c r="EH34">
        <f>'[14]Template '!$L$17</f>
        <v>2</v>
      </c>
      <c r="EI34">
        <f>'[14]Template '!$L$18</f>
        <v>1</v>
      </c>
      <c r="EJ34">
        <f>'[14]Template '!$L$19</f>
        <v>5</v>
      </c>
      <c r="EK34">
        <f>'[14]Template '!$L$20</f>
        <v>1</v>
      </c>
      <c r="EL34">
        <f>'[14]Template '!$L$21</f>
        <v>1</v>
      </c>
      <c r="EM34">
        <f>'[14]Template '!$L$22</f>
        <v>1</v>
      </c>
      <c r="EN34">
        <f>'[14]Template '!$L$23</f>
        <v>4</v>
      </c>
      <c r="EQ34">
        <f>'[14]Template '!$O$13</f>
        <v>5</v>
      </c>
      <c r="ER34">
        <f>'[14]Template '!$O$14</f>
        <v>2</v>
      </c>
      <c r="ES34">
        <f>'[14]Template '!$O$15</f>
        <v>1</v>
      </c>
      <c r="ET34">
        <f>'[14]Template '!$O$16</f>
        <v>1</v>
      </c>
      <c r="EU34">
        <f>'[14]Template '!$O$17</f>
        <v>4</v>
      </c>
      <c r="EV34">
        <f>'[14]Template '!$O$18</f>
        <v>3</v>
      </c>
      <c r="EW34">
        <f>'[14]Template '!$O$19</f>
        <v>1</v>
      </c>
      <c r="EX34">
        <f>'[14]Template '!$O$20</f>
        <v>1</v>
      </c>
      <c r="EY34">
        <f>'[14]Template '!$O$21</f>
        <v>2</v>
      </c>
      <c r="EZ34">
        <f>'[14]Template '!$O$22</f>
        <v>2</v>
      </c>
      <c r="FA34">
        <f>'[14]Template '!$O$23</f>
        <v>2</v>
      </c>
      <c r="FL34">
        <f>'[14]Template '!$D$5</f>
        <v>0.30642361111111116</v>
      </c>
      <c r="FM34">
        <f>'[14]Template '!$D$6</f>
        <v>0.44366883116883116</v>
      </c>
      <c r="FN34">
        <f>'[14]Template '!$D$7</f>
        <v>0.3734656084656085</v>
      </c>
      <c r="FO34">
        <f>'[14]Template '!$D$8</f>
        <v>0.29376984126984129</v>
      </c>
      <c r="FP34">
        <f>'[14]Template '!$D$9</f>
        <v>0.35433197300384806</v>
      </c>
      <c r="FR34">
        <f>'[14]Template '!$E$5</f>
        <v>0.30780228758169936</v>
      </c>
      <c r="FS34">
        <f>'[14]Template '!$E$6</f>
        <v>0.42283549783549779</v>
      </c>
      <c r="FT34">
        <f>'[14]Template '!$E$7</f>
        <v>0.37115079365079368</v>
      </c>
      <c r="FU34">
        <f>'[14]Template '!$E$8</f>
        <v>0.29376984126984129</v>
      </c>
      <c r="FV34">
        <f>'[14]Template '!$E$9</f>
        <v>0.34888960508445804</v>
      </c>
    </row>
    <row r="35" spans="1:178" x14ac:dyDescent="0.2">
      <c r="A35" t="str">
        <f>'[16]Template '!$A$2</f>
        <v>M_039</v>
      </c>
      <c r="C35" t="str">
        <f t="shared" si="4"/>
        <v>M_039.xlsx</v>
      </c>
      <c r="E35" t="str">
        <f>'[16]Template '!$C$2</f>
        <v>D only</v>
      </c>
      <c r="G35">
        <f>'[16]Template '!$C$29</f>
        <v>0</v>
      </c>
      <c r="H35" t="str">
        <f>'[16]Template '!$C$30</f>
        <v>n/a</v>
      </c>
      <c r="I35">
        <f>'[16]Template '!$C$31</f>
        <v>0.25</v>
      </c>
      <c r="J35">
        <f>'[16]Template '!$C$32</f>
        <v>0.20588235294117646</v>
      </c>
      <c r="K35">
        <f>'[16]Template '!$C$33</f>
        <v>0.44841269841269837</v>
      </c>
      <c r="M35">
        <f>'[16]Template '!$C$80</f>
        <v>739</v>
      </c>
      <c r="N35">
        <f>'[16]Template '!$C$81</f>
        <v>14</v>
      </c>
      <c r="O35">
        <f>'[16]Template '!$C$82</f>
        <v>2</v>
      </c>
      <c r="P35">
        <f>'[16]Template '!$C$83</f>
        <v>1</v>
      </c>
      <c r="Q35">
        <f>'[16]Template '!$C$84</f>
        <v>2.5</v>
      </c>
      <c r="R35">
        <f>'[16]Template '!$C$85</f>
        <v>1</v>
      </c>
      <c r="T35">
        <f>'[16]Template '!$C$74</f>
        <v>0.51818181818181819</v>
      </c>
      <c r="U35" t="str">
        <f>'[16]Template '!$C$75</f>
        <v>n/a</v>
      </c>
      <c r="V35">
        <f>'[16]Template '!$C$76</f>
        <v>0.14285714285714285</v>
      </c>
      <c r="W35">
        <f>'[16]Template '!$C$77</f>
        <v>0.46428571428571425</v>
      </c>
      <c r="X35">
        <f>'[16]Template '!$C$78</f>
        <v>0.50396825396825395</v>
      </c>
      <c r="Z35">
        <f>'[16]Template '!$C$80</f>
        <v>739</v>
      </c>
      <c r="AA35">
        <f>'[16]Template '!$C$81</f>
        <v>14</v>
      </c>
      <c r="AB35">
        <f>'[16]Template '!$C$82</f>
        <v>2</v>
      </c>
      <c r="AC35">
        <f>'[16]Template '!$C$83</f>
        <v>1</v>
      </c>
      <c r="AD35">
        <f>'[16]Template '!$C$84</f>
        <v>2.5</v>
      </c>
      <c r="AE35">
        <f>'[16]Template '!$C$85</f>
        <v>1</v>
      </c>
      <c r="AG35">
        <f>'[16]Template '!$C$96</f>
        <v>0.4458333333333333</v>
      </c>
      <c r="AH35">
        <f>'[16]Template '!$C$97</f>
        <v>0.37777777777777777</v>
      </c>
      <c r="AI35">
        <f>'[16]Template '!$C$98</f>
        <v>0.5</v>
      </c>
      <c r="AJ35">
        <f>'[16]Template '!$C$99</f>
        <v>0.4386724386724386</v>
      </c>
      <c r="AK35">
        <f>'[16]Template '!$C$100</f>
        <v>0.71349206349206329</v>
      </c>
      <c r="AM35">
        <f>'[16]Template '!$C$102</f>
        <v>960</v>
      </c>
      <c r="AN35">
        <f>'[16]Template '!$C$103</f>
        <v>41.5</v>
      </c>
      <c r="AO35">
        <f>'[16]Template '!$C$104</f>
        <v>1.5</v>
      </c>
      <c r="AP35">
        <f>'[16]Template '!$C$105</f>
        <v>2</v>
      </c>
      <c r="AQ35">
        <f>'[16]Template '!$C$106</f>
        <v>3</v>
      </c>
      <c r="AR35">
        <f>'[16]Template '!$C$107</f>
        <v>2.5</v>
      </c>
      <c r="AT35">
        <f>'[16]Template '!$C$52</f>
        <v>0.37698412698412698</v>
      </c>
      <c r="AU35">
        <f>'[16]Template '!$C$53</f>
        <v>0.37777777777777777</v>
      </c>
      <c r="AV35">
        <f>'[16]Template '!$C$54</f>
        <v>0</v>
      </c>
      <c r="AW35">
        <f>'[16]Template '!$C$55</f>
        <v>0.3125</v>
      </c>
      <c r="AX35">
        <f>'[16]Template '!$C$56</f>
        <v>0.54920634920634914</v>
      </c>
      <c r="AZ35">
        <f>'[16]Template '!$C$58</f>
        <v>1049</v>
      </c>
      <c r="BA35">
        <f>'[16]Template '!$C$59</f>
        <v>19</v>
      </c>
      <c r="BB35">
        <f>'[16]Template '!$C$60</f>
        <v>1.5</v>
      </c>
      <c r="BC35">
        <f>'[16]Template '!$C$61</f>
        <v>1.5</v>
      </c>
      <c r="BD35">
        <f>'[16]Template '!$C$62</f>
        <v>2.5</v>
      </c>
      <c r="BE35">
        <f>'[16]Template '!$C$63</f>
        <v>2</v>
      </c>
      <c r="BG35">
        <f>'[16]Template '!$B$29</f>
        <v>0</v>
      </c>
      <c r="BH35" t="str">
        <f>'[16]Template '!$B$30</f>
        <v>n/a</v>
      </c>
      <c r="BI35">
        <f>'[16]Template '!$B$31</f>
        <v>0.25</v>
      </c>
      <c r="BJ35">
        <f>'[16]Template '!$B$32</f>
        <v>0.125</v>
      </c>
      <c r="BK35">
        <f>'[16]Template '!$B$33</f>
        <v>0.44841269841269837</v>
      </c>
      <c r="BM35">
        <f>'[16]Template '!$B$52</f>
        <v>0.30555555555555558</v>
      </c>
      <c r="BN35">
        <f>'[16]Template '!$B$53</f>
        <v>0.37777777777777777</v>
      </c>
      <c r="BO35">
        <f>'[16]Template '!$B$54</f>
        <v>0</v>
      </c>
      <c r="BP35">
        <f>'[16]Template '!$B$55</f>
        <v>0.3611111111111111</v>
      </c>
      <c r="BQ35">
        <f>'[16]Template '!$B$56</f>
        <v>0.54920634920634914</v>
      </c>
      <c r="BS35">
        <f>'[16]Template '!$B$74</f>
        <v>0.51818181818181819</v>
      </c>
      <c r="BT35" t="str">
        <f>'[16]Template '!$B$75</f>
        <v>n/a</v>
      </c>
      <c r="BU35">
        <f>'[16]Template '!$B$76</f>
        <v>0.14285714285714285</v>
      </c>
      <c r="BV35">
        <f>'[16]Template '!$B$77</f>
        <v>0.39583333333333331</v>
      </c>
      <c r="BW35">
        <f>'[16]Template '!$B$78</f>
        <v>0.50396825396825395</v>
      </c>
      <c r="BY35">
        <f>'[16]Template '!$B$96</f>
        <v>0.4458333333333333</v>
      </c>
      <c r="BZ35">
        <f>'[16]Template '!$B$97</f>
        <v>0.37777777777777777</v>
      </c>
      <c r="CA35">
        <f>'[16]Template '!$B$98</f>
        <v>0.5</v>
      </c>
      <c r="CB35">
        <f>'[16]Template '!$B$99</f>
        <v>0.80555555555555547</v>
      </c>
      <c r="CC35">
        <f>'[16]Template '!$B$100</f>
        <v>0.71349206349206329</v>
      </c>
      <c r="CF35">
        <f>'[16]Template '!$Z$30</f>
        <v>0</v>
      </c>
      <c r="CG35">
        <f>'[16]Template '!$AB$75</f>
        <v>0</v>
      </c>
      <c r="CH35">
        <f>'[16]Template '!$C$89</f>
        <v>0</v>
      </c>
      <c r="CI35">
        <f>'[16]Template '!$AF$75</f>
        <v>0</v>
      </c>
      <c r="CJ35">
        <f>'[16]Template '!$AR$97</f>
        <v>0.5</v>
      </c>
      <c r="CK35">
        <f>'[16]Template '!$AS$97</f>
        <v>0</v>
      </c>
      <c r="CL35">
        <f>'[16]Template '!$AZ$97</f>
        <v>0.5</v>
      </c>
      <c r="CM35">
        <f>'[16]Template '!$BB$97</f>
        <v>0</v>
      </c>
      <c r="CN35">
        <f>'[16]Template '!$AU$53</f>
        <v>0</v>
      </c>
      <c r="CO35">
        <f>'[16]Template '!$AV$53</f>
        <v>0</v>
      </c>
      <c r="CP35">
        <f>'[16]Template '!$AY$53</f>
        <v>0</v>
      </c>
      <c r="CQ35">
        <f>'[16]Template '!$AX$53</f>
        <v>0</v>
      </c>
      <c r="CR35">
        <f>'[16]Template '!$AZ$53</f>
        <v>0</v>
      </c>
      <c r="CS35">
        <f>'[16]Template '!$BF$53</f>
        <v>0</v>
      </c>
      <c r="CT35">
        <f t="shared" si="5"/>
        <v>0</v>
      </c>
      <c r="CU35">
        <f t="shared" si="6"/>
        <v>1</v>
      </c>
      <c r="CV35">
        <f t="shared" si="7"/>
        <v>1</v>
      </c>
      <c r="CY35" t="str">
        <f>'[16]Template '!$E$2</f>
        <v>A</v>
      </c>
      <c r="CZ35">
        <f>'[16]Template '!$B$13</f>
        <v>2</v>
      </c>
      <c r="DA35">
        <f>'[16]Template '!$D$2</f>
        <v>2</v>
      </c>
      <c r="DB35">
        <f>'[16]Template '!$D$3</f>
        <v>45013</v>
      </c>
      <c r="DC35">
        <f>'[16]Template '!$F$2</f>
        <v>45100</v>
      </c>
      <c r="DE35">
        <f>'[16]Template '!$B$12</f>
        <v>24</v>
      </c>
      <c r="DF35" t="str">
        <f>'[16]Template '!$B$14</f>
        <v>12/17</v>
      </c>
      <c r="DG35" t="str">
        <f>'[16]Template '!$B$15</f>
        <v>4/28</v>
      </c>
      <c r="DH35">
        <f>'[16]Template '!$B$16</f>
        <v>72</v>
      </c>
      <c r="DI35">
        <f>'[16]Template '!$B$17</f>
        <v>0</v>
      </c>
      <c r="DJ35">
        <f>'[16]Template '!$B$18</f>
        <v>0</v>
      </c>
      <c r="DK35">
        <f>'[16]Template '!$B$19</f>
        <v>1</v>
      </c>
      <c r="DL35">
        <f>'[16]Template '!$B$20</f>
        <v>1</v>
      </c>
      <c r="DM35">
        <f>'[16]Template '!$B$21</f>
        <v>0</v>
      </c>
      <c r="DN35">
        <f>'[16]Template '!$B$22</f>
        <v>0</v>
      </c>
      <c r="DP35">
        <f>'[16]Template '!$I$13</f>
        <v>4</v>
      </c>
      <c r="DQ35">
        <f>'[16]Template '!$I$14</f>
        <v>4</v>
      </c>
      <c r="DR35">
        <f>'[16]Template '!$I$15</f>
        <v>5</v>
      </c>
      <c r="DS35">
        <f>'[16]Template '!$I$16</f>
        <v>4</v>
      </c>
      <c r="DT35">
        <f>'[16]Template '!$I$17</f>
        <v>5</v>
      </c>
      <c r="DU35">
        <f>'[16]Template '!$I$18</f>
        <v>3</v>
      </c>
      <c r="DV35">
        <f>'[16]Template '!$I$19</f>
        <v>4</v>
      </c>
      <c r="DW35">
        <f>'[16]Template '!$I$20</f>
        <v>3</v>
      </c>
      <c r="DX35">
        <f>'[16]Template '!$I$21</f>
        <v>4</v>
      </c>
      <c r="DY35">
        <f>'[16]Template '!$I$22</f>
        <v>3</v>
      </c>
      <c r="DZ35">
        <f>'[16]Template '!$I$23</f>
        <v>5</v>
      </c>
      <c r="EA35">
        <f>'[16]Template '!$I$24</f>
        <v>0.5</v>
      </c>
      <c r="ED35">
        <f>'[16]Template '!$L$13</f>
        <v>4</v>
      </c>
      <c r="EE35">
        <f>'[16]Template '!$L$14</f>
        <v>4</v>
      </c>
      <c r="EF35">
        <f>'[16]Template '!$L$15</f>
        <v>3</v>
      </c>
      <c r="EG35">
        <f>'[16]Template '!$L$16</f>
        <v>3</v>
      </c>
      <c r="EH35">
        <f>'[16]Template '!$L$17</f>
        <v>4</v>
      </c>
      <c r="EI35">
        <f>'[16]Template '!$L$18</f>
        <v>2</v>
      </c>
      <c r="EJ35">
        <f>'[16]Template '!$L$19</f>
        <v>4</v>
      </c>
      <c r="EK35">
        <f>'[16]Template '!$L$20</f>
        <v>2</v>
      </c>
      <c r="EL35">
        <f>'[16]Template '!$L$21</f>
        <v>1</v>
      </c>
      <c r="EM35">
        <f>'[16]Template '!$L$22</f>
        <v>3</v>
      </c>
      <c r="EN35">
        <f>'[16]Template '!$L$23</f>
        <v>5</v>
      </c>
      <c r="EQ35">
        <f>'[16]Template '!$O$13</f>
        <v>4</v>
      </c>
      <c r="ER35">
        <f>'[16]Template '!$O$14</f>
        <v>1</v>
      </c>
      <c r="ES35">
        <f>'[16]Template '!$O$15</f>
        <v>1</v>
      </c>
      <c r="ET35">
        <f>'[16]Template '!$O$16</f>
        <v>2</v>
      </c>
      <c r="EU35">
        <f>'[16]Template '!$O$17</f>
        <v>4</v>
      </c>
      <c r="EV35">
        <f>'[16]Template '!$O$18</f>
        <v>2</v>
      </c>
      <c r="EW35">
        <f>'[16]Template '!$O$19</f>
        <v>1</v>
      </c>
      <c r="EX35">
        <f>'[16]Template '!$O$20</f>
        <v>3</v>
      </c>
      <c r="EY35">
        <f>'[16]Template '!$O$21</f>
        <v>1</v>
      </c>
      <c r="EZ35">
        <f>'[16]Template '!$O$22</f>
        <v>2</v>
      </c>
      <c r="FA35">
        <f>'[16]Template '!$O$23</f>
        <v>2</v>
      </c>
      <c r="FL35">
        <f>'[16]Template '!$D$5</f>
        <v>0.20585317460317459</v>
      </c>
      <c r="FM35">
        <f>'[16]Template '!$D$6</f>
        <v>0.39021013708513708</v>
      </c>
      <c r="FN35">
        <f>'[16]Template '!$D$7</f>
        <v>0.31873015873015875</v>
      </c>
      <c r="FO35">
        <f>'[16]Template '!$D$8</f>
        <v>0.56853174603174594</v>
      </c>
      <c r="FP35">
        <f>'[16]Template '!$D$9</f>
        <v>0.37083130411255405</v>
      </c>
      <c r="FR35">
        <f>'[16]Template '!$E$5</f>
        <v>0.22607376283846869</v>
      </c>
      <c r="FS35">
        <f>'[16]Template '!$E$6</f>
        <v>0.40732323232323231</v>
      </c>
      <c r="FT35">
        <f>'[16]Template '!$E$7</f>
        <v>0.32329365079365074</v>
      </c>
      <c r="FU35">
        <f>'[16]Template '!$E$8</f>
        <v>0.49515512265512263</v>
      </c>
      <c r="FV35">
        <f>'[16]Template '!$E$9</f>
        <v>0.36296144215261861</v>
      </c>
    </row>
    <row r="36" spans="1:178" x14ac:dyDescent="0.2">
      <c r="A36" t="str">
        <f>'[17]Template '!$A$2</f>
        <v>M_040</v>
      </c>
      <c r="C36" t="str">
        <f t="shared" si="4"/>
        <v>M_040.xlsx</v>
      </c>
      <c r="E36" t="str">
        <f>'[17]Template '!$C$2</f>
        <v>D only</v>
      </c>
      <c r="G36">
        <f>'[17]Template '!$C$29</f>
        <v>0.33333333333333331</v>
      </c>
      <c r="H36" t="str">
        <f>'[17]Template '!$C$30</f>
        <v>n/a</v>
      </c>
      <c r="I36">
        <f>'[17]Template '!$C$31</f>
        <v>0.58333333333333326</v>
      </c>
      <c r="J36">
        <f>'[17]Template '!$C$32</f>
        <v>0.7720588235294118</v>
      </c>
      <c r="K36">
        <f>'[17]Template '!$C$33</f>
        <v>0.66468253968253965</v>
      </c>
      <c r="M36">
        <f>'[17]Template '!$C$80</f>
        <v>852</v>
      </c>
      <c r="N36">
        <f>'[17]Template '!$C$81</f>
        <v>67.5</v>
      </c>
      <c r="O36">
        <f>'[17]Template '!$C$82</f>
        <v>3.5</v>
      </c>
      <c r="P36">
        <f>'[17]Template '!$C$83</f>
        <v>4</v>
      </c>
      <c r="Q36">
        <f>'[17]Template '!$C$84</f>
        <v>3</v>
      </c>
      <c r="R36">
        <f>'[17]Template '!$C$85</f>
        <v>4</v>
      </c>
      <c r="T36">
        <f>'[17]Template '!$C$74</f>
        <v>0.7</v>
      </c>
      <c r="U36" t="str">
        <f>'[17]Template '!$C$75</f>
        <v>n/a</v>
      </c>
      <c r="V36">
        <f>'[17]Template '!$C$76</f>
        <v>0.42857142857142855</v>
      </c>
      <c r="W36">
        <f>'[17]Template '!$C$77</f>
        <v>0.71428571428571419</v>
      </c>
      <c r="X36">
        <f>'[17]Template '!$C$78</f>
        <v>0.85515873015873012</v>
      </c>
      <c r="Z36">
        <f>'[17]Template '!$C$80</f>
        <v>852</v>
      </c>
      <c r="AA36">
        <f>'[17]Template '!$C$81</f>
        <v>67.5</v>
      </c>
      <c r="AB36">
        <f>'[17]Template '!$C$82</f>
        <v>3.5</v>
      </c>
      <c r="AC36">
        <f>'[17]Template '!$C$83</f>
        <v>4</v>
      </c>
      <c r="AD36">
        <f>'[17]Template '!$C$84</f>
        <v>3</v>
      </c>
      <c r="AE36">
        <f>'[17]Template '!$C$85</f>
        <v>4</v>
      </c>
      <c r="AG36">
        <f>'[17]Template '!$C$96</f>
        <v>0.54166666666666663</v>
      </c>
      <c r="AH36">
        <f>'[17]Template '!$C$97</f>
        <v>0.50370370370370376</v>
      </c>
      <c r="AI36">
        <f>'[17]Template '!$C$98</f>
        <v>0.5</v>
      </c>
      <c r="AJ36">
        <f>'[17]Template '!$C$99</f>
        <v>0.40836940836940833</v>
      </c>
      <c r="AK36">
        <f>'[17]Template '!$C$100</f>
        <v>0.75396825396825395</v>
      </c>
      <c r="AM36">
        <f>'[17]Template '!$C$102</f>
        <v>758</v>
      </c>
      <c r="AN36">
        <f>'[17]Template '!$C$103</f>
        <v>40</v>
      </c>
      <c r="AO36">
        <f>'[17]Template '!$C$104</f>
        <v>3.5</v>
      </c>
      <c r="AP36">
        <f>'[17]Template '!$C$105</f>
        <v>2.5</v>
      </c>
      <c r="AQ36">
        <f>'[17]Template '!$C$106</f>
        <v>2.5</v>
      </c>
      <c r="AR36">
        <f>'[17]Template '!$C$107</f>
        <v>2.5</v>
      </c>
      <c r="AT36">
        <f>'[17]Template '!$C$52</f>
        <v>0.69444444444444442</v>
      </c>
      <c r="AU36">
        <f>'[17]Template '!$C$53</f>
        <v>0.50370370370370376</v>
      </c>
      <c r="AV36">
        <f>'[17]Template '!$C$54</f>
        <v>0.5</v>
      </c>
      <c r="AW36">
        <f>'[17]Template '!$C$55</f>
        <v>0.5446428571428571</v>
      </c>
      <c r="AX36">
        <f>'[17]Template '!$C$56</f>
        <v>0.74841269841269842</v>
      </c>
      <c r="AZ36">
        <f>'[17]Template '!$C$58</f>
        <v>1162</v>
      </c>
      <c r="BA36">
        <f>'[17]Template '!$C$59</f>
        <v>55</v>
      </c>
      <c r="BB36">
        <f>'[17]Template '!$C$60</f>
        <v>3.5</v>
      </c>
      <c r="BC36">
        <f>'[17]Template '!$C$61</f>
        <v>3</v>
      </c>
      <c r="BD36">
        <f>'[17]Template '!$C$62</f>
        <v>3</v>
      </c>
      <c r="BE36">
        <f>'[17]Template '!$C$63</f>
        <v>2.5</v>
      </c>
      <c r="BG36">
        <f>'[17]Template '!$B$29</f>
        <v>0.33333333333333331</v>
      </c>
      <c r="BH36" t="str">
        <f>'[17]Template '!$B$30</f>
        <v>n/a</v>
      </c>
      <c r="BI36">
        <f>'[17]Template '!$B$31</f>
        <v>0.58333333333333326</v>
      </c>
      <c r="BJ36">
        <f>'[17]Template '!$B$32</f>
        <v>0.84375</v>
      </c>
      <c r="BK36">
        <f>'[17]Template '!$B$33</f>
        <v>0.66468253968253965</v>
      </c>
      <c r="BM36">
        <f>'[17]Template '!$B$52</f>
        <v>0.69444444444444442</v>
      </c>
      <c r="BN36">
        <f>'[17]Template '!$B$53</f>
        <v>0.50370370370370376</v>
      </c>
      <c r="BO36">
        <f>'[17]Template '!$B$54</f>
        <v>0.5</v>
      </c>
      <c r="BP36">
        <f>'[17]Template '!$B$55</f>
        <v>0.76851851851851849</v>
      </c>
      <c r="BQ36">
        <f>'[17]Template '!$B$56</f>
        <v>0.74841269841269842</v>
      </c>
      <c r="BS36">
        <f>'[17]Template '!$B$74</f>
        <v>0.7</v>
      </c>
      <c r="BT36" t="str">
        <f>'[17]Template '!$B$75</f>
        <v>n/a</v>
      </c>
      <c r="BU36">
        <f>'[17]Template '!$B$76</f>
        <v>0.42857142857142855</v>
      </c>
      <c r="BV36">
        <f>'[17]Template '!$B$77</f>
        <v>0.83333333333333326</v>
      </c>
      <c r="BW36">
        <f>'[17]Template '!$B$78</f>
        <v>0.85515873015873012</v>
      </c>
      <c r="BY36">
        <f>'[17]Template '!$B$96</f>
        <v>0.54166666666666663</v>
      </c>
      <c r="BZ36">
        <f>'[17]Template '!$B$97</f>
        <v>0.50370370370370376</v>
      </c>
      <c r="CA36">
        <f>'[17]Template '!$B$98</f>
        <v>0.5</v>
      </c>
      <c r="CB36">
        <f>'[17]Template '!$B$99</f>
        <v>0.80555555555555547</v>
      </c>
      <c r="CC36">
        <f>'[17]Template '!$B$100</f>
        <v>0.75396825396825395</v>
      </c>
      <c r="CF36">
        <f>'[17]Template '!$Z$30</f>
        <v>0.5</v>
      </c>
      <c r="CG36">
        <f>'[17]Template '!$AB$75</f>
        <v>1</v>
      </c>
      <c r="CH36">
        <f>'[17]Template '!$C$89</f>
        <v>1</v>
      </c>
      <c r="CI36">
        <f>'[17]Template '!$AF$75</f>
        <v>1</v>
      </c>
      <c r="CJ36">
        <f>'[17]Template '!$AR$97</f>
        <v>0.5</v>
      </c>
      <c r="CK36">
        <f>'[17]Template '!$AS$97</f>
        <v>0</v>
      </c>
      <c r="CL36">
        <f>'[17]Template '!$AZ$97</f>
        <v>0</v>
      </c>
      <c r="CM36">
        <f>'[17]Template '!$BB$97</f>
        <v>0</v>
      </c>
      <c r="CN36">
        <f>'[17]Template '!$AU$53</f>
        <v>1</v>
      </c>
      <c r="CO36">
        <f>'[17]Template '!$AV$53</f>
        <v>0</v>
      </c>
      <c r="CP36">
        <f>'[17]Template '!$AY$53</f>
        <v>0</v>
      </c>
      <c r="CQ36">
        <f>'[17]Template '!$AX$53</f>
        <v>0</v>
      </c>
      <c r="CR36">
        <f>'[17]Template '!$AZ$53</f>
        <v>0</v>
      </c>
      <c r="CS36">
        <f>'[17]Template '!$BF$53</f>
        <v>0.5</v>
      </c>
      <c r="CT36">
        <f t="shared" si="5"/>
        <v>3.5</v>
      </c>
      <c r="CU36">
        <f t="shared" si="6"/>
        <v>2</v>
      </c>
      <c r="CV36">
        <f t="shared" si="7"/>
        <v>5.5</v>
      </c>
      <c r="CY36" t="str">
        <f>'[17]Template '!$E$2</f>
        <v>A</v>
      </c>
      <c r="CZ36">
        <f>'[17]Template '!$B$13</f>
        <v>1</v>
      </c>
      <c r="DA36">
        <f>'[17]Template '!$D$2</f>
        <v>2</v>
      </c>
      <c r="DB36">
        <f>'[17]Template '!$D$3</f>
        <v>45013</v>
      </c>
      <c r="DC36">
        <f>'[17]Template '!$F$2</f>
        <v>45083</v>
      </c>
      <c r="DE36">
        <f>'[17]Template '!$B$12</f>
        <v>21</v>
      </c>
      <c r="DF36" t="str">
        <f>'[17]Template '!$B$14</f>
        <v>7/21</v>
      </c>
      <c r="DG36" t="str">
        <f>'[17]Template '!$B$15</f>
        <v>11/21</v>
      </c>
      <c r="DH36">
        <f>'[17]Template '!$B$16</f>
        <v>24</v>
      </c>
      <c r="DI36">
        <f>'[17]Template '!$B$17</f>
        <v>0</v>
      </c>
      <c r="DJ36">
        <f>'[17]Template '!$B$18</f>
        <v>0</v>
      </c>
      <c r="DK36">
        <f>'[17]Template '!$B$19</f>
        <v>1</v>
      </c>
      <c r="DL36">
        <f>'[17]Template '!$B$20</f>
        <v>1</v>
      </c>
      <c r="DM36">
        <f>'[17]Template '!$B$21</f>
        <v>0</v>
      </c>
      <c r="DN36">
        <f>'[17]Template '!$B$22</f>
        <v>0</v>
      </c>
      <c r="DP36">
        <f>'[17]Template '!$I$13</f>
        <v>4</v>
      </c>
      <c r="DQ36">
        <f>'[17]Template '!$I$14</f>
        <v>4</v>
      </c>
      <c r="DR36">
        <f>'[17]Template '!$I$15</f>
        <v>4</v>
      </c>
      <c r="DS36">
        <f>'[17]Template '!$I$16</f>
        <v>3</v>
      </c>
      <c r="DT36">
        <f>'[17]Template '!$I$17</f>
        <v>3</v>
      </c>
      <c r="DU36">
        <f>'[17]Template '!$I$18</f>
        <v>4</v>
      </c>
      <c r="DV36">
        <f>'[17]Template '!$I$19</f>
        <v>5</v>
      </c>
      <c r="DW36">
        <f>'[17]Template '!$I$20</f>
        <v>4</v>
      </c>
      <c r="DX36">
        <f>'[17]Template '!$I$21</f>
        <v>4</v>
      </c>
      <c r="DY36">
        <f>'[17]Template '!$I$22</f>
        <v>3</v>
      </c>
      <c r="DZ36">
        <f>'[17]Template '!$I$23</f>
        <v>4</v>
      </c>
      <c r="EA36">
        <f>'[17]Template '!$I$24</f>
        <v>0</v>
      </c>
      <c r="ED36">
        <f>'[17]Template '!$L$13</f>
        <v>4</v>
      </c>
      <c r="EE36">
        <f>'[17]Template '!$L$14</f>
        <v>4</v>
      </c>
      <c r="EF36">
        <f>'[17]Template '!$L$15</f>
        <v>4</v>
      </c>
      <c r="EG36">
        <f>'[17]Template '!$L$16</f>
        <v>3</v>
      </c>
      <c r="EH36">
        <f>'[17]Template '!$L$17</f>
        <v>3</v>
      </c>
      <c r="EI36">
        <f>'[17]Template '!$L$18</f>
        <v>3</v>
      </c>
      <c r="EJ36">
        <f>'[17]Template '!$L$19</f>
        <v>5</v>
      </c>
      <c r="EK36">
        <f>'[17]Template '!$L$20</f>
        <v>4</v>
      </c>
      <c r="EL36">
        <f>'[17]Template '!$L$21</f>
        <v>4</v>
      </c>
      <c r="EM36">
        <f>'[17]Template '!$L$22</f>
        <v>4</v>
      </c>
      <c r="EN36">
        <f>'[17]Template '!$L$23</f>
        <v>5</v>
      </c>
      <c r="EQ36">
        <f>'[17]Template '!$O$13</f>
        <v>3</v>
      </c>
      <c r="ER36">
        <f>'[17]Template '!$O$14</f>
        <v>2</v>
      </c>
      <c r="ES36">
        <f>'[17]Template '!$O$15</f>
        <v>2</v>
      </c>
      <c r="ET36">
        <f>'[17]Template '!$O$16</f>
        <v>3</v>
      </c>
      <c r="EU36">
        <f>'[17]Template '!$O$17</f>
        <v>5</v>
      </c>
      <c r="EV36">
        <f>'[17]Template '!$O$18</f>
        <v>4</v>
      </c>
      <c r="EW36">
        <f>'[17]Template '!$O$19</f>
        <v>3</v>
      </c>
      <c r="EX36">
        <f>'[17]Template '!$O$20</f>
        <v>2</v>
      </c>
      <c r="EY36">
        <f>'[17]Template '!$O$21</f>
        <v>3</v>
      </c>
      <c r="EZ36">
        <f>'[17]Template '!$O$22</f>
        <v>4</v>
      </c>
      <c r="FA36">
        <f>'[17]Template '!$O$23</f>
        <v>4</v>
      </c>
      <c r="FL36">
        <f>'[17]Template '!$D$5</f>
        <v>0.60627480158730152</v>
      </c>
      <c r="FM36">
        <f>'[17]Template '!$D$6</f>
        <v>0.70426587301587296</v>
      </c>
      <c r="FN36">
        <f>'[17]Template '!$D$7</f>
        <v>0.64301587301587304</v>
      </c>
      <c r="FO36">
        <f>'[17]Template '!$D$8</f>
        <v>0.62097883597883596</v>
      </c>
      <c r="FP36">
        <f>'[17]Template '!$D$9</f>
        <v>0.64363384589947081</v>
      </c>
      <c r="FR36">
        <f>'[17]Template '!$E$5</f>
        <v>0.58835200746965444</v>
      </c>
      <c r="FS36">
        <f>'[17]Template '!$E$6</f>
        <v>0.67450396825396819</v>
      </c>
      <c r="FT36">
        <f>'[17]Template '!$E$7</f>
        <v>0.59824074074074074</v>
      </c>
      <c r="FU36">
        <f>'[17]Template '!$E$8</f>
        <v>0.54154160654160655</v>
      </c>
      <c r="FV36">
        <f>'[17]Template '!$E$9</f>
        <v>0.60065958075149251</v>
      </c>
    </row>
    <row r="37" spans="1:178" x14ac:dyDescent="0.2">
      <c r="A37" t="str">
        <f>'[18]Template '!$A$2</f>
        <v>M_041</v>
      </c>
      <c r="C37" t="str">
        <f t="shared" si="4"/>
        <v>M_041.xlsx</v>
      </c>
      <c r="E37" t="str">
        <f>'[18]Template '!$C$2</f>
        <v>D only</v>
      </c>
      <c r="G37">
        <f>'[18]Template '!$C$29</f>
        <v>0.1111111111111111</v>
      </c>
      <c r="H37" t="str">
        <f>'[18]Template '!$C$30</f>
        <v>n/a</v>
      </c>
      <c r="I37">
        <f>'[18]Template '!$C$31</f>
        <v>0.58333333333333326</v>
      </c>
      <c r="J37">
        <f>'[18]Template '!$C$32</f>
        <v>0.66911764705882359</v>
      </c>
      <c r="K37">
        <f>'[18]Template '!$C$33</f>
        <v>0.57936507936507931</v>
      </c>
      <c r="M37">
        <f>'[18]Template '!$C$80</f>
        <v>1200</v>
      </c>
      <c r="N37">
        <f>'[18]Template '!$C$81</f>
        <v>23.5</v>
      </c>
      <c r="O37">
        <f>'[18]Template '!$C$82</f>
        <v>3</v>
      </c>
      <c r="P37">
        <f>'[18]Template '!$C$83</f>
        <v>2</v>
      </c>
      <c r="Q37">
        <f>'[18]Template '!$C$84</f>
        <v>2.5</v>
      </c>
      <c r="R37">
        <f>'[18]Template '!$C$85</f>
        <v>1.5</v>
      </c>
      <c r="T37">
        <f>'[18]Template '!$C$74</f>
        <v>0.23636363636363636</v>
      </c>
      <c r="U37" t="str">
        <f>'[18]Template '!$C$75</f>
        <v>n/a</v>
      </c>
      <c r="V37">
        <f>'[18]Template '!$C$76</f>
        <v>0.4642857142857143</v>
      </c>
      <c r="W37">
        <f>'[18]Template '!$C$77</f>
        <v>0.46428571428571425</v>
      </c>
      <c r="X37">
        <f>'[18]Template '!$C$78</f>
        <v>0.60119047619047616</v>
      </c>
      <c r="Z37">
        <f>'[18]Template '!$C$80</f>
        <v>1200</v>
      </c>
      <c r="AA37">
        <f>'[18]Template '!$C$81</f>
        <v>23.5</v>
      </c>
      <c r="AB37">
        <f>'[18]Template '!$C$82</f>
        <v>3</v>
      </c>
      <c r="AC37">
        <f>'[18]Template '!$C$83</f>
        <v>2</v>
      </c>
      <c r="AD37">
        <f>'[18]Template '!$C$84</f>
        <v>2.5</v>
      </c>
      <c r="AE37">
        <f>'[18]Template '!$C$85</f>
        <v>1.5</v>
      </c>
      <c r="AG37">
        <f>'[18]Template '!$C$96</f>
        <v>0.37291666666666662</v>
      </c>
      <c r="AH37">
        <f>'[18]Template '!$C$97</f>
        <v>0.60740740740740751</v>
      </c>
      <c r="AI37">
        <f>'[18]Template '!$C$98</f>
        <v>0.5</v>
      </c>
      <c r="AJ37">
        <f>'[18]Template '!$C$99</f>
        <v>0.45057720057720058</v>
      </c>
      <c r="AK37">
        <f>'[18]Template '!$C$100</f>
        <v>0.70317460317460334</v>
      </c>
      <c r="AM37">
        <f>'[18]Template '!$C$102</f>
        <v>776</v>
      </c>
      <c r="AN37">
        <f>'[18]Template '!$C$103</f>
        <v>30</v>
      </c>
      <c r="AO37">
        <f>'[18]Template '!$C$104</f>
        <v>2.5</v>
      </c>
      <c r="AP37">
        <f>'[18]Template '!$C$105</f>
        <v>2</v>
      </c>
      <c r="AQ37">
        <f>'[18]Template '!$C$106</f>
        <v>2.5</v>
      </c>
      <c r="AR37">
        <f>'[18]Template '!$C$107</f>
        <v>2</v>
      </c>
      <c r="AT37">
        <f>'[18]Template '!$C$52</f>
        <v>0.31507936507936507</v>
      </c>
      <c r="AU37">
        <f>'[18]Template '!$C$53</f>
        <v>0.60740740740740751</v>
      </c>
      <c r="AV37">
        <f>'[18]Template '!$C$54</f>
        <v>0.5</v>
      </c>
      <c r="AW37">
        <f>'[18]Template '!$C$55</f>
        <v>0.125</v>
      </c>
      <c r="AX37">
        <f>'[18]Template '!$C$56</f>
        <v>0.71904761904761916</v>
      </c>
      <c r="AZ37">
        <f>'[18]Template '!$C$58</f>
        <v>858</v>
      </c>
      <c r="BA37">
        <f>'[18]Template '!$C$59</f>
        <v>29</v>
      </c>
      <c r="BB37">
        <f>'[18]Template '!$C$60</f>
        <v>2.5</v>
      </c>
      <c r="BC37">
        <f>'[18]Template '!$C$61</f>
        <v>2</v>
      </c>
      <c r="BD37">
        <f>'[18]Template '!$C$62</f>
        <v>3</v>
      </c>
      <c r="BE37">
        <f>'[18]Template '!$C$63</f>
        <v>2</v>
      </c>
      <c r="BG37">
        <f>'[18]Template '!$B$29</f>
        <v>0.1111111111111111</v>
      </c>
      <c r="BH37" t="str">
        <f>'[18]Template '!$B$30</f>
        <v>n/a</v>
      </c>
      <c r="BI37">
        <f>'[18]Template '!$B$31</f>
        <v>0.58333333333333326</v>
      </c>
      <c r="BJ37">
        <f>'[18]Template '!$B$32</f>
        <v>0.6875</v>
      </c>
      <c r="BK37">
        <f>'[18]Template '!$B$33</f>
        <v>0.57936507936507931</v>
      </c>
      <c r="BM37">
        <f>'[18]Template '!$B$52</f>
        <v>0.17222222222222222</v>
      </c>
      <c r="BN37">
        <f>'[18]Template '!$B$53</f>
        <v>0.60740740740740751</v>
      </c>
      <c r="BO37">
        <f>'[18]Template '!$B$54</f>
        <v>0.5</v>
      </c>
      <c r="BP37">
        <f>'[18]Template '!$B$55</f>
        <v>0.15740740740740741</v>
      </c>
      <c r="BQ37">
        <f>'[18]Template '!$B$56</f>
        <v>0.71904761904761916</v>
      </c>
      <c r="BS37">
        <f>'[18]Template '!$B$74</f>
        <v>0.23636363636363636</v>
      </c>
      <c r="BT37" t="str">
        <f>'[18]Template '!$B$75</f>
        <v>n/a</v>
      </c>
      <c r="BU37">
        <f>'[18]Template '!$B$76</f>
        <v>0.4642857142857143</v>
      </c>
      <c r="BV37">
        <f>'[18]Template '!$B$77</f>
        <v>0.39583333333333331</v>
      </c>
      <c r="BW37">
        <f>'[18]Template '!$B$78</f>
        <v>0.60119047619047616</v>
      </c>
      <c r="BY37">
        <f>'[18]Template '!$B$96</f>
        <v>0.37291666666666662</v>
      </c>
      <c r="BZ37">
        <f>'[18]Template '!$B$97</f>
        <v>0.60740740740740751</v>
      </c>
      <c r="CA37">
        <f>'[18]Template '!$B$98</f>
        <v>0.5</v>
      </c>
      <c r="CB37">
        <f>'[18]Template '!$B$99</f>
        <v>0.84722222222222221</v>
      </c>
      <c r="CC37">
        <f>'[18]Template '!$B$100</f>
        <v>0.70317460317460334</v>
      </c>
      <c r="CF37">
        <f>'[18]Template '!$Z$30</f>
        <v>0</v>
      </c>
      <c r="CG37">
        <f>'[18]Template '!$AB$75</f>
        <v>0</v>
      </c>
      <c r="CH37">
        <f>'[18]Template '!$C$89</f>
        <v>0</v>
      </c>
      <c r="CI37">
        <f>'[18]Template '!$AF$75</f>
        <v>0</v>
      </c>
      <c r="CJ37">
        <f>'[18]Template '!$AR$97</f>
        <v>0</v>
      </c>
      <c r="CK37">
        <f>'[18]Template '!$AS$97</f>
        <v>0.5</v>
      </c>
      <c r="CL37">
        <f>'[18]Template '!$AZ$97</f>
        <v>0</v>
      </c>
      <c r="CM37">
        <f>'[18]Template '!$BB$97</f>
        <v>0</v>
      </c>
      <c r="CN37">
        <f>'[18]Template '!$AU$53</f>
        <v>0</v>
      </c>
      <c r="CO37">
        <f>'[18]Template '!$AV$53</f>
        <v>0</v>
      </c>
      <c r="CP37">
        <f>'[18]Template '!$AY$53</f>
        <v>0</v>
      </c>
      <c r="CQ37">
        <f>'[18]Template '!$AX$53</f>
        <v>0</v>
      </c>
      <c r="CR37">
        <f>'[18]Template '!$AZ$53</f>
        <v>0</v>
      </c>
      <c r="CS37">
        <f>'[18]Template '!$BF$53</f>
        <v>0</v>
      </c>
      <c r="CT37">
        <f t="shared" si="5"/>
        <v>0</v>
      </c>
      <c r="CU37">
        <f t="shared" si="6"/>
        <v>0.5</v>
      </c>
      <c r="CV37">
        <f t="shared" si="7"/>
        <v>0.5</v>
      </c>
      <c r="CY37" t="str">
        <f>'[18]Template '!$E$2</f>
        <v>B</v>
      </c>
      <c r="CZ37">
        <f>'[18]Template '!$B$13</f>
        <v>1</v>
      </c>
      <c r="DA37">
        <f>'[18]Template '!$D$2</f>
        <v>2</v>
      </c>
      <c r="DB37">
        <f>'[18]Template '!$D$3</f>
        <v>45013</v>
      </c>
      <c r="DC37">
        <f>'[18]Template '!$F$2</f>
        <v>45086</v>
      </c>
      <c r="DE37">
        <f>'[18]Template '!$B$12</f>
        <v>20</v>
      </c>
      <c r="DF37" t="str">
        <f>'[18]Template '!$B$14</f>
        <v>10/21</v>
      </c>
      <c r="DG37" t="str">
        <f>'[18]Template '!$B$15</f>
        <v>02/22</v>
      </c>
      <c r="DH37">
        <f>'[18]Template '!$B$16</f>
        <v>18</v>
      </c>
      <c r="DI37">
        <f>'[18]Template '!$B$17</f>
        <v>0</v>
      </c>
      <c r="DJ37">
        <f>'[18]Template '!$B$18</f>
        <v>0</v>
      </c>
      <c r="DK37">
        <f>'[18]Template '!$B$19</f>
        <v>0</v>
      </c>
      <c r="DL37">
        <f>'[18]Template '!$B$20</f>
        <v>0</v>
      </c>
      <c r="DM37">
        <f>'[18]Template '!$B$21</f>
        <v>0</v>
      </c>
      <c r="DN37">
        <f>'[18]Template '!$B$22</f>
        <v>1</v>
      </c>
      <c r="DP37">
        <f>'[18]Template '!$I$13</f>
        <v>4</v>
      </c>
      <c r="DQ37">
        <f>'[18]Template '!$I$14</f>
        <v>5</v>
      </c>
      <c r="DR37">
        <f>'[18]Template '!$I$15</f>
        <v>4</v>
      </c>
      <c r="DS37">
        <f>'[18]Template '!$I$16</f>
        <v>4</v>
      </c>
      <c r="DT37">
        <f>'[18]Template '!$I$17</f>
        <v>3</v>
      </c>
      <c r="DU37">
        <f>'[18]Template '!$I$18</f>
        <v>4</v>
      </c>
      <c r="DV37">
        <f>'[18]Template '!$I$19</f>
        <v>4</v>
      </c>
      <c r="DW37">
        <f>'[18]Template '!$I$20</f>
        <v>3</v>
      </c>
      <c r="DX37">
        <f>'[18]Template '!$I$21</f>
        <v>3</v>
      </c>
      <c r="DY37">
        <f>'[18]Template '!$I$22</f>
        <v>4</v>
      </c>
      <c r="DZ37">
        <f>'[18]Template '!$I$23</f>
        <v>5</v>
      </c>
      <c r="EA37">
        <f>'[18]Template '!$I$24</f>
        <v>0</v>
      </c>
      <c r="ED37">
        <f>'[18]Template '!$L$13</f>
        <v>5</v>
      </c>
      <c r="EE37">
        <f>'[18]Template '!$L$14</f>
        <v>5</v>
      </c>
      <c r="EF37">
        <f>'[18]Template '!$L$15</f>
        <v>5</v>
      </c>
      <c r="EG37">
        <f>'[18]Template '!$L$16</f>
        <v>3</v>
      </c>
      <c r="EH37">
        <f>'[18]Template '!$L$17</f>
        <v>3</v>
      </c>
      <c r="EI37">
        <f>'[18]Template '!$L$18</f>
        <v>2</v>
      </c>
      <c r="EJ37">
        <f>'[18]Template '!$L$19</f>
        <v>3</v>
      </c>
      <c r="EK37">
        <f>'[18]Template '!$L$20</f>
        <v>1</v>
      </c>
      <c r="EL37">
        <f>'[18]Template '!$L$21</f>
        <v>3</v>
      </c>
      <c r="EM37">
        <f>'[18]Template '!$L$22</f>
        <v>2</v>
      </c>
      <c r="EN37">
        <f>'[18]Template '!$L$23</f>
        <v>5</v>
      </c>
      <c r="EQ37">
        <f>'[18]Template '!$O$13</f>
        <v>5</v>
      </c>
      <c r="ER37">
        <f>'[18]Template '!$O$14</f>
        <v>2</v>
      </c>
      <c r="ES37">
        <f>'[18]Template '!$O$15</f>
        <v>2</v>
      </c>
      <c r="ET37">
        <f>'[18]Template '!$O$16</f>
        <v>3</v>
      </c>
      <c r="EU37">
        <f>'[18]Template '!$O$17</f>
        <v>5</v>
      </c>
      <c r="EV37">
        <f>'[18]Template '!$O$18</f>
        <v>4</v>
      </c>
      <c r="EW37">
        <f>'[18]Template '!$O$19</f>
        <v>1</v>
      </c>
      <c r="EX37">
        <f>'[18]Template '!$O$20</f>
        <v>4</v>
      </c>
      <c r="EY37">
        <f>'[18]Template '!$O$21</f>
        <v>2</v>
      </c>
      <c r="EZ37">
        <f>'[18]Template '!$O$22</f>
        <v>4</v>
      </c>
      <c r="FA37">
        <f>'[18]Template '!$O$23</f>
        <v>3</v>
      </c>
      <c r="FL37">
        <f>'[18]Template '!$D$5</f>
        <v>0.49032738095238093</v>
      </c>
      <c r="FM37">
        <f>'[18]Template '!$D$6</f>
        <v>0.42441829004329001</v>
      </c>
      <c r="FN37">
        <f>'[18]Template '!$D$7</f>
        <v>0.43121693121693128</v>
      </c>
      <c r="FO37">
        <f>'[18]Template '!$D$8</f>
        <v>0.6061441798941799</v>
      </c>
      <c r="FP37">
        <f>'[18]Template '!$D$9</f>
        <v>0.48802669552669553</v>
      </c>
      <c r="FR37">
        <f>'[18]Template '!$E$5</f>
        <v>0.48573179271708683</v>
      </c>
      <c r="FS37">
        <f>'[18]Template '!$E$6</f>
        <v>0.44153138528138525</v>
      </c>
      <c r="FT37">
        <f>'[18]Template '!$E$7</f>
        <v>0.45330687830687832</v>
      </c>
      <c r="FU37">
        <f>'[18]Template '!$E$8</f>
        <v>0.52681517556517554</v>
      </c>
      <c r="FV37">
        <f>'[18]Template '!$E$9</f>
        <v>0.4768463079676315</v>
      </c>
    </row>
    <row r="38" spans="1:178" x14ac:dyDescent="0.2">
      <c r="A38" t="str">
        <f>'[22]Template '!$A$2</f>
        <v>M_048</v>
      </c>
      <c r="C38" t="str">
        <f t="shared" si="4"/>
        <v>M_048.xlsx</v>
      </c>
      <c r="E38" t="str">
        <f>'[22]Template '!$C$2</f>
        <v>D only</v>
      </c>
      <c r="G38">
        <f>'[22]Template '!$C$29</f>
        <v>0.1111111111111111</v>
      </c>
      <c r="H38" t="str">
        <f>'[22]Template '!$C$30</f>
        <v>n/a</v>
      </c>
      <c r="I38">
        <f>'[22]Template '!$C$31</f>
        <v>0.25</v>
      </c>
      <c r="J38">
        <f>'[22]Template '!$C$32</f>
        <v>0.48529411764705882</v>
      </c>
      <c r="K38">
        <f>'[22]Template '!$C$33</f>
        <v>0.26785714285714285</v>
      </c>
      <c r="M38">
        <f>'[22]Template '!$C$80</f>
        <v>424</v>
      </c>
      <c r="N38">
        <f>'[22]Template '!$C$81</f>
        <v>37.5</v>
      </c>
      <c r="O38">
        <f>'[22]Template '!$C$82</f>
        <v>2</v>
      </c>
      <c r="P38">
        <f>'[22]Template '!$C$83</f>
        <v>2</v>
      </c>
      <c r="Q38">
        <f>'[22]Template '!$C$84</f>
        <v>2</v>
      </c>
      <c r="R38">
        <f>'[22]Template '!$C$85</f>
        <v>2</v>
      </c>
      <c r="T38">
        <f>'[22]Template '!$C$74</f>
        <v>0.29090909090909089</v>
      </c>
      <c r="U38" t="str">
        <f>'[22]Template '!$C$75</f>
        <v>n/a</v>
      </c>
      <c r="V38">
        <f>'[22]Template '!$C$76</f>
        <v>0.2857142857142857</v>
      </c>
      <c r="W38">
        <f>'[22]Template '!$C$77</f>
        <v>0.54613095238095233</v>
      </c>
      <c r="X38">
        <f>'[22]Template '!$C$78</f>
        <v>0.41071428571428564</v>
      </c>
      <c r="Z38">
        <f>'[22]Template '!$C$80</f>
        <v>424</v>
      </c>
      <c r="AA38">
        <f>'[22]Template '!$C$81</f>
        <v>37.5</v>
      </c>
      <c r="AB38">
        <f>'[22]Template '!$C$82</f>
        <v>2</v>
      </c>
      <c r="AC38">
        <f>'[22]Template '!$C$83</f>
        <v>2</v>
      </c>
      <c r="AD38">
        <f>'[22]Template '!$C$84</f>
        <v>2</v>
      </c>
      <c r="AE38">
        <f>'[22]Template '!$C$85</f>
        <v>2</v>
      </c>
      <c r="AG38">
        <f>'[22]Template '!$C$96</f>
        <v>0.3125</v>
      </c>
      <c r="AH38">
        <f>'[22]Template '!$C$97</f>
        <v>0.3</v>
      </c>
      <c r="AI38">
        <f>'[22]Template '!$C$98</f>
        <v>0.5</v>
      </c>
      <c r="AJ38">
        <f>'[22]Template '!$C$99</f>
        <v>0.29797979797979796</v>
      </c>
      <c r="AK38">
        <f>'[22]Template '!$C$100</f>
        <v>0.42698412698412697</v>
      </c>
      <c r="AM38">
        <f>'[22]Template '!$C$102</f>
        <v>473</v>
      </c>
      <c r="AN38">
        <f>'[22]Template '!$C$103</f>
        <v>14</v>
      </c>
      <c r="AO38">
        <f>'[22]Template '!$C$104</f>
        <v>1</v>
      </c>
      <c r="AP38">
        <f>'[22]Template '!$C$105</f>
        <v>1</v>
      </c>
      <c r="AQ38">
        <f>'[22]Template '!$C$106</f>
        <v>1.5</v>
      </c>
      <c r="AR38">
        <f>'[22]Template '!$C$107</f>
        <v>1</v>
      </c>
      <c r="AT38">
        <f>'[22]Template '!$C$52</f>
        <v>0.33333333333333331</v>
      </c>
      <c r="AU38">
        <f>'[22]Template '!$C$53</f>
        <v>0.3</v>
      </c>
      <c r="AV38">
        <f>'[22]Template '!$C$54</f>
        <v>0.5</v>
      </c>
      <c r="AW38">
        <f>'[22]Template '!$C$55</f>
        <v>0.20833333333333334</v>
      </c>
      <c r="AX38">
        <f>'[22]Template '!$C$56</f>
        <v>0.2904761904761905</v>
      </c>
      <c r="AZ38">
        <f>'[22]Template '!$C$58</f>
        <v>578</v>
      </c>
      <c r="BA38">
        <f>'[22]Template '!$C$59</f>
        <v>15.5</v>
      </c>
      <c r="BB38">
        <f>'[22]Template '!$C$60</f>
        <v>1</v>
      </c>
      <c r="BC38">
        <f>'[22]Template '!$C$61</f>
        <v>1</v>
      </c>
      <c r="BD38">
        <f>'[22]Template '!$C$62</f>
        <v>1</v>
      </c>
      <c r="BE38">
        <f>'[22]Template '!$C$63</f>
        <v>1</v>
      </c>
      <c r="BG38">
        <f>'[22]Template '!$B$29</f>
        <v>0.1111111111111111</v>
      </c>
      <c r="BH38" t="str">
        <f>'[22]Template '!$B$30</f>
        <v>n/a</v>
      </c>
      <c r="BI38">
        <f>'[22]Template '!$B$31</f>
        <v>0.25</v>
      </c>
      <c r="BJ38">
        <f>'[22]Template '!$B$32</f>
        <v>0.5625</v>
      </c>
      <c r="BK38">
        <f>'[22]Template '!$B$33</f>
        <v>0.26785714285714285</v>
      </c>
      <c r="BM38">
        <f>'[22]Template '!$B$52</f>
        <v>0.33333333333333331</v>
      </c>
      <c r="BN38">
        <f>'[22]Template '!$B$53</f>
        <v>0.3</v>
      </c>
      <c r="BO38">
        <f>'[22]Template '!$B$54</f>
        <v>0.5</v>
      </c>
      <c r="BP38">
        <f>'[22]Template '!$B$55</f>
        <v>0.24074074074074073</v>
      </c>
      <c r="BQ38">
        <f>'[22]Template '!$B$56</f>
        <v>0.2904761904761905</v>
      </c>
      <c r="BS38">
        <f>'[22]Template '!$B$74</f>
        <v>0.29090909090909089</v>
      </c>
      <c r="BT38" t="str">
        <f>'[22]Template '!$B$75</f>
        <v>n/a</v>
      </c>
      <c r="BU38">
        <f>'[22]Template '!$B$76</f>
        <v>0.2857142857142857</v>
      </c>
      <c r="BV38">
        <f>'[22]Template '!$B$77</f>
        <v>0.52083333333333326</v>
      </c>
      <c r="BW38">
        <f>'[22]Template '!$B$78</f>
        <v>0.41071428571428564</v>
      </c>
      <c r="BY38">
        <f>'[22]Template '!$B$96</f>
        <v>0.3125</v>
      </c>
      <c r="BZ38">
        <f>'[22]Template '!$B$97</f>
        <v>0.3</v>
      </c>
      <c r="CA38">
        <f>'[22]Template '!$B$98</f>
        <v>0.5</v>
      </c>
      <c r="CB38">
        <f>'[22]Template '!$B$99</f>
        <v>0.5</v>
      </c>
      <c r="CC38">
        <f>'[22]Template '!$B$100</f>
        <v>0.42698412698412697</v>
      </c>
      <c r="CF38">
        <f>'[22]Template '!$Z$30</f>
        <v>0</v>
      </c>
      <c r="CG38">
        <f>'[22]Template '!$AB$75</f>
        <v>1</v>
      </c>
      <c r="CH38">
        <f>'[22]Template '!$C$89</f>
        <v>0.5</v>
      </c>
      <c r="CI38">
        <f>'[22]Template '!$AF$75</f>
        <v>0</v>
      </c>
      <c r="CJ38">
        <f>'[22]Template '!$AR$97</f>
        <v>0</v>
      </c>
      <c r="CK38">
        <f>'[22]Template '!$AS$97</f>
        <v>0</v>
      </c>
      <c r="CL38">
        <f>'[22]Template '!$AZ$97</f>
        <v>0</v>
      </c>
      <c r="CM38">
        <f>'[22]Template '!$BB$97</f>
        <v>0</v>
      </c>
      <c r="CN38">
        <f>'[22]Template '!$AU$53</f>
        <v>0</v>
      </c>
      <c r="CO38">
        <f>'[22]Template '!$AV$53</f>
        <v>0</v>
      </c>
      <c r="CP38">
        <f>'[22]Template '!$AY$53</f>
        <v>0</v>
      </c>
      <c r="CQ38">
        <f>'[22]Template '!$AX$53</f>
        <v>0</v>
      </c>
      <c r="CR38">
        <f>'[22]Template '!$AZ$53</f>
        <v>0</v>
      </c>
      <c r="CS38">
        <f>'[22]Template '!$BF$53</f>
        <v>0</v>
      </c>
      <c r="CT38">
        <f t="shared" si="5"/>
        <v>1.5</v>
      </c>
      <c r="CU38">
        <f t="shared" si="6"/>
        <v>0</v>
      </c>
      <c r="CV38">
        <f t="shared" si="7"/>
        <v>1.5</v>
      </c>
      <c r="CY38" t="str">
        <f>'[22]Template '!$E$2</f>
        <v>A</v>
      </c>
      <c r="CZ38">
        <f>'[22]Template '!$B$13</f>
        <v>2</v>
      </c>
      <c r="DA38">
        <f>'[22]Template '!$D$2</f>
        <v>2</v>
      </c>
      <c r="DB38">
        <f>'[22]Template '!$D$3</f>
        <v>45013</v>
      </c>
      <c r="DC38">
        <f>'[22]Template '!$F$2</f>
        <v>45090</v>
      </c>
      <c r="DE38">
        <f>'[22]Template '!$B$12</f>
        <v>22</v>
      </c>
      <c r="DF38" t="str">
        <f>'[22]Template '!$B$14</f>
        <v>n/a</v>
      </c>
      <c r="DG38" t="str">
        <f>'[22]Template '!$B$15</f>
        <v>12/22</v>
      </c>
      <c r="DH38">
        <f>'[22]Template '!$B$16</f>
        <v>6</v>
      </c>
      <c r="DI38">
        <f>'[22]Template '!$B$17</f>
        <v>0</v>
      </c>
      <c r="DJ38">
        <f>'[22]Template '!$B$18</f>
        <v>0</v>
      </c>
      <c r="DK38">
        <f>'[22]Template '!$B$19</f>
        <v>0</v>
      </c>
      <c r="DL38">
        <f>'[22]Template '!$B$20</f>
        <v>0</v>
      </c>
      <c r="DM38">
        <f>'[22]Template '!$B$21</f>
        <v>0</v>
      </c>
      <c r="DN38">
        <f>'[22]Template '!$B$22</f>
        <v>0</v>
      </c>
      <c r="DP38">
        <f>'[22]Template '!$I$13</f>
        <v>4</v>
      </c>
      <c r="DQ38">
        <f>'[22]Template '!$I$14</f>
        <v>3</v>
      </c>
      <c r="DR38">
        <f>'[22]Template '!$I$15</f>
        <v>3</v>
      </c>
      <c r="DS38">
        <f>'[22]Template '!$I$16</f>
        <v>4</v>
      </c>
      <c r="DT38">
        <f>'[22]Template '!$I$17</f>
        <v>5</v>
      </c>
      <c r="DU38">
        <f>'[22]Template '!$I$18</f>
        <v>3</v>
      </c>
      <c r="DV38">
        <f>'[22]Template '!$I$19</f>
        <v>5</v>
      </c>
      <c r="DW38">
        <f>'[22]Template '!$I$20</f>
        <v>2</v>
      </c>
      <c r="DX38">
        <f>'[22]Template '!$I$21</f>
        <v>4</v>
      </c>
      <c r="DY38">
        <f>'[22]Template '!$I$22</f>
        <v>3</v>
      </c>
      <c r="DZ38">
        <f>'[22]Template '!$I$23</f>
        <v>5</v>
      </c>
      <c r="EA38">
        <f>'[22]Template '!$I$24</f>
        <v>0</v>
      </c>
      <c r="ED38">
        <f>'[22]Template '!$L$13</f>
        <v>4</v>
      </c>
      <c r="EE38">
        <f>'[22]Template '!$L$14</f>
        <v>2</v>
      </c>
      <c r="EF38">
        <f>'[22]Template '!$L$15</f>
        <v>4</v>
      </c>
      <c r="EG38">
        <f>'[22]Template '!$L$16</f>
        <v>4</v>
      </c>
      <c r="EH38">
        <f>'[22]Template '!$L$17</f>
        <v>4</v>
      </c>
      <c r="EI38">
        <f>'[22]Template '!$L$18</f>
        <v>3</v>
      </c>
      <c r="EJ38">
        <f>'[22]Template '!$L$19</f>
        <v>5</v>
      </c>
      <c r="EK38">
        <f>'[22]Template '!$L$20</f>
        <v>3</v>
      </c>
      <c r="EL38">
        <f>'[22]Template '!$L$21</f>
        <v>4</v>
      </c>
      <c r="EM38">
        <f>'[22]Template '!$L$22</f>
        <v>4</v>
      </c>
      <c r="EN38">
        <f>'[22]Template '!$L$23</f>
        <v>5</v>
      </c>
      <c r="EQ38">
        <f>'[22]Template '!$O$13</f>
        <v>3</v>
      </c>
      <c r="ER38">
        <f>'[22]Template '!$O$14</f>
        <v>2</v>
      </c>
      <c r="ES38">
        <f>'[22]Template '!$O$15</f>
        <v>2</v>
      </c>
      <c r="ET38">
        <f>'[22]Template '!$O$16</f>
        <v>3</v>
      </c>
      <c r="EU38">
        <f>'[22]Template '!$O$17</f>
        <v>5</v>
      </c>
      <c r="EV38">
        <f>'[22]Template '!$O$18</f>
        <v>3</v>
      </c>
      <c r="EW38">
        <f>'[22]Template '!$O$19</f>
        <v>1</v>
      </c>
      <c r="EX38">
        <f>'[22]Template '!$O$20</f>
        <v>1</v>
      </c>
      <c r="EY38">
        <f>'[22]Template '!$O$21</f>
        <v>3</v>
      </c>
      <c r="EZ38">
        <f>'[22]Template '!$O$22</f>
        <v>4</v>
      </c>
      <c r="FA38">
        <f>'[22]Template '!$O$23</f>
        <v>4</v>
      </c>
      <c r="FL38">
        <f>'[22]Template '!$D$5</f>
        <v>0.29786706349206349</v>
      </c>
      <c r="FM38">
        <f>'[22]Template '!$D$6</f>
        <v>0.37704274891774886</v>
      </c>
      <c r="FN38">
        <f>'[22]Template '!$D$7</f>
        <v>0.33291005291005293</v>
      </c>
      <c r="FO38">
        <f>'[22]Template '!$D$8</f>
        <v>0.40789682539682542</v>
      </c>
      <c r="FP38">
        <f>'[22]Template '!$D$9</f>
        <v>0.35392917267917262</v>
      </c>
      <c r="FR38">
        <f>'[22]Template '!$E$5</f>
        <v>0.27856559290382821</v>
      </c>
      <c r="FS38">
        <f>'[22]Template '!$E$6</f>
        <v>0.38336715367965363</v>
      </c>
      <c r="FT38">
        <f>'[22]Template '!$E$7</f>
        <v>0.3264285714285714</v>
      </c>
      <c r="FU38">
        <f>'[22]Template '!$E$8</f>
        <v>0.36749278499278504</v>
      </c>
      <c r="FV38">
        <f>'[22]Template '!$E$9</f>
        <v>0.33896352575120958</v>
      </c>
    </row>
    <row r="39" spans="1:178" x14ac:dyDescent="0.2">
      <c r="A39" t="str">
        <f>'[23]Template '!$A$2</f>
        <v>M_049</v>
      </c>
      <c r="C39" t="str">
        <f t="shared" si="4"/>
        <v>M_049.xlsx</v>
      </c>
      <c r="E39" t="str">
        <f>'[23]Template '!$C$2</f>
        <v>D only</v>
      </c>
      <c r="G39">
        <f>'[23]Template '!$C$29</f>
        <v>0</v>
      </c>
      <c r="H39" t="str">
        <f>'[23]Template '!$C$30</f>
        <v>n/a</v>
      </c>
      <c r="I39">
        <f>'[23]Template '!$C$31</f>
        <v>0.41666666666666663</v>
      </c>
      <c r="J39">
        <f>'[23]Template '!$C$32</f>
        <v>0.3970588235294118</v>
      </c>
      <c r="K39">
        <f>'[23]Template '!$C$33</f>
        <v>0.13293650793650794</v>
      </c>
      <c r="M39">
        <f>'[23]Template '!$C$80</f>
        <v>191</v>
      </c>
      <c r="N39">
        <f>'[23]Template '!$C$81</f>
        <v>22.5</v>
      </c>
      <c r="O39">
        <f>'[23]Template '!$C$82</f>
        <v>2</v>
      </c>
      <c r="P39">
        <f>'[23]Template '!$C$83</f>
        <v>1</v>
      </c>
      <c r="Q39">
        <f>'[23]Template '!$C$84</f>
        <v>1.5</v>
      </c>
      <c r="R39">
        <f>'[23]Template '!$C$85</f>
        <v>1</v>
      </c>
      <c r="T39">
        <f>'[23]Template '!$C$74</f>
        <v>0.29090909090909089</v>
      </c>
      <c r="U39" t="str">
        <f>'[23]Template '!$C$75</f>
        <v>n/a</v>
      </c>
      <c r="V39">
        <f>'[23]Template '!$C$76</f>
        <v>0.39285714285714285</v>
      </c>
      <c r="W39">
        <f>'[23]Template '!$C$77</f>
        <v>0.5</v>
      </c>
      <c r="X39">
        <f>'[23]Template '!$C$78</f>
        <v>0.33928571428571425</v>
      </c>
      <c r="Z39">
        <f>'[23]Template '!$C$80</f>
        <v>191</v>
      </c>
      <c r="AA39">
        <f>'[23]Template '!$C$81</f>
        <v>22.5</v>
      </c>
      <c r="AB39">
        <f>'[23]Template '!$C$82</f>
        <v>2</v>
      </c>
      <c r="AC39">
        <f>'[23]Template '!$C$83</f>
        <v>1</v>
      </c>
      <c r="AD39">
        <f>'[23]Template '!$C$84</f>
        <v>1.5</v>
      </c>
      <c r="AE39">
        <f>'[23]Template '!$C$85</f>
        <v>1</v>
      </c>
      <c r="AG39">
        <f>'[23]Template '!$C$96</f>
        <v>0.16666666666666666</v>
      </c>
      <c r="AH39">
        <f>'[23]Template '!$C$97</f>
        <v>0.26666666666666666</v>
      </c>
      <c r="AI39">
        <f>'[23]Template '!$C$98</f>
        <v>0.5</v>
      </c>
      <c r="AJ39">
        <f>'[23]Template '!$C$99</f>
        <v>3.0303030303030304E-2</v>
      </c>
      <c r="AK39">
        <f>'[23]Template '!$C$100</f>
        <v>0.15873015873015872</v>
      </c>
      <c r="AM39">
        <f>'[23]Template '!$C$102</f>
        <v>101</v>
      </c>
      <c r="AN39">
        <f>'[23]Template '!$C$103</f>
        <v>22</v>
      </c>
      <c r="AO39">
        <f>'[23]Template '!$C$104</f>
        <v>2.5</v>
      </c>
      <c r="AP39">
        <f>'[23]Template '!$C$105</f>
        <v>1</v>
      </c>
      <c r="AQ39">
        <f>'[23]Template '!$C$106</f>
        <v>1.5</v>
      </c>
      <c r="AR39">
        <f>'[23]Template '!$C$107</f>
        <v>1</v>
      </c>
      <c r="AT39">
        <f>'[23]Template '!$C$52</f>
        <v>0</v>
      </c>
      <c r="AU39">
        <f>'[23]Template '!$C$53</f>
        <v>0.26666666666666666</v>
      </c>
      <c r="AV39">
        <f>'[23]Template '!$C$54</f>
        <v>0.5</v>
      </c>
      <c r="AW39">
        <f>'[23]Template '!$C$55</f>
        <v>0.16666666666666666</v>
      </c>
      <c r="AX39">
        <f>'[23]Template '!$C$56</f>
        <v>0.31468253968253967</v>
      </c>
      <c r="AZ39">
        <f>'[23]Template '!$C$58</f>
        <v>106</v>
      </c>
      <c r="BA39">
        <f>'[23]Template '!$C$59</f>
        <v>6</v>
      </c>
      <c r="BB39">
        <f>'[23]Template '!$C$60</f>
        <v>2.5</v>
      </c>
      <c r="BC39">
        <f>'[23]Template '!$C$61</f>
        <v>1</v>
      </c>
      <c r="BD39">
        <f>'[23]Template '!$C$62</f>
        <v>1</v>
      </c>
      <c r="BE39">
        <f>'[23]Template '!$C$63</f>
        <v>1</v>
      </c>
      <c r="BG39">
        <f>'[23]Template '!$B$29</f>
        <v>0</v>
      </c>
      <c r="BH39" t="str">
        <f>'[23]Template '!$B$30</f>
        <v>n/a</v>
      </c>
      <c r="BI39">
        <f>'[23]Template '!$B$31</f>
        <v>0.41666666666666663</v>
      </c>
      <c r="BJ39">
        <f>'[23]Template '!$B$32</f>
        <v>0.25</v>
      </c>
      <c r="BK39">
        <f>'[23]Template '!$B$33</f>
        <v>0.13293650793650794</v>
      </c>
      <c r="BM39">
        <f>'[23]Template '!$B$52</f>
        <v>0</v>
      </c>
      <c r="BN39">
        <f>'[23]Template '!$B$53</f>
        <v>0.26666666666666666</v>
      </c>
      <c r="BO39">
        <f>'[23]Template '!$B$54</f>
        <v>0.5</v>
      </c>
      <c r="BP39">
        <f>'[23]Template '!$B$55</f>
        <v>0.16666666666666666</v>
      </c>
      <c r="BQ39">
        <f>'[23]Template '!$B$56</f>
        <v>0.31468253968253967</v>
      </c>
      <c r="BS39">
        <f>'[23]Template '!$B$74</f>
        <v>0.29090909090909089</v>
      </c>
      <c r="BT39" t="str">
        <f>'[23]Template '!$B$75</f>
        <v>n/a</v>
      </c>
      <c r="BU39">
        <f>'[23]Template '!$B$76</f>
        <v>0.39285714285714285</v>
      </c>
      <c r="BV39">
        <f>'[23]Template '!$B$77</f>
        <v>0.58333333333333326</v>
      </c>
      <c r="BW39">
        <f>'[23]Template '!$B$78</f>
        <v>0.33928571428571425</v>
      </c>
      <c r="BY39">
        <f>'[23]Template '!$B$96</f>
        <v>0.16666666666666666</v>
      </c>
      <c r="BZ39">
        <f>'[23]Template '!$B$97</f>
        <v>0.26666666666666666</v>
      </c>
      <c r="CA39">
        <f>'[23]Template '!$B$98</f>
        <v>0.5</v>
      </c>
      <c r="CB39">
        <f>'[23]Template '!$B$99</f>
        <v>0.1111111111111111</v>
      </c>
      <c r="CC39">
        <f>'[23]Template '!$B$100</f>
        <v>0.15873015873015872</v>
      </c>
      <c r="CF39">
        <f>'[23]Template '!$Z$30</f>
        <v>0</v>
      </c>
      <c r="CG39">
        <f>'[23]Template '!$AB$75</f>
        <v>0</v>
      </c>
      <c r="CH39">
        <f>'[23]Template '!$C$89</f>
        <v>0</v>
      </c>
      <c r="CI39">
        <f>'[23]Template '!$AF$75</f>
        <v>0</v>
      </c>
      <c r="CJ39">
        <f>'[23]Template '!$AR$97</f>
        <v>0</v>
      </c>
      <c r="CK39">
        <f>'[23]Template '!$AS$97</f>
        <v>0</v>
      </c>
      <c r="CL39">
        <f>'[23]Template '!$AZ$97</f>
        <v>0</v>
      </c>
      <c r="CM39">
        <f>'[23]Template '!$BB$97</f>
        <v>0</v>
      </c>
      <c r="CN39">
        <f>'[23]Template '!$AU$53</f>
        <v>0</v>
      </c>
      <c r="CO39">
        <f>'[23]Template '!$AV$53</f>
        <v>0</v>
      </c>
      <c r="CP39">
        <f>'[23]Template '!$AY$53</f>
        <v>0</v>
      </c>
      <c r="CQ39">
        <f>'[23]Template '!$AX$53</f>
        <v>0</v>
      </c>
      <c r="CR39">
        <f>'[23]Template '!$AZ$53</f>
        <v>0</v>
      </c>
      <c r="CS39">
        <f>'[23]Template '!$BF$53</f>
        <v>0</v>
      </c>
      <c r="CT39">
        <f t="shared" si="5"/>
        <v>0</v>
      </c>
      <c r="CU39">
        <f t="shared" si="6"/>
        <v>0</v>
      </c>
      <c r="CV39">
        <f t="shared" si="7"/>
        <v>0</v>
      </c>
      <c r="CY39" t="str">
        <f>'[23]Template '!$E$2</f>
        <v>B</v>
      </c>
      <c r="CZ39">
        <f>'[23]Template '!$B$13</f>
        <v>2</v>
      </c>
      <c r="DA39">
        <f>'[23]Template '!$D$2</f>
        <v>2</v>
      </c>
      <c r="DB39">
        <f>'[23]Template '!$D$3</f>
        <v>45013</v>
      </c>
      <c r="DC39">
        <f>'[23]Template '!$F$2</f>
        <v>45090</v>
      </c>
      <c r="DE39">
        <f>'[23]Template '!$B$12</f>
        <v>32</v>
      </c>
      <c r="DF39" t="str">
        <f>'[23]Template '!$B$14</f>
        <v>6/18</v>
      </c>
      <c r="DG39" t="str">
        <f>'[23]Template '!$B$15</f>
        <v>10/18</v>
      </c>
      <c r="DH39">
        <f>'[23]Template '!$B$16</f>
        <v>48</v>
      </c>
      <c r="DI39">
        <f>'[23]Template '!$B$17</f>
        <v>0</v>
      </c>
      <c r="DJ39">
        <f>'[23]Template '!$B$18</f>
        <v>0</v>
      </c>
      <c r="DK39">
        <f>'[23]Template '!$B$19</f>
        <v>1</v>
      </c>
      <c r="DL39">
        <f>'[23]Template '!$B$20</f>
        <v>1</v>
      </c>
      <c r="DM39">
        <f>'[23]Template '!$B$21</f>
        <v>1</v>
      </c>
      <c r="DN39">
        <f>'[23]Template '!$B$22</f>
        <v>0</v>
      </c>
      <c r="DP39">
        <f>'[23]Template '!$I$13</f>
        <v>5</v>
      </c>
      <c r="DQ39">
        <f>'[23]Template '!$I$14</f>
        <v>4</v>
      </c>
      <c r="DR39">
        <f>'[23]Template '!$I$15</f>
        <v>4</v>
      </c>
      <c r="DS39">
        <f>'[23]Template '!$I$16</f>
        <v>4</v>
      </c>
      <c r="DT39">
        <f>'[23]Template '!$I$17</f>
        <v>4</v>
      </c>
      <c r="DU39">
        <f>'[23]Template '!$I$18</f>
        <v>4</v>
      </c>
      <c r="DV39">
        <f>'[23]Template '!$I$19</f>
        <v>0</v>
      </c>
      <c r="DW39">
        <f>'[23]Template '!$I$20</f>
        <v>0</v>
      </c>
      <c r="DX39">
        <f>'[23]Template '!$I$21</f>
        <v>0</v>
      </c>
      <c r="DY39">
        <f>'[23]Template '!$I$22</f>
        <v>0</v>
      </c>
      <c r="DZ39">
        <f>'[23]Template '!$I$23</f>
        <v>0</v>
      </c>
      <c r="EA39">
        <f>'[23]Template '!$I$24</f>
        <v>0</v>
      </c>
      <c r="ED39">
        <f>'[23]Template '!$L$13</f>
        <v>5</v>
      </c>
      <c r="EE39">
        <f>'[23]Template '!$L$14</f>
        <v>4</v>
      </c>
      <c r="EF39">
        <f>'[23]Template '!$L$15</f>
        <v>4</v>
      </c>
      <c r="EG39">
        <f>'[23]Template '!$L$16</f>
        <v>3</v>
      </c>
      <c r="EH39">
        <f>'[23]Template '!$L$17</f>
        <v>4</v>
      </c>
      <c r="EI39">
        <f>'[23]Template '!$L$18</f>
        <v>4</v>
      </c>
      <c r="EJ39">
        <f>'[23]Template '!$L$19</f>
        <v>4</v>
      </c>
      <c r="EK39">
        <f>'[23]Template '!$L$20</f>
        <v>3</v>
      </c>
      <c r="EL39">
        <f>'[23]Template '!$L$21</f>
        <v>3</v>
      </c>
      <c r="EM39">
        <f>'[23]Template '!$L$22</f>
        <v>3</v>
      </c>
      <c r="EN39">
        <f>'[23]Template '!$L$23</f>
        <v>4</v>
      </c>
      <c r="EQ39">
        <f>'[23]Template '!$O$13</f>
        <v>4</v>
      </c>
      <c r="ER39">
        <f>'[23]Template '!$O$14</f>
        <v>2</v>
      </c>
      <c r="ES39">
        <f>'[23]Template '!$O$15</f>
        <v>2</v>
      </c>
      <c r="ET39">
        <f>'[23]Template '!$O$16</f>
        <v>3</v>
      </c>
      <c r="EU39">
        <f>'[23]Template '!$O$17</f>
        <v>4</v>
      </c>
      <c r="EV39">
        <f>'[23]Template '!$O$18</f>
        <v>3</v>
      </c>
      <c r="EW39">
        <f>'[23]Template '!$O$19</f>
        <v>1</v>
      </c>
      <c r="EX39">
        <f>'[23]Template '!$O$20</f>
        <v>3</v>
      </c>
      <c r="EY39">
        <f>'[23]Template '!$O$21</f>
        <v>5</v>
      </c>
      <c r="EZ39">
        <f>'[23]Template '!$O$22</f>
        <v>1</v>
      </c>
      <c r="FA39">
        <f>'[23]Template '!$O$23</f>
        <v>2</v>
      </c>
      <c r="FL39">
        <f>'[23]Template '!$D$5</f>
        <v>0.19990079365079363</v>
      </c>
      <c r="FM39">
        <f>'[23]Template '!$D$6</f>
        <v>0.40159632034632031</v>
      </c>
      <c r="FN39">
        <f>'[23]Template '!$D$7</f>
        <v>0.2496031746031746</v>
      </c>
      <c r="FO39">
        <f>'[23]Template '!$D$8</f>
        <v>0.24063492063492067</v>
      </c>
      <c r="FP39">
        <f>'[23]Template '!$D$9</f>
        <v>0.27293380230880232</v>
      </c>
      <c r="FR39">
        <f>'[23]Template '!$E$5</f>
        <v>0.23666549953314658</v>
      </c>
      <c r="FS39">
        <f>'[23]Template '!$E$6</f>
        <v>0.380762987012987</v>
      </c>
      <c r="FT39">
        <f>'[23]Template '!$E$7</f>
        <v>0.2496031746031746</v>
      </c>
      <c r="FU39">
        <f>'[23]Template '!$E$8</f>
        <v>0.22447330447330449</v>
      </c>
      <c r="FV39">
        <f>'[23]Template '!$E$9</f>
        <v>0.27287624140565314</v>
      </c>
    </row>
    <row r="40" spans="1:178" x14ac:dyDescent="0.2">
      <c r="A40" t="str">
        <f>'[36]Template '!$A$2</f>
        <v>M_099</v>
      </c>
      <c r="C40" t="str">
        <f t="shared" si="4"/>
        <v>M_099.xlsx</v>
      </c>
      <c r="E40" t="str">
        <f>'[36]Template '!$C$2</f>
        <v>D only</v>
      </c>
      <c r="G40">
        <f>'[36]Template '!$C$29</f>
        <v>0</v>
      </c>
      <c r="H40" t="str">
        <f>'[36]Template '!$C$30</f>
        <v>n/a</v>
      </c>
      <c r="I40">
        <f>'[36]Template '!$C$31</f>
        <v>0.33333333333333331</v>
      </c>
      <c r="J40">
        <f>'[36]Template '!$C$32</f>
        <v>0.2720588235294118</v>
      </c>
      <c r="K40">
        <f>'[36]Template '!$C$33</f>
        <v>6.7460317460317457E-2</v>
      </c>
      <c r="M40">
        <f>'[36]Template '!$C$80</f>
        <v>1200</v>
      </c>
      <c r="N40">
        <f>'[36]Template '!$C$81</f>
        <v>10</v>
      </c>
      <c r="O40">
        <f>'[36]Template '!$C$82</f>
        <v>1</v>
      </c>
      <c r="P40">
        <f>'[36]Template '!$C$83</f>
        <v>1</v>
      </c>
      <c r="Q40">
        <f>'[36]Template '!$C$84</f>
        <v>1</v>
      </c>
      <c r="R40">
        <f>'[36]Template '!$C$85</f>
        <v>1</v>
      </c>
      <c r="T40">
        <f>'[36]Template '!$C$74</f>
        <v>0.2</v>
      </c>
      <c r="U40" t="str">
        <f>'[36]Template '!$C$75</f>
        <v>n/a</v>
      </c>
      <c r="V40">
        <f>'[36]Template '!$C$76</f>
        <v>7.1428571428571425E-2</v>
      </c>
      <c r="W40">
        <f>'[36]Template '!$C$77</f>
        <v>0.45238095238095233</v>
      </c>
      <c r="X40">
        <f>'[36]Template '!$C$78</f>
        <v>1.1904761904761904E-2</v>
      </c>
      <c r="Z40">
        <f>'[36]Template '!$C$80</f>
        <v>1200</v>
      </c>
      <c r="AA40">
        <f>'[36]Template '!$C$81</f>
        <v>10</v>
      </c>
      <c r="AB40">
        <f>'[36]Template '!$C$82</f>
        <v>1</v>
      </c>
      <c r="AC40">
        <f>'[36]Template '!$C$83</f>
        <v>1</v>
      </c>
      <c r="AD40">
        <f>'[36]Template '!$C$84</f>
        <v>1</v>
      </c>
      <c r="AE40">
        <f>'[36]Template '!$C$85</f>
        <v>1</v>
      </c>
      <c r="AG40">
        <f>'[36]Template '!$C$96</f>
        <v>0</v>
      </c>
      <c r="AH40">
        <f>'[36]Template '!$C$97</f>
        <v>0.3481481481481481</v>
      </c>
      <c r="AI40">
        <f>'[36]Template '!$C$98</f>
        <v>0</v>
      </c>
      <c r="AJ40">
        <f>'[36]Template '!$C$99</f>
        <v>0</v>
      </c>
      <c r="AK40">
        <f>'[36]Template '!$C$100</f>
        <v>3.5714285714285712E-2</v>
      </c>
      <c r="AM40">
        <f>'[36]Template '!$C$102</f>
        <v>604</v>
      </c>
      <c r="AN40">
        <f>'[36]Template '!$C$103</f>
        <v>10</v>
      </c>
      <c r="AO40">
        <f>'[36]Template '!$C$104</f>
        <v>1</v>
      </c>
      <c r="AP40">
        <f>'[36]Template '!$C$105</f>
        <v>1</v>
      </c>
      <c r="AQ40">
        <f>'[36]Template '!$C$106</f>
        <v>1</v>
      </c>
      <c r="AR40">
        <f>'[36]Template '!$C$107</f>
        <v>1</v>
      </c>
      <c r="AT40">
        <f>'[36]Template '!$C$52</f>
        <v>2.7777777777777776E-2</v>
      </c>
      <c r="AU40">
        <f>'[36]Template '!$C$53</f>
        <v>0.3481481481481481</v>
      </c>
      <c r="AV40">
        <f>'[36]Template '!$C$54</f>
        <v>0</v>
      </c>
      <c r="AW40">
        <f>'[36]Template '!$C$55</f>
        <v>8.3333333333333329E-2</v>
      </c>
      <c r="AX40">
        <f>'[36]Template '!$C$56</f>
        <v>0</v>
      </c>
      <c r="AZ40">
        <f>'[36]Template '!$C$58</f>
        <v>476</v>
      </c>
      <c r="BA40">
        <f>'[36]Template '!$C$59</f>
        <v>10</v>
      </c>
      <c r="BB40">
        <f>'[36]Template '!$C$60</f>
        <v>1</v>
      </c>
      <c r="BC40">
        <f>'[36]Template '!$C$61</f>
        <v>1</v>
      </c>
      <c r="BD40">
        <f>'[36]Template '!$C$62</f>
        <v>1</v>
      </c>
      <c r="BE40">
        <f>'[36]Template '!$C$63</f>
        <v>1</v>
      </c>
      <c r="BG40">
        <f>'[36]Template '!$B$29</f>
        <v>0</v>
      </c>
      <c r="BH40" t="str">
        <f>'[36]Template '!$B$30</f>
        <v>n/a</v>
      </c>
      <c r="BI40">
        <f>'[36]Template '!$B$31</f>
        <v>0.33333333333333331</v>
      </c>
      <c r="BJ40">
        <f>'[36]Template '!$B$32</f>
        <v>0.125</v>
      </c>
      <c r="BK40">
        <f>'[36]Template '!$B$33</f>
        <v>6.7460317460317457E-2</v>
      </c>
      <c r="BM40">
        <f>'[36]Template '!$B$52</f>
        <v>2.7777777777777776E-2</v>
      </c>
      <c r="BN40">
        <f>'[36]Template '!$B$53</f>
        <v>0.3481481481481481</v>
      </c>
      <c r="BO40">
        <f>'[36]Template '!$B$54</f>
        <v>0</v>
      </c>
      <c r="BP40">
        <f>'[36]Template '!$B$55</f>
        <v>8.3333333333333329E-2</v>
      </c>
      <c r="BQ40">
        <f>'[36]Template '!$B$56</f>
        <v>0</v>
      </c>
      <c r="BS40">
        <f>'[36]Template '!$B$74</f>
        <v>0.2</v>
      </c>
      <c r="BT40" t="str">
        <f>'[36]Template '!$B$75</f>
        <v>n/a</v>
      </c>
      <c r="BU40">
        <f>'[36]Template '!$B$76</f>
        <v>7.1428571428571425E-2</v>
      </c>
      <c r="BV40">
        <f>'[36]Template '!$B$77</f>
        <v>0.33333333333333331</v>
      </c>
      <c r="BW40">
        <f>'[36]Template '!$B$78</f>
        <v>1.1904761904761904E-2</v>
      </c>
      <c r="BY40">
        <f>'[36]Template '!$B$96</f>
        <v>0</v>
      </c>
      <c r="BZ40">
        <f>'[36]Template '!$B$97</f>
        <v>0.3481481481481481</v>
      </c>
      <c r="CA40">
        <f>'[36]Template '!$B$98</f>
        <v>0</v>
      </c>
      <c r="CB40">
        <f>'[36]Template '!$B$99</f>
        <v>0</v>
      </c>
      <c r="CC40">
        <f>'[36]Template '!$B$100</f>
        <v>3.5714285714285712E-2</v>
      </c>
      <c r="CF40">
        <f>'[36]Template '!$Z$30</f>
        <v>0</v>
      </c>
      <c r="CG40">
        <f>'[36]Template '!$AB$75</f>
        <v>0</v>
      </c>
      <c r="CH40">
        <f>'[36]Template '!$C$89</f>
        <v>0</v>
      </c>
      <c r="CI40">
        <f>'[36]Template '!$AF$75</f>
        <v>0</v>
      </c>
      <c r="CJ40">
        <f>'[36]Template '!$AR$97</f>
        <v>0</v>
      </c>
      <c r="CK40">
        <f>'[36]Template '!$AS$97</f>
        <v>0</v>
      </c>
      <c r="CL40">
        <f>'[36]Template '!$AZ$97</f>
        <v>0</v>
      </c>
      <c r="CM40">
        <f>'[36]Template '!$BB$97</f>
        <v>0</v>
      </c>
      <c r="CN40">
        <f>'[36]Template '!$AU$53</f>
        <v>0</v>
      </c>
      <c r="CO40">
        <f>'[36]Template '!$AV$53</f>
        <v>0</v>
      </c>
      <c r="CP40">
        <f>'[36]Template '!$AY$53</f>
        <v>0</v>
      </c>
      <c r="CQ40">
        <f>'[36]Template '!$AX$53</f>
        <v>0</v>
      </c>
      <c r="CR40">
        <f>'[36]Template '!$AZ$53</f>
        <v>0</v>
      </c>
      <c r="CS40">
        <f>'[36]Template '!$BF$53</f>
        <v>0</v>
      </c>
      <c r="CT40">
        <f t="shared" si="5"/>
        <v>0</v>
      </c>
      <c r="CU40">
        <f t="shared" si="6"/>
        <v>0</v>
      </c>
      <c r="CV40">
        <f t="shared" si="7"/>
        <v>0</v>
      </c>
      <c r="CY40" t="str">
        <f>'[36]Template '!$E$2</f>
        <v>B</v>
      </c>
      <c r="CZ40">
        <f>'[36]Template '!$B$13</f>
        <v>1</v>
      </c>
      <c r="DA40">
        <f>'[36]Template '!$D$2</f>
        <v>3</v>
      </c>
      <c r="DB40">
        <f>'[36]Template '!$D$3</f>
        <v>45104</v>
      </c>
      <c r="DC40">
        <f>'[36]Template '!$F$2</f>
        <v>45244</v>
      </c>
      <c r="DE40">
        <f>'[36]Template '!$B$12</f>
        <v>20</v>
      </c>
      <c r="DF40" t="str">
        <f>'[36]Template '!$B$14</f>
        <v>7/22</v>
      </c>
      <c r="DG40" t="str">
        <f>'[36]Template '!$B$15</f>
        <v>10/22</v>
      </c>
      <c r="DH40">
        <f>'[36]Template '!$B$16</f>
        <v>12</v>
      </c>
      <c r="DI40">
        <f>'[36]Template '!$B$17</f>
        <v>0</v>
      </c>
      <c r="DJ40">
        <f>'[36]Template '!$B$18</f>
        <v>0</v>
      </c>
      <c r="DK40">
        <f>'[36]Template '!$B$19</f>
        <v>0</v>
      </c>
      <c r="DL40">
        <f>'[36]Template '!$B$20</f>
        <v>0</v>
      </c>
      <c r="DM40">
        <f>'[36]Template '!$B$21</f>
        <v>0</v>
      </c>
      <c r="DN40">
        <f>'[36]Template '!$B$22</f>
        <v>0</v>
      </c>
      <c r="DP40">
        <f>'[36]Template '!$I$13</f>
        <v>5</v>
      </c>
      <c r="DQ40">
        <f>'[36]Template '!$I$14</f>
        <v>5</v>
      </c>
      <c r="DR40">
        <f>'[36]Template '!$I$15</f>
        <v>4</v>
      </c>
      <c r="DS40">
        <f>'[36]Template '!$I$16</f>
        <v>5</v>
      </c>
      <c r="DT40">
        <f>'[36]Template '!$I$17</f>
        <v>0</v>
      </c>
      <c r="DU40">
        <f>'[36]Template '!$I$18</f>
        <v>0</v>
      </c>
      <c r="DV40">
        <f>'[36]Template '!$I$19</f>
        <v>0</v>
      </c>
      <c r="DW40">
        <f>'[36]Template '!$I$20</f>
        <v>0</v>
      </c>
      <c r="DX40">
        <f>'[36]Template '!$I$21</f>
        <v>0</v>
      </c>
      <c r="DY40">
        <f>'[36]Template '!$I$22</f>
        <v>0</v>
      </c>
      <c r="DZ40">
        <f>'[36]Template '!$I$23</f>
        <v>0</v>
      </c>
      <c r="EA40">
        <f>'[36]Template '!$I$24</f>
        <v>0</v>
      </c>
      <c r="ED40">
        <f>'[36]Template '!$L$13</f>
        <v>4</v>
      </c>
      <c r="EE40">
        <f>'[36]Template '!$L$14</f>
        <v>4</v>
      </c>
      <c r="EF40">
        <f>'[36]Template '!$L$15</f>
        <v>4</v>
      </c>
      <c r="EG40">
        <f>'[36]Template '!$L$16</f>
        <v>4</v>
      </c>
      <c r="EH40">
        <f>'[36]Template '!$L$17</f>
        <v>3</v>
      </c>
      <c r="EI40">
        <f>'[36]Template '!$L$18</f>
        <v>4</v>
      </c>
      <c r="EJ40">
        <f>'[36]Template '!$L$19</f>
        <v>4</v>
      </c>
      <c r="EK40">
        <f>'[36]Template '!$L$20</f>
        <v>2</v>
      </c>
      <c r="EL40">
        <f>'[36]Template '!$L$21</f>
        <v>3</v>
      </c>
      <c r="EM40">
        <f>'[36]Template '!$L$22</f>
        <v>3</v>
      </c>
      <c r="EN40">
        <f>'[36]Template '!$L$23</f>
        <v>5</v>
      </c>
      <c r="EQ40">
        <f>'[36]Template '!$O$13</f>
        <v>4</v>
      </c>
      <c r="ER40">
        <f>'[36]Template '!$O$14</f>
        <v>2</v>
      </c>
      <c r="ES40">
        <f>'[36]Template '!$O$15</f>
        <v>2</v>
      </c>
      <c r="ET40">
        <f>'[36]Template '!$O$16</f>
        <v>2</v>
      </c>
      <c r="EU40">
        <f>'[36]Template '!$O$17</f>
        <v>5</v>
      </c>
      <c r="EV40">
        <f>'[36]Template '!$O$18</f>
        <v>2</v>
      </c>
      <c r="EW40">
        <f>'[36]Template '!$O$19</f>
        <v>2</v>
      </c>
      <c r="EX40">
        <f>'[36]Template '!$O$20</f>
        <v>2</v>
      </c>
      <c r="EY40">
        <f>'[36]Template '!$O$21</f>
        <v>2</v>
      </c>
      <c r="EZ40">
        <f>'[36]Template '!$O$22</f>
        <v>2</v>
      </c>
      <c r="FA40">
        <f>'[36]Template '!$O$23</f>
        <v>2</v>
      </c>
      <c r="FL40">
        <f>'[36]Template '!$D$5</f>
        <v>0.1314484126984127</v>
      </c>
      <c r="FM40">
        <f>'[36]Template '!$D$6</f>
        <v>0.15416666666666667</v>
      </c>
      <c r="FN40">
        <f>'[36]Template '!$D$7</f>
        <v>9.1851851851851837E-2</v>
      </c>
      <c r="FO40">
        <f>'[36]Template '!$D$8</f>
        <v>7.6772486772486756E-2</v>
      </c>
      <c r="FP40">
        <f>'[36]Template '!$D$9</f>
        <v>0.11355985449735449</v>
      </c>
      <c r="FR40">
        <f>'[36]Template '!$E$5</f>
        <v>0.16821311858076565</v>
      </c>
      <c r="FS40">
        <f>'[36]Template '!$E$6</f>
        <v>0.18392857142857141</v>
      </c>
      <c r="FT40">
        <f>'[36]Template '!$E$7</f>
        <v>9.1851851851851837E-2</v>
      </c>
      <c r="FU40">
        <f>'[36]Template '!$E$8</f>
        <v>7.6772486772486756E-2</v>
      </c>
      <c r="FV40">
        <f>'[36]Template '!$E$9</f>
        <v>0.1301915071584189</v>
      </c>
    </row>
    <row r="41" spans="1:178" x14ac:dyDescent="0.2">
      <c r="A41" t="str">
        <f>'[33]Template '!$A$2</f>
        <v>M_095</v>
      </c>
      <c r="C41" t="str">
        <f t="shared" si="4"/>
        <v>M_095.xlsx</v>
      </c>
      <c r="E41" t="str">
        <f>'[33]Template '!$C$2</f>
        <v>D only</v>
      </c>
      <c r="G41">
        <f>'[33]Template '!$C$29</f>
        <v>0</v>
      </c>
      <c r="H41" t="str">
        <f>'[33]Template '!$C$30</f>
        <v>n/a</v>
      </c>
      <c r="I41">
        <f>'[33]Template '!$C$31</f>
        <v>0.5</v>
      </c>
      <c r="J41">
        <f>'[33]Template '!$C$32</f>
        <v>0.34558823529411764</v>
      </c>
      <c r="K41">
        <f>'[33]Template '!$C$33</f>
        <v>0.5357142857142857</v>
      </c>
      <c r="M41">
        <f>'[33]Template '!$C$80</f>
        <v>249</v>
      </c>
      <c r="N41">
        <f>'[33]Template '!$C$81</f>
        <v>15</v>
      </c>
      <c r="O41">
        <f>'[33]Template '!$C$82</f>
        <v>3.5</v>
      </c>
      <c r="P41">
        <f>'[33]Template '!$C$83</f>
        <v>1</v>
      </c>
      <c r="Q41">
        <f>'[33]Template '!$C$84</f>
        <v>2</v>
      </c>
      <c r="R41">
        <f>'[33]Template '!$C$85</f>
        <v>1</v>
      </c>
      <c r="T41">
        <f>'[33]Template '!$C$74</f>
        <v>0.24545454545454548</v>
      </c>
      <c r="U41" t="str">
        <f>'[33]Template '!$C$75</f>
        <v>n/a</v>
      </c>
      <c r="V41">
        <f>'[33]Template '!$C$76</f>
        <v>0.39285714285714285</v>
      </c>
      <c r="W41">
        <f>'[33]Template '!$C$77</f>
        <v>0.13095238095238093</v>
      </c>
      <c r="X41">
        <f>'[33]Template '!$C$78</f>
        <v>0.71626984126984128</v>
      </c>
      <c r="Z41">
        <f>'[33]Template '!$C$80</f>
        <v>249</v>
      </c>
      <c r="AA41">
        <f>'[33]Template '!$C$81</f>
        <v>15</v>
      </c>
      <c r="AB41">
        <f>'[33]Template '!$C$82</f>
        <v>3.5</v>
      </c>
      <c r="AC41">
        <f>'[33]Template '!$C$83</f>
        <v>1</v>
      </c>
      <c r="AD41">
        <f>'[33]Template '!$C$84</f>
        <v>2</v>
      </c>
      <c r="AE41">
        <f>'[33]Template '!$C$85</f>
        <v>1</v>
      </c>
      <c r="AG41">
        <f>'[33]Template '!$C$96</f>
        <v>0.39583333333333331</v>
      </c>
      <c r="AH41">
        <f>'[33]Template '!$C$97</f>
        <v>0.34074074074074079</v>
      </c>
      <c r="AI41">
        <f>'[33]Template '!$C$98</f>
        <v>0.5</v>
      </c>
      <c r="AJ41">
        <f>'[33]Template '!$C$99</f>
        <v>0.4386724386724386</v>
      </c>
      <c r="AK41">
        <f>'[33]Template '!$C$100</f>
        <v>0.71825396825396826</v>
      </c>
      <c r="AM41">
        <f>'[33]Template '!$C$102</f>
        <v>619</v>
      </c>
      <c r="AN41">
        <f>'[33]Template '!$C$103</f>
        <v>28.5</v>
      </c>
      <c r="AO41">
        <f>'[33]Template '!$C$104</f>
        <v>2.5</v>
      </c>
      <c r="AP41">
        <f>'[33]Template '!$C$105</f>
        <v>1</v>
      </c>
      <c r="AQ41">
        <f>'[33]Template '!$C$106</f>
        <v>2.5</v>
      </c>
      <c r="AR41">
        <f>'[33]Template '!$C$107</f>
        <v>1.5</v>
      </c>
      <c r="AT41">
        <f>'[33]Template '!$C$52</f>
        <v>6.9444444444444448E-2</v>
      </c>
      <c r="AU41">
        <f>'[33]Template '!$C$53</f>
        <v>0.34074074074074079</v>
      </c>
      <c r="AV41">
        <f>'[33]Template '!$C$54</f>
        <v>0.5</v>
      </c>
      <c r="AW41">
        <f>'[33]Template '!$C$55</f>
        <v>0.21279761904761904</v>
      </c>
      <c r="AX41">
        <f>'[33]Template '!$C$56</f>
        <v>0.75436507936507935</v>
      </c>
      <c r="AZ41">
        <f>'[33]Template '!$C$58</f>
        <v>687</v>
      </c>
      <c r="BA41">
        <f>'[33]Template '!$C$59</f>
        <v>20</v>
      </c>
      <c r="BB41">
        <f>'[33]Template '!$C$60</f>
        <v>2.5</v>
      </c>
      <c r="BC41">
        <f>'[33]Template '!$C$61</f>
        <v>1</v>
      </c>
      <c r="BD41">
        <f>'[33]Template '!$C$62</f>
        <v>2.5</v>
      </c>
      <c r="BE41">
        <f>'[33]Template '!$C$63</f>
        <v>1.5</v>
      </c>
      <c r="BG41">
        <f>'[33]Template '!$B$29</f>
        <v>0</v>
      </c>
      <c r="BH41" t="str">
        <f>'[33]Template '!$B$30</f>
        <v>n/a</v>
      </c>
      <c r="BI41">
        <f>'[33]Template '!$B$31</f>
        <v>0.5</v>
      </c>
      <c r="BJ41">
        <f>'[33]Template '!$B$32</f>
        <v>0.28125</v>
      </c>
      <c r="BK41">
        <f>'[33]Template '!$B$33</f>
        <v>0.5357142857142857</v>
      </c>
      <c r="BM41">
        <f>'[33]Template '!$B$52</f>
        <v>0.15277777777777779</v>
      </c>
      <c r="BN41">
        <f>'[33]Template '!$B$53</f>
        <v>0.34074074074074079</v>
      </c>
      <c r="BO41">
        <f>'[33]Template '!$B$54</f>
        <v>0.5</v>
      </c>
      <c r="BP41">
        <f>'[33]Template '!$B$55</f>
        <v>0.26851851851851855</v>
      </c>
      <c r="BQ41">
        <f>'[33]Template '!$B$56</f>
        <v>0.75436507936507935</v>
      </c>
      <c r="BS41">
        <f>'[33]Template '!$B$74</f>
        <v>0.24545454545454548</v>
      </c>
      <c r="BT41" t="str">
        <f>'[33]Template '!$B$75</f>
        <v>n/a</v>
      </c>
      <c r="BU41">
        <f>'[33]Template '!$B$76</f>
        <v>0.39285714285714285</v>
      </c>
      <c r="BV41">
        <f>'[33]Template '!$B$77</f>
        <v>6.25E-2</v>
      </c>
      <c r="BW41">
        <f>'[33]Template '!$B$78</f>
        <v>0.71626984126984128</v>
      </c>
      <c r="BY41">
        <f>'[33]Template '!$B$96</f>
        <v>0.39583333333333331</v>
      </c>
      <c r="BZ41">
        <f>'[33]Template '!$B$97</f>
        <v>0.34074074074074079</v>
      </c>
      <c r="CA41">
        <f>'[33]Template '!$B$98</f>
        <v>0.5</v>
      </c>
      <c r="CB41">
        <f>'[33]Template '!$B$99</f>
        <v>0.80555555555555547</v>
      </c>
      <c r="CC41">
        <f>'[33]Template '!$B$100</f>
        <v>0.71825396825396826</v>
      </c>
      <c r="CF41">
        <f>'[33]Template '!$Z$30</f>
        <v>0</v>
      </c>
      <c r="CG41">
        <f>'[33]Template '!$AB$75</f>
        <v>0</v>
      </c>
      <c r="CH41">
        <f>'[33]Template '!$C$89</f>
        <v>0</v>
      </c>
      <c r="CI41">
        <f>'[33]Template '!$AF$75</f>
        <v>0</v>
      </c>
      <c r="CJ41">
        <f>'[33]Template '!$AR$97</f>
        <v>0</v>
      </c>
      <c r="CK41">
        <f>'[33]Template '!$AS$97</f>
        <v>0.5</v>
      </c>
      <c r="CL41">
        <f>'[33]Template '!$AZ$97</f>
        <v>0.5</v>
      </c>
      <c r="CM41">
        <f>'[33]Template '!$BB$97</f>
        <v>0</v>
      </c>
      <c r="CN41">
        <f>'[33]Template '!$AU$53</f>
        <v>0</v>
      </c>
      <c r="CO41">
        <f>'[33]Template '!$AV$53</f>
        <v>0</v>
      </c>
      <c r="CP41">
        <f>'[33]Template '!$AY$53</f>
        <v>0</v>
      </c>
      <c r="CQ41">
        <f>'[33]Template '!$AX$53</f>
        <v>0</v>
      </c>
      <c r="CR41">
        <f>'[33]Template '!$AZ$53</f>
        <v>0</v>
      </c>
      <c r="CS41">
        <f>'[33]Template '!$BF$53</f>
        <v>0.5</v>
      </c>
      <c r="CT41">
        <f t="shared" si="5"/>
        <v>0</v>
      </c>
      <c r="CU41">
        <f t="shared" si="6"/>
        <v>1.5</v>
      </c>
      <c r="CV41">
        <f t="shared" si="7"/>
        <v>1.5</v>
      </c>
      <c r="CY41" t="str">
        <f>'[33]Template '!$E$2</f>
        <v>B</v>
      </c>
      <c r="CZ41">
        <f>'[33]Template '!$B$13</f>
        <v>2</v>
      </c>
      <c r="DA41">
        <f>'[33]Template '!$D$2</f>
        <v>3</v>
      </c>
      <c r="DB41">
        <f>'[33]Template '!$D$3</f>
        <v>45104</v>
      </c>
      <c r="DC41">
        <f>'[33]Template '!$F$2</f>
        <v>45195</v>
      </c>
      <c r="DE41">
        <f>'[33]Template '!$B$12</f>
        <v>30</v>
      </c>
      <c r="DF41" t="str">
        <f>'[33]Template '!$B$14</f>
        <v>6/11</v>
      </c>
      <c r="DG41" t="str">
        <f>'[33]Template '!$B$15</f>
        <v>1/12</v>
      </c>
      <c r="DH41">
        <f>'[33]Template '!$B$16</f>
        <v>132</v>
      </c>
      <c r="DI41">
        <f>'[33]Template '!$B$17</f>
        <v>0</v>
      </c>
      <c r="DJ41">
        <f>'[33]Template '!$B$18</f>
        <v>0</v>
      </c>
      <c r="DK41">
        <f>'[33]Template '!$B$19</f>
        <v>1</v>
      </c>
      <c r="DL41">
        <f>'[33]Template '!$B$20</f>
        <v>1</v>
      </c>
      <c r="DM41">
        <f>'[33]Template '!$B$21</f>
        <v>0</v>
      </c>
      <c r="DN41">
        <f>'[33]Template '!$B$22</f>
        <v>0</v>
      </c>
      <c r="DP41">
        <f>'[33]Template '!$I$13</f>
        <v>5</v>
      </c>
      <c r="DQ41">
        <f>'[33]Template '!$I$14</f>
        <v>5</v>
      </c>
      <c r="DR41">
        <f>'[33]Template '!$I$15</f>
        <v>5</v>
      </c>
      <c r="DS41">
        <f>'[33]Template '!$I$16</f>
        <v>5</v>
      </c>
      <c r="DT41">
        <f>'[33]Template '!$I$17</f>
        <v>5</v>
      </c>
      <c r="DU41">
        <f>'[33]Template '!$I$18</f>
        <v>5</v>
      </c>
      <c r="DV41">
        <f>'[33]Template '!$I$19</f>
        <v>5</v>
      </c>
      <c r="DW41">
        <f>'[33]Template '!$I$20</f>
        <v>5</v>
      </c>
      <c r="DX41">
        <f>'[33]Template '!$I$21</f>
        <v>5</v>
      </c>
      <c r="DY41">
        <f>'[33]Template '!$I$22</f>
        <v>5</v>
      </c>
      <c r="DZ41">
        <f>'[33]Template '!$I$23</f>
        <v>5</v>
      </c>
      <c r="EA41">
        <f>'[33]Template '!$I$24</f>
        <v>1</v>
      </c>
      <c r="ED41">
        <f>'[33]Template '!$L$13</f>
        <v>5</v>
      </c>
      <c r="EE41">
        <f>'[33]Template '!$L$14</f>
        <v>5</v>
      </c>
      <c r="EF41">
        <f>'[33]Template '!$L$15</f>
        <v>4</v>
      </c>
      <c r="EG41">
        <f>'[33]Template '!$L$16</f>
        <v>3</v>
      </c>
      <c r="EH41">
        <f>'[33]Template '!$L$17</f>
        <v>5</v>
      </c>
      <c r="EI41">
        <f>'[33]Template '!$L$18</f>
        <v>4</v>
      </c>
      <c r="EJ41">
        <f>'[33]Template '!$L$19</f>
        <v>5</v>
      </c>
      <c r="EK41">
        <f>'[33]Template '!$L$20</f>
        <v>4</v>
      </c>
      <c r="EL41">
        <f>'[33]Template '!$L$21</f>
        <v>3</v>
      </c>
      <c r="EM41">
        <f>'[33]Template '!$L$22</f>
        <v>3</v>
      </c>
      <c r="EN41">
        <f>'[33]Template '!$L$23</f>
        <v>5</v>
      </c>
      <c r="EQ41">
        <f>'[33]Template '!$O$13</f>
        <v>5</v>
      </c>
      <c r="ER41">
        <f>'[33]Template '!$O$14</f>
        <v>3</v>
      </c>
      <c r="ES41">
        <f>'[33]Template '!$O$15</f>
        <v>2</v>
      </c>
      <c r="ET41">
        <f>'[33]Template '!$O$16</f>
        <v>4</v>
      </c>
      <c r="EU41">
        <f>'[33]Template '!$O$17</f>
        <v>5</v>
      </c>
      <c r="EV41">
        <f>'[33]Template '!$O$18</f>
        <v>3</v>
      </c>
      <c r="EW41">
        <f>'[33]Template '!$O$19</f>
        <v>1</v>
      </c>
      <c r="EX41">
        <f>'[33]Template '!$O$20</f>
        <v>4</v>
      </c>
      <c r="EY41">
        <f>'[33]Template '!$O$21</f>
        <v>1</v>
      </c>
      <c r="EZ41">
        <f>'[33]Template '!$O$22</f>
        <v>4</v>
      </c>
      <c r="FA41">
        <f>'[33]Template '!$O$23</f>
        <v>4</v>
      </c>
      <c r="FL41">
        <f>'[33]Template '!$D$5</f>
        <v>0.3292410714285714</v>
      </c>
      <c r="FM41">
        <f>'[33]Template '!$D$6</f>
        <v>0.35427038239538244</v>
      </c>
      <c r="FN41">
        <f>'[33]Template '!$D$7</f>
        <v>0.40328042328042335</v>
      </c>
      <c r="FO41">
        <f>'[33]Template '!$D$8</f>
        <v>0.55207671957671955</v>
      </c>
      <c r="FP41">
        <f>'[33]Template '!$D$9</f>
        <v>0.40971714917027419</v>
      </c>
      <c r="FR41">
        <f>'[33]Template '!$E$5</f>
        <v>0.34532563025210083</v>
      </c>
      <c r="FS41">
        <f>'[33]Template '!$E$6</f>
        <v>0.37138347763347768</v>
      </c>
      <c r="FT41">
        <f>'[33]Template '!$E$7</f>
        <v>0.3754695767195767</v>
      </c>
      <c r="FU41">
        <f>'[33]Template '!$E$8</f>
        <v>0.47870009620009613</v>
      </c>
      <c r="FV41">
        <f>'[33]Template '!$E$9</f>
        <v>0.39271969520131289</v>
      </c>
    </row>
    <row r="42" spans="1:178" x14ac:dyDescent="0.2">
      <c r="A42" t="str">
        <f>'[32]Template '!$A$2</f>
        <v>M_094</v>
      </c>
      <c r="C42" t="str">
        <f t="shared" si="4"/>
        <v>M_094.xlsx</v>
      </c>
      <c r="E42" t="str">
        <f>'[32]Template '!$C$2</f>
        <v>D only</v>
      </c>
      <c r="G42">
        <f>'[32]Template '!$C$29</f>
        <v>0.25</v>
      </c>
      <c r="H42" t="str">
        <f>'[32]Template '!$C$30</f>
        <v>n/a</v>
      </c>
      <c r="I42">
        <f>'[32]Template '!$C$31</f>
        <v>0.75</v>
      </c>
      <c r="J42">
        <f>'[32]Template '!$C$32</f>
        <v>0.45506535947712418</v>
      </c>
      <c r="K42">
        <f>'[32]Template '!$C$33</f>
        <v>0.36309523809523808</v>
      </c>
      <c r="M42">
        <f>'[32]Template '!$C$80</f>
        <v>1200</v>
      </c>
      <c r="N42">
        <f>'[32]Template '!$C$81</f>
        <v>7.5</v>
      </c>
      <c r="O42">
        <f>'[32]Template '!$C$82</f>
        <v>2.5</v>
      </c>
      <c r="P42">
        <f>'[32]Template '!$C$83</f>
        <v>1</v>
      </c>
      <c r="Q42">
        <f>'[32]Template '!$C$84</f>
        <v>1</v>
      </c>
      <c r="R42">
        <f>'[32]Template '!$C$85</f>
        <v>1</v>
      </c>
      <c r="T42">
        <f>'[32]Template '!$C$74</f>
        <v>0.35909090909090913</v>
      </c>
      <c r="U42" t="str">
        <f>'[32]Template '!$C$75</f>
        <v>n/a</v>
      </c>
      <c r="V42">
        <f>'[32]Template '!$C$76</f>
        <v>7.1428571428571425E-2</v>
      </c>
      <c r="W42">
        <f>'[32]Template '!$C$77</f>
        <v>0.47619047619047616</v>
      </c>
      <c r="X42">
        <f>'[32]Template '!$C$78</f>
        <v>0.32936507936507936</v>
      </c>
      <c r="Z42">
        <f>'[32]Template '!$C$80</f>
        <v>1200</v>
      </c>
      <c r="AA42">
        <f>'[32]Template '!$C$81</f>
        <v>7.5</v>
      </c>
      <c r="AB42">
        <f>'[32]Template '!$C$82</f>
        <v>2.5</v>
      </c>
      <c r="AC42">
        <f>'[32]Template '!$C$83</f>
        <v>1</v>
      </c>
      <c r="AD42">
        <f>'[32]Template '!$C$84</f>
        <v>1</v>
      </c>
      <c r="AE42">
        <f>'[32]Template '!$C$85</f>
        <v>1</v>
      </c>
      <c r="AG42">
        <f>'[32]Template '!$C$96</f>
        <v>0.6875</v>
      </c>
      <c r="AH42">
        <f>'[32]Template '!$C$97</f>
        <v>0.71851851851851867</v>
      </c>
      <c r="AI42">
        <f>'[32]Template '!$C$98</f>
        <v>0.5</v>
      </c>
      <c r="AJ42">
        <f>'[32]Template '!$C$99</f>
        <v>0.52308802308802305</v>
      </c>
      <c r="AK42">
        <f>'[32]Template '!$C$100</f>
        <v>0.44087301587301586</v>
      </c>
      <c r="AM42">
        <f>'[32]Template '!$C$102</f>
        <v>882</v>
      </c>
      <c r="AN42">
        <f>'[32]Template '!$C$103</f>
        <v>22.5</v>
      </c>
      <c r="AO42">
        <f>'[32]Template '!$C$104</f>
        <v>2.5</v>
      </c>
      <c r="AP42">
        <f>'[32]Template '!$C$105</f>
        <v>1</v>
      </c>
      <c r="AQ42">
        <f>'[32]Template '!$C$106</f>
        <v>1.5</v>
      </c>
      <c r="AR42">
        <f>'[32]Template '!$C$107</f>
        <v>1</v>
      </c>
      <c r="AT42">
        <f>'[32]Template '!$C$52</f>
        <v>0.21944444444444447</v>
      </c>
      <c r="AU42">
        <f>'[32]Template '!$C$53</f>
        <v>0.71851851851851867</v>
      </c>
      <c r="AV42">
        <f>'[32]Template '!$C$54</f>
        <v>0.5</v>
      </c>
      <c r="AW42">
        <f>'[32]Template '!$C$55</f>
        <v>0.3125</v>
      </c>
      <c r="AX42">
        <f>'[32]Template '!$C$56</f>
        <v>0.47420634920634924</v>
      </c>
      <c r="AZ42">
        <f>'[32]Template '!$C$58</f>
        <v>424</v>
      </c>
      <c r="BA42">
        <f>'[32]Template '!$C$59</f>
        <v>22.5</v>
      </c>
      <c r="BB42">
        <f>'[32]Template '!$C$60</f>
        <v>2.5</v>
      </c>
      <c r="BC42">
        <f>'[32]Template '!$C$61</f>
        <v>1.5</v>
      </c>
      <c r="BD42">
        <f>'[32]Template '!$C$62</f>
        <v>1.5</v>
      </c>
      <c r="BE42">
        <f>'[32]Template '!$C$63</f>
        <v>1</v>
      </c>
      <c r="BG42">
        <f>'[32]Template '!$B$29</f>
        <v>0.25</v>
      </c>
      <c r="BH42" t="str">
        <f>'[32]Template '!$B$30</f>
        <v>n/a</v>
      </c>
      <c r="BI42">
        <f>'[32]Template '!$B$31</f>
        <v>0.75</v>
      </c>
      <c r="BJ42">
        <f>'[32]Template '!$B$32</f>
        <v>0.59375</v>
      </c>
      <c r="BK42">
        <f>'[32]Template '!$B$33</f>
        <v>0.36309523809523808</v>
      </c>
      <c r="BM42">
        <f>'[32]Template '!$B$52</f>
        <v>0.21944444444444447</v>
      </c>
      <c r="BN42">
        <f>'[32]Template '!$B$53</f>
        <v>0.71851851851851867</v>
      </c>
      <c r="BO42">
        <f>'[32]Template '!$B$54</f>
        <v>0.5</v>
      </c>
      <c r="BP42">
        <f>'[32]Template '!$B$55</f>
        <v>0.3611111111111111</v>
      </c>
      <c r="BQ42">
        <f>'[32]Template '!$B$56</f>
        <v>0.47420634920634924</v>
      </c>
      <c r="BS42">
        <f>'[32]Template '!$B$74</f>
        <v>0.35909090909090913</v>
      </c>
      <c r="BT42" t="str">
        <f>'[32]Template '!$B$75</f>
        <v>n/a</v>
      </c>
      <c r="BU42">
        <f>'[32]Template '!$B$76</f>
        <v>7.1428571428571425E-2</v>
      </c>
      <c r="BV42">
        <f>'[32]Template '!$B$77</f>
        <v>0.45833333333333331</v>
      </c>
      <c r="BW42">
        <f>'[32]Template '!$B$78</f>
        <v>0.32936507936507936</v>
      </c>
      <c r="BY42">
        <f>'[32]Template '!$B$96</f>
        <v>0.6875</v>
      </c>
      <c r="BZ42">
        <f>'[32]Template '!$B$97</f>
        <v>0.71851851851851867</v>
      </c>
      <c r="CA42">
        <f>'[32]Template '!$B$98</f>
        <v>0.5</v>
      </c>
      <c r="CB42">
        <f>'[32]Template '!$B$99</f>
        <v>0.80555555555555547</v>
      </c>
      <c r="CC42">
        <f>'[32]Template '!$B$100</f>
        <v>0.44087301587301586</v>
      </c>
      <c r="CF42">
        <f>'[32]Template '!$Z$30</f>
        <v>0</v>
      </c>
      <c r="CG42">
        <f>'[32]Template '!$AB$75</f>
        <v>0</v>
      </c>
      <c r="CH42">
        <f>'[32]Template '!$C$89</f>
        <v>0</v>
      </c>
      <c r="CI42">
        <f>'[32]Template '!$AF$75</f>
        <v>0</v>
      </c>
      <c r="CJ42">
        <f>'[32]Template '!$AR$97</f>
        <v>0</v>
      </c>
      <c r="CK42">
        <f>'[32]Template '!$AS$97</f>
        <v>1</v>
      </c>
      <c r="CL42">
        <f>'[32]Template '!$AZ$97</f>
        <v>1</v>
      </c>
      <c r="CM42">
        <f>'[32]Template '!$BB$97</f>
        <v>0</v>
      </c>
      <c r="CN42">
        <f>'[32]Template '!$AU$53</f>
        <v>1</v>
      </c>
      <c r="CO42">
        <f>'[32]Template '!$AV$53</f>
        <v>0</v>
      </c>
      <c r="CP42">
        <f>'[32]Template '!$AY$53</f>
        <v>0</v>
      </c>
      <c r="CQ42">
        <f>'[32]Template '!$AX$53</f>
        <v>0</v>
      </c>
      <c r="CR42">
        <f>'[32]Template '!$AZ$53</f>
        <v>0</v>
      </c>
      <c r="CS42">
        <f>'[32]Template '!$BF$53</f>
        <v>0</v>
      </c>
      <c r="CT42">
        <f t="shared" si="5"/>
        <v>0</v>
      </c>
      <c r="CU42">
        <f t="shared" si="6"/>
        <v>3</v>
      </c>
      <c r="CV42">
        <f t="shared" si="7"/>
        <v>3</v>
      </c>
      <c r="CY42" t="str">
        <f>'[32]Template '!$E$2</f>
        <v>B</v>
      </c>
      <c r="CZ42">
        <f>'[32]Template '!$B$13</f>
        <v>1</v>
      </c>
      <c r="DA42">
        <f>'[32]Template '!$D$2</f>
        <v>3</v>
      </c>
      <c r="DB42">
        <f>'[32]Template '!$D$3</f>
        <v>45104</v>
      </c>
      <c r="DC42">
        <f>'[32]Template '!$F$2</f>
        <v>45251</v>
      </c>
      <c r="DE42">
        <f>'[32]Template '!$B$12</f>
        <v>20</v>
      </c>
      <c r="DF42" t="str">
        <f>'[32]Template '!$B$14</f>
        <v>10/21</v>
      </c>
      <c r="DG42" t="str">
        <f>'[32]Template '!$B$15</f>
        <v>3/22</v>
      </c>
      <c r="DH42">
        <f>'[32]Template '!$B$16</f>
        <v>24</v>
      </c>
      <c r="DI42">
        <f>'[32]Template '!$B$17</f>
        <v>0</v>
      </c>
      <c r="DJ42">
        <f>'[32]Template '!$B$18</f>
        <v>0</v>
      </c>
      <c r="DK42">
        <f>'[32]Template '!$B$19</f>
        <v>0</v>
      </c>
      <c r="DL42">
        <f>'[32]Template '!$B$20</f>
        <v>0</v>
      </c>
      <c r="DM42">
        <f>'[32]Template '!$B$21</f>
        <v>0</v>
      </c>
      <c r="DN42">
        <f>'[32]Template '!$B$22</f>
        <v>0</v>
      </c>
      <c r="DP42">
        <f>'[32]Template '!$I$13</f>
        <v>5</v>
      </c>
      <c r="DQ42">
        <f>'[32]Template '!$I$14</f>
        <v>4</v>
      </c>
      <c r="DR42">
        <f>'[32]Template '!$I$15</f>
        <v>5</v>
      </c>
      <c r="DS42">
        <f>'[32]Template '!$I$16</f>
        <v>4</v>
      </c>
      <c r="DT42">
        <f>'[32]Template '!$I$17</f>
        <v>5</v>
      </c>
      <c r="DU42">
        <f>'[32]Template '!$I$18</f>
        <v>3</v>
      </c>
      <c r="DV42">
        <f>'[32]Template '!$I$19</f>
        <v>5</v>
      </c>
      <c r="DW42">
        <f>'[32]Template '!$I$20</f>
        <v>4</v>
      </c>
      <c r="DX42">
        <f>'[32]Template '!$I$21</f>
        <v>5</v>
      </c>
      <c r="DY42">
        <f>'[32]Template '!$I$22</f>
        <v>3</v>
      </c>
      <c r="DZ42">
        <f>'[32]Template '!$I$23</f>
        <v>5</v>
      </c>
      <c r="EA42">
        <f>'[32]Template '!$I$24</f>
        <v>1</v>
      </c>
      <c r="ED42">
        <f>'[32]Template '!$L$13</f>
        <v>5</v>
      </c>
      <c r="EE42">
        <f>'[32]Template '!$L$14</f>
        <v>4</v>
      </c>
      <c r="EF42">
        <f>'[32]Template '!$L$15</f>
        <v>5</v>
      </c>
      <c r="EG42">
        <f>'[32]Template '!$L$16</f>
        <v>4</v>
      </c>
      <c r="EH42">
        <f>'[32]Template '!$L$17</f>
        <v>5</v>
      </c>
      <c r="EI42">
        <f>'[32]Template '!$L$18</f>
        <v>3</v>
      </c>
      <c r="EJ42">
        <f>'[32]Template '!$L$19</f>
        <v>5</v>
      </c>
      <c r="EK42">
        <f>'[32]Template '!$L$20</f>
        <v>4</v>
      </c>
      <c r="EL42">
        <f>'[32]Template '!$L$21</f>
        <v>5</v>
      </c>
      <c r="EM42">
        <f>'[32]Template '!$L$22</f>
        <v>3</v>
      </c>
      <c r="EN42">
        <f>'[32]Template '!$L$23</f>
        <v>5</v>
      </c>
      <c r="EQ42">
        <f>'[32]Template '!$O$13</f>
        <v>5</v>
      </c>
      <c r="ER42">
        <f>'[32]Template '!$O$14</f>
        <v>3</v>
      </c>
      <c r="ES42">
        <f>'[32]Template '!$O$15</f>
        <v>3</v>
      </c>
      <c r="ET42">
        <f>'[32]Template '!$O$16</f>
        <v>4</v>
      </c>
      <c r="EU42">
        <f>'[32]Template '!$O$17</f>
        <v>5</v>
      </c>
      <c r="EV42">
        <f>'[32]Template '!$O$18</f>
        <v>4</v>
      </c>
      <c r="EW42">
        <f>'[32]Template '!$O$19</f>
        <v>1</v>
      </c>
      <c r="EX42">
        <f>'[32]Template '!$O$20</f>
        <v>5</v>
      </c>
      <c r="EY42">
        <f>'[32]Template '!$O$21</f>
        <v>3</v>
      </c>
      <c r="EZ42">
        <f>'[32]Template '!$O$22</f>
        <v>3</v>
      </c>
      <c r="FA42">
        <f>'[32]Template '!$O$23</f>
        <v>1</v>
      </c>
      <c r="FL42">
        <f>'[32]Template '!$D$5</f>
        <v>0.48921130952380953</v>
      </c>
      <c r="FM42">
        <f>'[32]Template '!$D$6</f>
        <v>0.30455447330447327</v>
      </c>
      <c r="FN42">
        <f>'[32]Template '!$D$7</f>
        <v>0.45465608465608465</v>
      </c>
      <c r="FO42">
        <f>'[32]Template '!$D$8</f>
        <v>0.63048941798941804</v>
      </c>
      <c r="FP42">
        <f>'[32]Template '!$D$9</f>
        <v>0.46972782136844637</v>
      </c>
      <c r="FR42">
        <f>'[32]Template '!$E$5</f>
        <v>0.45454014939309056</v>
      </c>
      <c r="FS42">
        <f>'[32]Template '!$E$6</f>
        <v>0.30901875901875903</v>
      </c>
      <c r="FT42">
        <f>'[32]Template '!$E$7</f>
        <v>0.44493386243386246</v>
      </c>
      <c r="FU42">
        <f>'[32]Template '!$E$8</f>
        <v>0.57399591149591145</v>
      </c>
      <c r="FV42">
        <f>'[32]Template '!$E$9</f>
        <v>0.44562217058540587</v>
      </c>
    </row>
    <row r="43" spans="1:178" x14ac:dyDescent="0.2">
      <c r="A43" t="str">
        <f>'[31]Template '!$A$2</f>
        <v>M_093</v>
      </c>
      <c r="C43" t="str">
        <f t="shared" si="4"/>
        <v>M_093.xlsx</v>
      </c>
      <c r="E43" t="str">
        <f>'[31]Template '!$C$2</f>
        <v>D only</v>
      </c>
      <c r="G43">
        <f>'[31]Template '!$C$29</f>
        <v>0</v>
      </c>
      <c r="H43" t="str">
        <f>'[31]Template '!$C$30</f>
        <v>n/a</v>
      </c>
      <c r="I43">
        <f>'[31]Template '!$C$31</f>
        <v>0.58333333333333326</v>
      </c>
      <c r="J43">
        <f>'[31]Template '!$C$32</f>
        <v>0.11764705882352941</v>
      </c>
      <c r="K43">
        <f>'[31]Template '!$C$33</f>
        <v>0.27380952380952378</v>
      </c>
      <c r="M43">
        <f>'[31]Template '!$C$80</f>
        <v>880</v>
      </c>
      <c r="N43">
        <f>'[31]Template '!$C$81</f>
        <v>25</v>
      </c>
      <c r="O43">
        <f>'[31]Template '!$C$82</f>
        <v>2</v>
      </c>
      <c r="P43">
        <f>'[31]Template '!$C$83</f>
        <v>1</v>
      </c>
      <c r="Q43">
        <f>'[31]Template '!$C$84</f>
        <v>2</v>
      </c>
      <c r="R43">
        <f>'[31]Template '!$C$85</f>
        <v>2</v>
      </c>
      <c r="T43">
        <f>'[31]Template '!$C$74</f>
        <v>0.60909090909090913</v>
      </c>
      <c r="U43" t="str">
        <f>'[31]Template '!$C$75</f>
        <v>n/a</v>
      </c>
      <c r="V43">
        <f>'[31]Template '!$C$76</f>
        <v>0.6071428571428571</v>
      </c>
      <c r="W43">
        <f>'[31]Template '!$C$77</f>
        <v>0.35416666666666663</v>
      </c>
      <c r="X43">
        <f>'[31]Template '!$C$78</f>
        <v>0.42063492063492064</v>
      </c>
      <c r="Z43">
        <f>'[31]Template '!$C$80</f>
        <v>880</v>
      </c>
      <c r="AA43">
        <f>'[31]Template '!$C$81</f>
        <v>25</v>
      </c>
      <c r="AB43">
        <f>'[31]Template '!$C$82</f>
        <v>2</v>
      </c>
      <c r="AC43">
        <f>'[31]Template '!$C$83</f>
        <v>1</v>
      </c>
      <c r="AD43">
        <f>'[31]Template '!$C$84</f>
        <v>2</v>
      </c>
      <c r="AE43">
        <f>'[31]Template '!$C$85</f>
        <v>2</v>
      </c>
      <c r="AG43">
        <f>'[31]Template '!$C$96</f>
        <v>0.25</v>
      </c>
      <c r="AH43">
        <f>'[31]Template '!$C$97</f>
        <v>0.6518518518518519</v>
      </c>
      <c r="AI43">
        <f>'[31]Template '!$C$98</f>
        <v>0.5</v>
      </c>
      <c r="AJ43">
        <f>'[31]Template '!$C$99</f>
        <v>0.26984126984126983</v>
      </c>
      <c r="AK43">
        <f>'[31]Template '!$C$100</f>
        <v>0.26428571428571429</v>
      </c>
      <c r="AM43">
        <f>'[31]Template '!$C$102</f>
        <v>282</v>
      </c>
      <c r="AN43">
        <f>'[31]Template '!$C$103</f>
        <v>10</v>
      </c>
      <c r="AO43">
        <f>'[31]Template '!$C$104</f>
        <v>3</v>
      </c>
      <c r="AP43">
        <f>'[31]Template '!$C$105</f>
        <v>1</v>
      </c>
      <c r="AQ43">
        <f>'[31]Template '!$C$106</f>
        <v>1</v>
      </c>
      <c r="AR43">
        <f>'[31]Template '!$C$107</f>
        <v>1</v>
      </c>
      <c r="AT43">
        <f>'[31]Template '!$C$52</f>
        <v>0.22857142857142854</v>
      </c>
      <c r="AU43">
        <f>'[31]Template '!$C$53</f>
        <v>0.6518518518518519</v>
      </c>
      <c r="AV43">
        <f>'[31]Template '!$C$54</f>
        <v>0.5</v>
      </c>
      <c r="AW43">
        <f>'[31]Template '!$C$55</f>
        <v>0.25</v>
      </c>
      <c r="AX43">
        <f>'[31]Template '!$C$56</f>
        <v>0.29523809523809524</v>
      </c>
      <c r="AZ43">
        <f>'[31]Template '!$C$58</f>
        <v>545</v>
      </c>
      <c r="BA43">
        <f>'[31]Template '!$C$59</f>
        <v>10</v>
      </c>
      <c r="BB43">
        <f>'[31]Template '!$C$60</f>
        <v>3</v>
      </c>
      <c r="BC43">
        <f>'[31]Template '!$C$61</f>
        <v>1</v>
      </c>
      <c r="BD43">
        <f>'[31]Template '!$C$62</f>
        <v>1</v>
      </c>
      <c r="BE43">
        <f>'[31]Template '!$C$63</f>
        <v>1</v>
      </c>
      <c r="BG43">
        <f>'[31]Template '!$B$29</f>
        <v>0</v>
      </c>
      <c r="BH43" t="str">
        <f>'[31]Template '!$B$30</f>
        <v>n/a</v>
      </c>
      <c r="BI43">
        <f>'[31]Template '!$B$31</f>
        <v>0.58333333333333326</v>
      </c>
      <c r="BJ43">
        <f>'[31]Template '!$B$32</f>
        <v>0.25</v>
      </c>
      <c r="BK43">
        <f>'[31]Template '!$B$33</f>
        <v>0.27380952380952378</v>
      </c>
      <c r="BM43">
        <f>'[31]Template '!$B$52</f>
        <v>8.5714285714285715E-2</v>
      </c>
      <c r="BN43">
        <f>'[31]Template '!$B$53</f>
        <v>0.6518518518518519</v>
      </c>
      <c r="BO43">
        <f>'[31]Template '!$B$54</f>
        <v>0.5</v>
      </c>
      <c r="BP43">
        <f>'[31]Template '!$B$55</f>
        <v>0.25</v>
      </c>
      <c r="BQ43">
        <f>'[31]Template '!$B$56</f>
        <v>0.29523809523809524</v>
      </c>
      <c r="BS43">
        <f>'[31]Template '!$B$74</f>
        <v>0.60909090909090913</v>
      </c>
      <c r="BT43" t="str">
        <f>'[31]Template '!$B$75</f>
        <v>n/a</v>
      </c>
      <c r="BU43">
        <f>'[31]Template '!$B$76</f>
        <v>0.6071428571428571</v>
      </c>
      <c r="BV43">
        <f>'[31]Template '!$B$77</f>
        <v>0.33333333333333331</v>
      </c>
      <c r="BW43">
        <f>'[31]Template '!$B$78</f>
        <v>0.42063492063492064</v>
      </c>
      <c r="BY43">
        <f>'[31]Template '!$B$96</f>
        <v>0.25</v>
      </c>
      <c r="BZ43">
        <f>'[31]Template '!$B$97</f>
        <v>0.6518518518518519</v>
      </c>
      <c r="CA43">
        <f>'[31]Template '!$B$98</f>
        <v>0.5</v>
      </c>
      <c r="CB43">
        <f>'[31]Template '!$B$99</f>
        <v>0.38888888888888884</v>
      </c>
      <c r="CC43">
        <f>'[31]Template '!$B$100</f>
        <v>0.26428571428571429</v>
      </c>
      <c r="CF43">
        <f>'[31]Template '!$Z$30</f>
        <v>0</v>
      </c>
      <c r="CG43">
        <f>'[31]Template '!$AB$75</f>
        <v>0</v>
      </c>
      <c r="CH43">
        <f>'[31]Template '!$C$89</f>
        <v>0</v>
      </c>
      <c r="CI43">
        <f>'[31]Template '!$AF$75</f>
        <v>0</v>
      </c>
      <c r="CJ43">
        <f>'[31]Template '!$AR$97</f>
        <v>0</v>
      </c>
      <c r="CK43">
        <f>'[31]Template '!$AS$97</f>
        <v>0</v>
      </c>
      <c r="CL43">
        <f>'[31]Template '!$AZ$97</f>
        <v>0</v>
      </c>
      <c r="CM43">
        <f>'[31]Template '!$BB$97</f>
        <v>0</v>
      </c>
      <c r="CN43">
        <f>'[31]Template '!$AU$53</f>
        <v>0</v>
      </c>
      <c r="CO43">
        <f>'[31]Template '!$AV$53</f>
        <v>0</v>
      </c>
      <c r="CP43">
        <f>'[31]Template '!$AY$53</f>
        <v>0</v>
      </c>
      <c r="CQ43">
        <f>'[31]Template '!$AX$53</f>
        <v>0</v>
      </c>
      <c r="CR43">
        <f>'[31]Template '!$AZ$53</f>
        <v>0</v>
      </c>
      <c r="CS43">
        <f>'[31]Template '!$BF$53</f>
        <v>0</v>
      </c>
      <c r="CT43">
        <f t="shared" si="5"/>
        <v>0</v>
      </c>
      <c r="CU43">
        <f t="shared" si="6"/>
        <v>0</v>
      </c>
      <c r="CV43">
        <f t="shared" si="7"/>
        <v>0</v>
      </c>
      <c r="CY43" t="str">
        <f>'[31]Template '!$E$2</f>
        <v>B</v>
      </c>
      <c r="CZ43">
        <f>'[31]Template '!$B$13</f>
        <v>1</v>
      </c>
      <c r="DA43">
        <f>'[31]Template '!$D$2</f>
        <v>3</v>
      </c>
      <c r="DB43">
        <f>'[31]Template '!$D$3</f>
        <v>45104</v>
      </c>
      <c r="DC43">
        <f>'[31]Template '!$F$2</f>
        <v>45223</v>
      </c>
      <c r="DE43">
        <f>'[31]Template '!$B$12</f>
        <v>28</v>
      </c>
      <c r="DF43" t="str">
        <f>'[31]Template '!$B$14</f>
        <v>11/16</v>
      </c>
      <c r="DG43" t="str">
        <f>'[31]Template '!$B$15</f>
        <v>4/17</v>
      </c>
      <c r="DH43">
        <f>'[31]Template '!$B$16</f>
        <v>72</v>
      </c>
      <c r="DI43">
        <f>'[31]Template '!$B$17</f>
        <v>0</v>
      </c>
      <c r="DJ43">
        <f>'[31]Template '!$B$18</f>
        <v>0</v>
      </c>
      <c r="DK43">
        <f>'[31]Template '!$B$19</f>
        <v>0</v>
      </c>
      <c r="DL43">
        <f>'[31]Template '!$B$20</f>
        <v>0</v>
      </c>
      <c r="DM43">
        <f>'[31]Template '!$B$21</f>
        <v>0</v>
      </c>
      <c r="DN43">
        <f>'[31]Template '!$B$22</f>
        <v>0</v>
      </c>
      <c r="DP43">
        <f>'[31]Template '!$I$13</f>
        <v>4</v>
      </c>
      <c r="DQ43">
        <f>'[31]Template '!$I$14</f>
        <v>4</v>
      </c>
      <c r="DR43">
        <f>'[31]Template '!$I$15</f>
        <v>4</v>
      </c>
      <c r="DS43">
        <f>'[31]Template '!$I$16</f>
        <v>5</v>
      </c>
      <c r="DT43">
        <f>'[31]Template '!$I$17</f>
        <v>5</v>
      </c>
      <c r="DU43">
        <f>'[31]Template '!$I$18</f>
        <v>4</v>
      </c>
      <c r="DV43">
        <f>'[31]Template '!$I$19</f>
        <v>5</v>
      </c>
      <c r="DW43">
        <f>'[31]Template '!$I$20</f>
        <v>4</v>
      </c>
      <c r="DX43">
        <f>'[31]Template '!$I$21</f>
        <v>4</v>
      </c>
      <c r="DY43">
        <f>'[31]Template '!$I$22</f>
        <v>3</v>
      </c>
      <c r="DZ43">
        <f>'[31]Template '!$I$23</f>
        <v>5</v>
      </c>
      <c r="EA43">
        <f>'[31]Template '!$I$24</f>
        <v>2</v>
      </c>
      <c r="ED43">
        <f>'[31]Template '!$L$13</f>
        <v>4</v>
      </c>
      <c r="EE43">
        <f>'[31]Template '!$L$14</f>
        <v>4</v>
      </c>
      <c r="EF43">
        <f>'[31]Template '!$L$15</f>
        <v>3</v>
      </c>
      <c r="EG43">
        <f>'[31]Template '!$L$16</f>
        <v>3</v>
      </c>
      <c r="EH43">
        <f>'[31]Template '!$L$17</f>
        <v>5</v>
      </c>
      <c r="EI43">
        <f>'[31]Template '!$L$18</f>
        <v>2</v>
      </c>
      <c r="EJ43">
        <f>'[31]Template '!$L$19</f>
        <v>5</v>
      </c>
      <c r="EK43">
        <f>'[31]Template '!$L$20</f>
        <v>2</v>
      </c>
      <c r="EL43">
        <f>'[31]Template '!$L$21</f>
        <v>2</v>
      </c>
      <c r="EM43">
        <f>'[31]Template '!$L$22</f>
        <v>3</v>
      </c>
      <c r="EN43">
        <f>'[31]Template '!$L$23</f>
        <v>5</v>
      </c>
      <c r="EQ43">
        <f>'[31]Template '!$O$13</f>
        <v>4</v>
      </c>
      <c r="ER43">
        <f>'[31]Template '!$O$14</f>
        <v>2</v>
      </c>
      <c r="ES43">
        <f>'[31]Template '!$O$15</f>
        <v>2</v>
      </c>
      <c r="ET43">
        <f>'[31]Template '!$O$16</f>
        <v>2</v>
      </c>
      <c r="EU43">
        <f>'[31]Template '!$O$17</f>
        <v>5</v>
      </c>
      <c r="EV43">
        <f>'[31]Template '!$O$18</f>
        <v>2</v>
      </c>
      <c r="EW43">
        <f>'[31]Template '!$O$19</f>
        <v>2</v>
      </c>
      <c r="EX43">
        <f>'[31]Template '!$O$20</f>
        <v>5</v>
      </c>
      <c r="EY43">
        <f>'[31]Template '!$O$21</f>
        <v>2</v>
      </c>
      <c r="EZ43">
        <f>'[31]Template '!$O$22</f>
        <v>2</v>
      </c>
      <c r="FA43">
        <f>'[31]Template '!$O$23</f>
        <v>2</v>
      </c>
      <c r="FL43">
        <f>'[31]Template '!$D$5</f>
        <v>0.27678571428571425</v>
      </c>
      <c r="FM43">
        <f>'[31]Template '!$D$6</f>
        <v>0.49255050505050502</v>
      </c>
      <c r="FN43">
        <f>'[31]Template '!$D$7</f>
        <v>0.35656084656084663</v>
      </c>
      <c r="FO43">
        <f>'[31]Template '!$D$8</f>
        <v>0.41100529100529098</v>
      </c>
      <c r="FP43">
        <f>'[31]Template '!$D$9</f>
        <v>0.38422558922558919</v>
      </c>
      <c r="FR43">
        <f>'[31]Template '!$E$5</f>
        <v>0.24369747899159661</v>
      </c>
      <c r="FS43">
        <f>'[31]Template '!$E$6</f>
        <v>0.49775883838383833</v>
      </c>
      <c r="FT43">
        <f>'[31]Template '!$E$7</f>
        <v>0.38513227513227516</v>
      </c>
      <c r="FU43">
        <f>'[31]Template '!$E$8</f>
        <v>0.3871957671957672</v>
      </c>
      <c r="FV43">
        <f>'[31]Template '!$E$9</f>
        <v>0.37844608992586937</v>
      </c>
    </row>
    <row r="44" spans="1:178" x14ac:dyDescent="0.2">
      <c r="A44" t="str">
        <f>'[30]Template '!$A$2</f>
        <v>M_092</v>
      </c>
      <c r="C44" t="str">
        <f t="shared" si="4"/>
        <v>M_092.xlsx</v>
      </c>
      <c r="E44" t="str">
        <f>'[30]Template '!$C$2</f>
        <v>D only</v>
      </c>
      <c r="G44">
        <f>'[30]Template '!$C$29</f>
        <v>0.1111111111111111</v>
      </c>
      <c r="H44" t="str">
        <f>'[30]Template '!$C$30</f>
        <v>n/a</v>
      </c>
      <c r="I44">
        <f>'[30]Template '!$C$31</f>
        <v>0.58333333333333326</v>
      </c>
      <c r="J44">
        <f>'[30]Template '!$C$32</f>
        <v>0.69117647058823528</v>
      </c>
      <c r="K44">
        <f>'[30]Template '!$C$33</f>
        <v>0.92063492063492058</v>
      </c>
      <c r="M44">
        <f>'[30]Template '!$C$80</f>
        <v>1200</v>
      </c>
      <c r="N44">
        <f>'[30]Template '!$C$81</f>
        <v>40</v>
      </c>
      <c r="O44">
        <f>'[30]Template '!$C$82</f>
        <v>4</v>
      </c>
      <c r="P44">
        <f>'[30]Template '!$C$83</f>
        <v>2</v>
      </c>
      <c r="Q44">
        <f>'[30]Template '!$C$84</f>
        <v>3</v>
      </c>
      <c r="R44">
        <f>'[30]Template '!$C$85</f>
        <v>2</v>
      </c>
      <c r="T44">
        <f>'[30]Template '!$C$74</f>
        <v>0.29090909090909089</v>
      </c>
      <c r="U44" t="str">
        <f>'[30]Template '!$C$75</f>
        <v>n/a</v>
      </c>
      <c r="V44">
        <f>'[30]Template '!$C$76</f>
        <v>0.4642857142857143</v>
      </c>
      <c r="W44">
        <f>'[30]Template '!$C$77</f>
        <v>0.47619047619047616</v>
      </c>
      <c r="X44">
        <f>'[30]Template '!$C$78</f>
        <v>0.71825396825396826</v>
      </c>
      <c r="Z44">
        <f>'[30]Template '!$C$80</f>
        <v>1200</v>
      </c>
      <c r="AA44">
        <f>'[30]Template '!$C$81</f>
        <v>40</v>
      </c>
      <c r="AB44">
        <f>'[30]Template '!$C$82</f>
        <v>4</v>
      </c>
      <c r="AC44">
        <f>'[30]Template '!$C$83</f>
        <v>2</v>
      </c>
      <c r="AD44">
        <f>'[30]Template '!$C$84</f>
        <v>3</v>
      </c>
      <c r="AE44">
        <f>'[30]Template '!$C$85</f>
        <v>2</v>
      </c>
      <c r="AG44">
        <f>'[30]Template '!$C$96</f>
        <v>0.60416666666666663</v>
      </c>
      <c r="AH44">
        <f>'[30]Template '!$C$97</f>
        <v>0.2074074074074074</v>
      </c>
      <c r="AI44">
        <f>'[30]Template '!$C$98</f>
        <v>0.5</v>
      </c>
      <c r="AJ44">
        <f>'[30]Template '!$C$99</f>
        <v>0.55339105339105332</v>
      </c>
      <c r="AK44">
        <f>'[30]Template '!$C$100</f>
        <v>0.84126984126984128</v>
      </c>
      <c r="AM44">
        <f>'[30]Template '!$C$102</f>
        <v>871</v>
      </c>
      <c r="AN44">
        <f>'[30]Template '!$C$103</f>
        <v>65</v>
      </c>
      <c r="AO44">
        <f>'[30]Template '!$C$104</f>
        <v>3</v>
      </c>
      <c r="AP44">
        <f>'[30]Template '!$C$105</f>
        <v>3</v>
      </c>
      <c r="AQ44">
        <f>'[30]Template '!$C$106</f>
        <v>3</v>
      </c>
      <c r="AR44">
        <f>'[30]Template '!$C$107</f>
        <v>3</v>
      </c>
      <c r="AT44">
        <f>'[30]Template '!$C$52</f>
        <v>0.58333333333333326</v>
      </c>
      <c r="AU44">
        <f>'[30]Template '!$C$53</f>
        <v>0.2074074074074074</v>
      </c>
      <c r="AV44">
        <f>'[30]Template '!$C$54</f>
        <v>0.5</v>
      </c>
      <c r="AW44">
        <f>'[30]Template '!$C$55</f>
        <v>0.5714285714285714</v>
      </c>
      <c r="AX44">
        <f>'[30]Template '!$C$56</f>
        <v>0.97619047619047616</v>
      </c>
      <c r="AZ44">
        <f>'[30]Template '!$C$58</f>
        <v>858</v>
      </c>
      <c r="BA44">
        <f>'[30]Template '!$C$59</f>
        <v>90</v>
      </c>
      <c r="BB44">
        <f>'[30]Template '!$C$60</f>
        <v>3</v>
      </c>
      <c r="BC44">
        <f>'[30]Template '!$C$61</f>
        <v>3</v>
      </c>
      <c r="BD44">
        <f>'[30]Template '!$C$62</f>
        <v>4</v>
      </c>
      <c r="BE44">
        <f>'[30]Template '!$C$63</f>
        <v>4</v>
      </c>
      <c r="BG44">
        <f>'[30]Template '!$B$29</f>
        <v>0.1111111111111111</v>
      </c>
      <c r="BH44" t="str">
        <f>'[30]Template '!$B$30</f>
        <v>n/a</v>
      </c>
      <c r="BI44">
        <f>'[30]Template '!$B$31</f>
        <v>0.58333333333333326</v>
      </c>
      <c r="BJ44">
        <f>'[30]Template '!$B$32</f>
        <v>0.625</v>
      </c>
      <c r="BK44">
        <f>'[30]Template '!$B$33</f>
        <v>0.92063492063492058</v>
      </c>
      <c r="BM44">
        <f>'[30]Template '!$B$52</f>
        <v>0.58333333333333326</v>
      </c>
      <c r="BN44">
        <f>'[30]Template '!$B$53</f>
        <v>0.2074074074074074</v>
      </c>
      <c r="BO44">
        <f>'[30]Template '!$B$54</f>
        <v>0.5</v>
      </c>
      <c r="BP44">
        <f>'[30]Template '!$B$55</f>
        <v>0.68518518518518512</v>
      </c>
      <c r="BQ44">
        <f>'[30]Template '!$B$56</f>
        <v>0.97619047619047616</v>
      </c>
      <c r="BS44">
        <f>'[30]Template '!$B$74</f>
        <v>0.29090909090909089</v>
      </c>
      <c r="BT44" t="str">
        <f>'[30]Template '!$B$75</f>
        <v>n/a</v>
      </c>
      <c r="BU44">
        <f>'[30]Template '!$B$76</f>
        <v>0.4642857142857143</v>
      </c>
      <c r="BV44">
        <f>'[30]Template '!$B$77</f>
        <v>0.45833333333333331</v>
      </c>
      <c r="BW44">
        <f>'[30]Template '!$B$78</f>
        <v>0.71825396825396826</v>
      </c>
      <c r="BY44">
        <f>'[30]Template '!$B$96</f>
        <v>0.60416666666666663</v>
      </c>
      <c r="BZ44">
        <f>'[30]Template '!$B$97</f>
        <v>0.2074074074074074</v>
      </c>
      <c r="CA44">
        <f>'[30]Template '!$B$98</f>
        <v>0.5</v>
      </c>
      <c r="CB44">
        <f>'[30]Template '!$B$99</f>
        <v>0.80555555555555547</v>
      </c>
      <c r="CC44">
        <f>'[30]Template '!$B$100</f>
        <v>0.84126984126984128</v>
      </c>
      <c r="CF44">
        <f>'[30]Template '!$Z$30</f>
        <v>1</v>
      </c>
      <c r="CG44">
        <f>'[30]Template '!$AB$75</f>
        <v>0</v>
      </c>
      <c r="CH44">
        <f>'[30]Template '!$C$89</f>
        <v>0</v>
      </c>
      <c r="CI44">
        <f>'[30]Template '!$AF$75</f>
        <v>0</v>
      </c>
      <c r="CJ44">
        <f>'[30]Template '!$AR$97</f>
        <v>0</v>
      </c>
      <c r="CK44">
        <f>'[30]Template '!$AS$97</f>
        <v>1</v>
      </c>
      <c r="CL44">
        <f>'[30]Template '!$AZ$97</f>
        <v>1</v>
      </c>
      <c r="CM44">
        <f>'[30]Template '!$BB$97</f>
        <v>1</v>
      </c>
      <c r="CN44">
        <f>'[30]Template '!$AU$53</f>
        <v>1</v>
      </c>
      <c r="CO44">
        <f>'[30]Template '!$AV$53</f>
        <v>1</v>
      </c>
      <c r="CP44">
        <f>'[30]Template '!$AY$53</f>
        <v>0</v>
      </c>
      <c r="CQ44">
        <f>'[30]Template '!$AX$53</f>
        <v>1</v>
      </c>
      <c r="CR44">
        <f>'[30]Template '!$AZ$53</f>
        <v>0</v>
      </c>
      <c r="CS44">
        <f>'[30]Template '!$BF$53</f>
        <v>1</v>
      </c>
      <c r="CT44">
        <f t="shared" si="5"/>
        <v>1</v>
      </c>
      <c r="CU44">
        <f t="shared" si="6"/>
        <v>7</v>
      </c>
      <c r="CV44">
        <f t="shared" si="7"/>
        <v>8</v>
      </c>
      <c r="CY44" t="str">
        <f>'[30]Template '!$E$2</f>
        <v>B</v>
      </c>
      <c r="CZ44">
        <f>'[30]Template '!$B$13</f>
        <v>1</v>
      </c>
      <c r="DA44">
        <f>'[30]Template '!$D$2</f>
        <v>3</v>
      </c>
      <c r="DB44">
        <f>'[30]Template '!$D$3</f>
        <v>45104</v>
      </c>
      <c r="DC44">
        <f>'[30]Template '!$F$2</f>
        <v>45237</v>
      </c>
      <c r="DE44">
        <f>'[30]Template '!$B$12</f>
        <v>19</v>
      </c>
      <c r="DF44" t="str">
        <f>'[30]Template '!$B$14</f>
        <v>10/21</v>
      </c>
      <c r="DG44" t="str">
        <f>'[30]Template '!$B$15</f>
        <v>3/22</v>
      </c>
      <c r="DH44">
        <f>'[30]Template '!$B$16</f>
        <v>12</v>
      </c>
      <c r="DI44">
        <f>'[30]Template '!$B$17</f>
        <v>0</v>
      </c>
      <c r="DJ44">
        <f>'[30]Template '!$B$18</f>
        <v>0</v>
      </c>
      <c r="DK44">
        <f>'[30]Template '!$B$19</f>
        <v>0</v>
      </c>
      <c r="DL44">
        <f>'[30]Template '!$B$20</f>
        <v>0</v>
      </c>
      <c r="DM44">
        <f>'[30]Template '!$B$21</f>
        <v>0</v>
      </c>
      <c r="DN44">
        <f>'[30]Template '!$B$22</f>
        <v>0</v>
      </c>
      <c r="DP44">
        <f>'[30]Template '!$I$13</f>
        <v>4</v>
      </c>
      <c r="DQ44">
        <f>'[30]Template '!$I$14</f>
        <v>4</v>
      </c>
      <c r="DR44">
        <f>'[30]Template '!$I$15</f>
        <v>4</v>
      </c>
      <c r="DS44">
        <f>'[30]Template '!$I$16</f>
        <v>3</v>
      </c>
      <c r="DT44">
        <f>'[30]Template '!$I$17</f>
        <v>4</v>
      </c>
      <c r="DU44">
        <f>'[30]Template '!$I$18</f>
        <v>3</v>
      </c>
      <c r="DV44">
        <f>'[30]Template '!$I$19</f>
        <v>5</v>
      </c>
      <c r="DW44">
        <f>'[30]Template '!$I$20</f>
        <v>3</v>
      </c>
      <c r="DX44">
        <f>'[30]Template '!$I$21</f>
        <v>3</v>
      </c>
      <c r="DY44">
        <f>'[30]Template '!$I$22</f>
        <v>3</v>
      </c>
      <c r="DZ44">
        <f>'[30]Template '!$I$23</f>
        <v>5</v>
      </c>
      <c r="EA44">
        <f>'[30]Template '!$I$24</f>
        <v>0</v>
      </c>
      <c r="ED44">
        <f>'[30]Template '!$L$13</f>
        <v>3</v>
      </c>
      <c r="EE44">
        <f>'[30]Template '!$L$14</f>
        <v>4</v>
      </c>
      <c r="EF44">
        <f>'[30]Template '!$L$15</f>
        <v>4</v>
      </c>
      <c r="EG44">
        <f>'[30]Template '!$L$16</f>
        <v>2</v>
      </c>
      <c r="EH44">
        <f>'[30]Template '!$L$17</f>
        <v>3</v>
      </c>
      <c r="EI44">
        <f>'[30]Template '!$L$18</f>
        <v>3</v>
      </c>
      <c r="EJ44">
        <f>'[30]Template '!$L$19</f>
        <v>5</v>
      </c>
      <c r="EK44">
        <f>'[30]Template '!$L$20</f>
        <v>3</v>
      </c>
      <c r="EL44">
        <f>'[30]Template '!$L$21</f>
        <v>2</v>
      </c>
      <c r="EM44">
        <f>'[30]Template '!$L$22</f>
        <v>4</v>
      </c>
      <c r="EN44">
        <f>'[30]Template '!$L$23</f>
        <v>5</v>
      </c>
      <c r="EQ44">
        <f>'[30]Template '!$O$13</f>
        <v>4</v>
      </c>
      <c r="ER44">
        <f>'[30]Template '!$O$14</f>
        <v>2</v>
      </c>
      <c r="ES44">
        <f>'[30]Template '!$O$15</f>
        <v>2</v>
      </c>
      <c r="ET44">
        <f>'[30]Template '!$O$16</f>
        <v>2</v>
      </c>
      <c r="EU44">
        <f>'[30]Template '!$O$17</f>
        <v>5</v>
      </c>
      <c r="EV44">
        <f>'[30]Template '!$O$18</f>
        <v>3</v>
      </c>
      <c r="EW44">
        <f>'[30]Template '!$O$19</f>
        <v>1</v>
      </c>
      <c r="EX44">
        <f>'[30]Template '!$O$20</f>
        <v>2</v>
      </c>
      <c r="EY44">
        <f>'[30]Template '!$O$21</f>
        <v>2</v>
      </c>
      <c r="EZ44">
        <f>'[30]Template '!$O$22</f>
        <v>3</v>
      </c>
      <c r="FA44">
        <f>'[30]Template '!$O$23</f>
        <v>3</v>
      </c>
      <c r="FL44">
        <f>'[30]Template '!$D$5</f>
        <v>0.56001984126984128</v>
      </c>
      <c r="FM44">
        <f>'[30]Template '!$D$6</f>
        <v>0.48294552669552671</v>
      </c>
      <c r="FN44">
        <f>'[30]Template '!$D$7</f>
        <v>0.59042328042328041</v>
      </c>
      <c r="FO44">
        <f>'[30]Template '!$D$8</f>
        <v>0.59167989417989419</v>
      </c>
      <c r="FP44">
        <f>'[30]Template '!$D$9</f>
        <v>0.5562671356421357</v>
      </c>
      <c r="FR44">
        <f>'[30]Template '!$E$5</f>
        <v>0.57656395891690004</v>
      </c>
      <c r="FS44">
        <f>'[30]Template '!$E$6</f>
        <v>0.4874098124098124</v>
      </c>
      <c r="FT44">
        <f>'[30]Template '!$E$7</f>
        <v>0.56767195767195766</v>
      </c>
      <c r="FU44">
        <f>'[30]Template '!$E$8</f>
        <v>0.5412469937469937</v>
      </c>
      <c r="FV44">
        <f>'[30]Template '!$E$9</f>
        <v>0.54322318068641595</v>
      </c>
    </row>
    <row r="45" spans="1:178" x14ac:dyDescent="0.2">
      <c r="A45" t="str">
        <f>'[27]Template '!$A$2</f>
        <v>M_089</v>
      </c>
      <c r="C45" t="str">
        <f t="shared" si="4"/>
        <v>M_089.xlsx</v>
      </c>
      <c r="E45" t="str">
        <f>'[27]Template '!$C$2</f>
        <v>D only</v>
      </c>
      <c r="G45">
        <f>'[27]Template '!$C$29</f>
        <v>0.1111111111111111</v>
      </c>
      <c r="H45" t="str">
        <f>'[27]Template '!$C$30</f>
        <v>n/a</v>
      </c>
      <c r="I45">
        <f>'[27]Template '!$C$31</f>
        <v>0.58333333333333326</v>
      </c>
      <c r="J45">
        <f>'[27]Template '!$C$32</f>
        <v>0.54411764705882359</v>
      </c>
      <c r="K45">
        <f>'[27]Template '!$C$33</f>
        <v>0.7142857142857143</v>
      </c>
      <c r="M45" t="str">
        <f>'[27]Template '!$C$80</f>
        <v>n/a</v>
      </c>
      <c r="N45">
        <f>'[27]Template '!$C$81</f>
        <v>20</v>
      </c>
      <c r="O45">
        <f>'[27]Template '!$C$82</f>
        <v>4</v>
      </c>
      <c r="P45">
        <f>'[27]Template '!$C$83</f>
        <v>2</v>
      </c>
      <c r="Q45">
        <f>'[27]Template '!$C$84</f>
        <v>2</v>
      </c>
      <c r="R45">
        <f>'[27]Template '!$C$85</f>
        <v>2</v>
      </c>
      <c r="T45">
        <f>'[27]Template '!$C$74</f>
        <v>0.24545454545454548</v>
      </c>
      <c r="U45" t="str">
        <f>'[27]Template '!$C$75</f>
        <v>n/a</v>
      </c>
      <c r="V45">
        <f>'[27]Template '!$C$76</f>
        <v>0.6071428571428571</v>
      </c>
      <c r="W45">
        <f>'[27]Template '!$C$77</f>
        <v>0.47619047619047616</v>
      </c>
      <c r="X45">
        <f>'[27]Template '!$C$78</f>
        <v>0.76190476190476186</v>
      </c>
      <c r="Z45" t="str">
        <f>'[27]Template '!$C$80</f>
        <v>n/a</v>
      </c>
      <c r="AA45">
        <f>'[27]Template '!$C$81</f>
        <v>20</v>
      </c>
      <c r="AB45">
        <f>'[27]Template '!$C$82</f>
        <v>4</v>
      </c>
      <c r="AC45">
        <f>'[27]Template '!$C$83</f>
        <v>2</v>
      </c>
      <c r="AD45">
        <f>'[27]Template '!$C$84</f>
        <v>2</v>
      </c>
      <c r="AE45">
        <f>'[27]Template '!$C$85</f>
        <v>2</v>
      </c>
      <c r="AG45">
        <f>'[27]Template '!$C$96</f>
        <v>0.8</v>
      </c>
      <c r="AH45">
        <f>'[27]Template '!$C$97</f>
        <v>0.50370370370370376</v>
      </c>
      <c r="AI45">
        <f>'[27]Template '!$C$98</f>
        <v>0.5</v>
      </c>
      <c r="AJ45">
        <f>'[27]Template '!$C$99</f>
        <v>0.60101010101010088</v>
      </c>
      <c r="AK45">
        <f>'[27]Template '!$C$100</f>
        <v>0.89761904761904765</v>
      </c>
      <c r="AM45" t="str">
        <f>'[27]Template '!$C$102</f>
        <v>n/a</v>
      </c>
      <c r="AN45">
        <f>'[27]Template '!$C$103</f>
        <v>80</v>
      </c>
      <c r="AO45">
        <f>'[27]Template '!$C$104</f>
        <v>2</v>
      </c>
      <c r="AP45">
        <f>'[27]Template '!$C$105</f>
        <v>3</v>
      </c>
      <c r="AQ45">
        <f>'[27]Template '!$C$106</f>
        <v>3</v>
      </c>
      <c r="AR45">
        <f>'[27]Template '!$C$107</f>
        <v>4</v>
      </c>
      <c r="AT45">
        <f>'[27]Template '!$C$52</f>
        <v>0.40952380952380951</v>
      </c>
      <c r="AU45">
        <f>'[27]Template '!$C$53</f>
        <v>0.50370370370370376</v>
      </c>
      <c r="AV45">
        <f>'[27]Template '!$C$54</f>
        <v>0.5</v>
      </c>
      <c r="AW45">
        <f>'[27]Template '!$C$55</f>
        <v>0.3125</v>
      </c>
      <c r="AX45">
        <f>'[27]Template '!$C$56</f>
        <v>0.8738095238095237</v>
      </c>
      <c r="AZ45" t="str">
        <f>'[27]Template '!$C$58</f>
        <v>n/a</v>
      </c>
      <c r="BA45">
        <f>'[27]Template '!$C$59</f>
        <v>30</v>
      </c>
      <c r="BB45">
        <f>'[27]Template '!$C$60</f>
        <v>2</v>
      </c>
      <c r="BC45">
        <f>'[27]Template '!$C$61</f>
        <v>2</v>
      </c>
      <c r="BD45">
        <f>'[27]Template '!$C$62</f>
        <v>3</v>
      </c>
      <c r="BE45">
        <f>'[27]Template '!$C$63</f>
        <v>2</v>
      </c>
      <c r="BG45">
        <f>'[27]Template '!$B$29</f>
        <v>0.1111111111111111</v>
      </c>
      <c r="BH45" t="str">
        <f>'[27]Template '!$B$30</f>
        <v>n/a</v>
      </c>
      <c r="BI45">
        <f>'[27]Template '!$B$31</f>
        <v>0.58333333333333326</v>
      </c>
      <c r="BJ45">
        <f>'[27]Template '!$B$32</f>
        <v>0.5625</v>
      </c>
      <c r="BK45">
        <f>'[27]Template '!$B$33</f>
        <v>0.7142857142857143</v>
      </c>
      <c r="BM45">
        <f>'[27]Template '!$B$52</f>
        <v>0.26666666666666672</v>
      </c>
      <c r="BN45">
        <f>'[27]Template '!$B$53</f>
        <v>0.50370370370370376</v>
      </c>
      <c r="BO45">
        <f>'[27]Template '!$B$54</f>
        <v>0.5</v>
      </c>
      <c r="BP45">
        <f>'[27]Template '!$B$55</f>
        <v>0.3611111111111111</v>
      </c>
      <c r="BQ45">
        <f>'[27]Template '!$B$56</f>
        <v>0.8738095238095237</v>
      </c>
      <c r="BS45">
        <f>'[27]Template '!$B$74</f>
        <v>0.24545454545454548</v>
      </c>
      <c r="BT45" t="str">
        <f>'[27]Template '!$B$75</f>
        <v>n/a</v>
      </c>
      <c r="BU45">
        <f>'[27]Template '!$B$76</f>
        <v>0.6071428571428571</v>
      </c>
      <c r="BV45">
        <f>'[27]Template '!$B$77</f>
        <v>0.45833333333333331</v>
      </c>
      <c r="BW45">
        <f>'[27]Template '!$B$78</f>
        <v>0.76190476190476186</v>
      </c>
      <c r="BY45">
        <f>'[27]Template '!$B$96</f>
        <v>0.8</v>
      </c>
      <c r="BZ45">
        <f>'[27]Template '!$B$97</f>
        <v>0.50370370370370376</v>
      </c>
      <c r="CA45">
        <f>'[27]Template '!$B$98</f>
        <v>0.5</v>
      </c>
      <c r="CB45">
        <f>'[27]Template '!$B$99</f>
        <v>0.80555555555555547</v>
      </c>
      <c r="CC45">
        <f>'[27]Template '!$B$100</f>
        <v>0.89761904761904765</v>
      </c>
      <c r="CF45">
        <f>'[27]Template '!$Z$30</f>
        <v>0</v>
      </c>
      <c r="CG45">
        <f>'[27]Template '!$AB$75</f>
        <v>0</v>
      </c>
      <c r="CH45">
        <f>'[27]Template '!$C$89</f>
        <v>0</v>
      </c>
      <c r="CI45">
        <f>'[27]Template '!$AF$75</f>
        <v>0</v>
      </c>
      <c r="CJ45">
        <f>'[27]Template '!$AR$97</f>
        <v>1</v>
      </c>
      <c r="CK45">
        <f>'[27]Template '!$AS$97</f>
        <v>1</v>
      </c>
      <c r="CL45">
        <f>'[27]Template '!$AZ$97</f>
        <v>1</v>
      </c>
      <c r="CM45">
        <f>'[27]Template '!$BB$97</f>
        <v>1</v>
      </c>
      <c r="CN45">
        <f>'[27]Template '!$AU$53</f>
        <v>1</v>
      </c>
      <c r="CO45">
        <f>'[27]Template '!$AV$53</f>
        <v>0</v>
      </c>
      <c r="CP45">
        <f>'[27]Template '!$AY$53</f>
        <v>0</v>
      </c>
      <c r="CQ45">
        <f>'[27]Template '!$AX$53</f>
        <v>0</v>
      </c>
      <c r="CR45">
        <f>'[27]Template '!$AZ$53</f>
        <v>0</v>
      </c>
      <c r="CS45">
        <f>'[27]Template '!$BF$53</f>
        <v>0</v>
      </c>
      <c r="CT45">
        <f t="shared" si="5"/>
        <v>0</v>
      </c>
      <c r="CU45">
        <f t="shared" si="6"/>
        <v>5</v>
      </c>
      <c r="CV45">
        <f t="shared" si="7"/>
        <v>5</v>
      </c>
      <c r="CY45" t="str">
        <f>'[27]Template '!$E$2</f>
        <v>A</v>
      </c>
      <c r="CZ45">
        <f>'[27]Template '!$B$13</f>
        <v>1</v>
      </c>
      <c r="DA45">
        <f>'[27]Template '!$D$2</f>
        <v>3</v>
      </c>
      <c r="DB45">
        <f>'[27]Template '!$D$3</f>
        <v>45104</v>
      </c>
      <c r="DC45">
        <f>'[27]Template '!$F$2</f>
        <v>45247</v>
      </c>
      <c r="DE45">
        <f>'[27]Template '!$B$12</f>
        <v>27</v>
      </c>
      <c r="DF45" t="str">
        <f>'[27]Template '!$B$14</f>
        <v>2/16</v>
      </c>
      <c r="DG45" t="str">
        <f>'[27]Template '!$B$15</f>
        <v>7/16</v>
      </c>
      <c r="DH45">
        <f>'[27]Template '!$B$16</f>
        <v>84</v>
      </c>
      <c r="DI45">
        <f>'[27]Template '!$B$17</f>
        <v>0</v>
      </c>
      <c r="DJ45">
        <f>'[27]Template '!$B$18</f>
        <v>0</v>
      </c>
      <c r="DK45">
        <f>'[27]Template '!$B$19</f>
        <v>1</v>
      </c>
      <c r="DL45">
        <f>'[27]Template '!$B$20</f>
        <v>1</v>
      </c>
      <c r="DM45">
        <f>'[27]Template '!$B$21</f>
        <v>0</v>
      </c>
      <c r="DN45">
        <f>'[27]Template '!$B$22</f>
        <v>0</v>
      </c>
      <c r="DP45">
        <f>'[27]Template '!$I$13</f>
        <v>5</v>
      </c>
      <c r="DQ45">
        <f>'[27]Template '!$I$14</f>
        <v>4</v>
      </c>
      <c r="DR45">
        <f>'[27]Template '!$I$15</f>
        <v>4</v>
      </c>
      <c r="DS45">
        <f>'[27]Template '!$I$16</f>
        <v>4</v>
      </c>
      <c r="DT45">
        <f>'[27]Template '!$I$17</f>
        <v>5</v>
      </c>
      <c r="DU45">
        <f>'[27]Template '!$I$18</f>
        <v>5</v>
      </c>
      <c r="DV45">
        <f>'[27]Template '!$I$19</f>
        <v>5</v>
      </c>
      <c r="DW45">
        <f>'[27]Template '!$I$20</f>
        <v>4</v>
      </c>
      <c r="DX45">
        <f>'[27]Template '!$I$21</f>
        <v>4</v>
      </c>
      <c r="DY45">
        <f>'[27]Template '!$I$22</f>
        <v>4</v>
      </c>
      <c r="DZ45">
        <f>'[27]Template '!$I$23</f>
        <v>5</v>
      </c>
      <c r="EA45">
        <f>'[27]Template '!$I$24</f>
        <v>2</v>
      </c>
      <c r="ED45">
        <f>'[27]Template '!$L$13</f>
        <v>4</v>
      </c>
      <c r="EE45">
        <f>'[27]Template '!$L$14</f>
        <v>4</v>
      </c>
      <c r="EF45">
        <f>'[27]Template '!$L$15</f>
        <v>4</v>
      </c>
      <c r="EG45">
        <f>'[27]Template '!$L$16</f>
        <v>3</v>
      </c>
      <c r="EH45">
        <f>'[27]Template '!$L$17</f>
        <v>4</v>
      </c>
      <c r="EI45">
        <f>'[27]Template '!$L$18</f>
        <v>3</v>
      </c>
      <c r="EJ45">
        <f>'[27]Template '!$L$19</f>
        <v>5</v>
      </c>
      <c r="EK45">
        <f>'[27]Template '!$L$20</f>
        <v>3</v>
      </c>
      <c r="EL45">
        <f>'[27]Template '!$L$21</f>
        <v>3</v>
      </c>
      <c r="EM45">
        <f>'[27]Template '!$L$22</f>
        <v>4</v>
      </c>
      <c r="EN45">
        <f>'[27]Template '!$L$23</f>
        <v>5</v>
      </c>
      <c r="EQ45">
        <f>'[27]Template '!$O$13</f>
        <v>5</v>
      </c>
      <c r="ER45">
        <f>'[27]Template '!$O$14</f>
        <v>4</v>
      </c>
      <c r="ES45">
        <f>'[27]Template '!$O$15</f>
        <v>3</v>
      </c>
      <c r="ET45">
        <f>'[27]Template '!$O$16</f>
        <v>3</v>
      </c>
      <c r="EU45">
        <f>'[27]Template '!$O$17</f>
        <v>5</v>
      </c>
      <c r="EV45">
        <f>'[27]Template '!$O$18</f>
        <v>3</v>
      </c>
      <c r="EW45">
        <f>'[27]Template '!$O$19</f>
        <v>1</v>
      </c>
      <c r="EX45">
        <f>'[27]Template '!$O$20</f>
        <v>3</v>
      </c>
      <c r="EY45">
        <f>'[27]Template '!$O$21</f>
        <v>3</v>
      </c>
      <c r="EZ45">
        <f>'[27]Template '!$O$22</f>
        <v>3</v>
      </c>
      <c r="FA45">
        <f>'[27]Template '!$O$23</f>
        <v>3</v>
      </c>
      <c r="FL45">
        <f>'[27]Template '!$D$5</f>
        <v>0.49280753968253965</v>
      </c>
      <c r="FM45">
        <f>'[27]Template '!$D$6</f>
        <v>0.51820887445887442</v>
      </c>
      <c r="FN45">
        <f>'[27]Template '!$D$7</f>
        <v>0.50105820105820109</v>
      </c>
      <c r="FO45">
        <f>'[27]Template '!$D$8</f>
        <v>0.70137566137566132</v>
      </c>
      <c r="FP45">
        <f>'[27]Template '!$D$9</f>
        <v>0.55336256914381921</v>
      </c>
      <c r="FR45">
        <f>'[27]Template '!$E$5</f>
        <v>0.48821195144724561</v>
      </c>
      <c r="FS45">
        <f>'[27]Template '!$E$6</f>
        <v>0.52267316017316012</v>
      </c>
      <c r="FT45">
        <f>'[27]Template '!$E$7</f>
        <v>0.51990740740740748</v>
      </c>
      <c r="FU45">
        <f>'[27]Template '!$E$8</f>
        <v>0.66046657046657042</v>
      </c>
      <c r="FV45">
        <f>'[27]Template '!$E$9</f>
        <v>0.54781477237359599</v>
      </c>
    </row>
    <row r="46" spans="1:178" x14ac:dyDescent="0.2">
      <c r="A46" t="str">
        <f>'[41]Template '!$A$2</f>
        <v>M_087</v>
      </c>
      <c r="C46" t="str">
        <f t="shared" si="4"/>
        <v>M_087.xlsx</v>
      </c>
      <c r="E46" t="str">
        <f>'[41]Template '!$C$2</f>
        <v>D only</v>
      </c>
      <c r="G46">
        <f>'[41]Template '!$C$29</f>
        <v>0.1111111111111111</v>
      </c>
      <c r="H46" t="str">
        <f>'[41]Template '!$C$30</f>
        <v>n/a</v>
      </c>
      <c r="I46">
        <f>'[41]Template '!$C$31</f>
        <v>0.58333333333333326</v>
      </c>
      <c r="J46">
        <f>'[41]Template '!$C$32</f>
        <v>0.66911764705882359</v>
      </c>
      <c r="K46">
        <f>'[41]Template '!$C$33</f>
        <v>0.42857142857142855</v>
      </c>
      <c r="M46">
        <f>'[41]Template '!$C$80</f>
        <v>944</v>
      </c>
      <c r="N46">
        <f>'[41]Template '!$C$81</f>
        <v>25</v>
      </c>
      <c r="O46">
        <f>'[41]Template '!$C$82</f>
        <v>2</v>
      </c>
      <c r="P46">
        <f>'[41]Template '!$C$83</f>
        <v>2</v>
      </c>
      <c r="Q46">
        <f>'[41]Template '!$C$84</f>
        <v>2</v>
      </c>
      <c r="R46">
        <f>'[41]Template '!$C$85</f>
        <v>1</v>
      </c>
      <c r="T46">
        <f>'[41]Template '!$C$74</f>
        <v>0.56363636363636371</v>
      </c>
      <c r="U46" t="str">
        <f>'[41]Template '!$C$75</f>
        <v>n/a</v>
      </c>
      <c r="V46">
        <f>'[41]Template '!$C$76</f>
        <v>0.4642857142857143</v>
      </c>
      <c r="W46">
        <f>'[41]Template '!$C$77</f>
        <v>0.3571428571428571</v>
      </c>
      <c r="X46">
        <f>'[41]Template '!$C$78</f>
        <v>0.35714285714285715</v>
      </c>
      <c r="Z46">
        <f>'[41]Template '!$C$80</f>
        <v>944</v>
      </c>
      <c r="AA46">
        <f>'[41]Template '!$C$81</f>
        <v>25</v>
      </c>
      <c r="AB46">
        <f>'[41]Template '!$C$82</f>
        <v>2</v>
      </c>
      <c r="AC46">
        <f>'[41]Template '!$C$83</f>
        <v>2</v>
      </c>
      <c r="AD46">
        <f>'[41]Template '!$C$84</f>
        <v>2</v>
      </c>
      <c r="AE46">
        <f>'[41]Template '!$C$85</f>
        <v>1</v>
      </c>
      <c r="AG46">
        <f>'[41]Template '!$C$96</f>
        <v>0.2583333333333333</v>
      </c>
      <c r="AH46">
        <f>'[41]Template '!$C$97</f>
        <v>0.54074074074074074</v>
      </c>
      <c r="AI46">
        <f>'[41]Template '!$C$98</f>
        <v>0.5</v>
      </c>
      <c r="AJ46">
        <f>'[41]Template '!$C$99</f>
        <v>0.37806637806637805</v>
      </c>
      <c r="AK46">
        <f>'[41]Template '!$C$100</f>
        <v>0.3436507936507936</v>
      </c>
      <c r="AM46">
        <f>'[41]Template '!$C$102</f>
        <v>646</v>
      </c>
      <c r="AN46">
        <f>'[41]Template '!$C$103</f>
        <v>30</v>
      </c>
      <c r="AO46">
        <f>'[41]Template '!$C$104</f>
        <v>4</v>
      </c>
      <c r="AP46">
        <f>'[41]Template '!$C$105</f>
        <v>2</v>
      </c>
      <c r="AQ46">
        <f>'[41]Template '!$C$106</f>
        <v>3</v>
      </c>
      <c r="AR46">
        <f>'[41]Template '!$C$107</f>
        <v>2</v>
      </c>
      <c r="AT46">
        <f>'[41]Template '!$C$52</f>
        <v>0.61507936507936511</v>
      </c>
      <c r="AU46">
        <f>'[41]Template '!$C$53</f>
        <v>0.54074074074074074</v>
      </c>
      <c r="AV46">
        <f>'[41]Template '!$C$54</f>
        <v>0.5</v>
      </c>
      <c r="AW46">
        <f>'[41]Template '!$C$55</f>
        <v>0.41369047619047622</v>
      </c>
      <c r="AX46">
        <f>'[41]Template '!$C$56</f>
        <v>0.81904761904761914</v>
      </c>
      <c r="AZ46">
        <f>'[41]Template '!$C$58</f>
        <v>598</v>
      </c>
      <c r="BA46">
        <f>'[41]Template '!$C$59</f>
        <v>60</v>
      </c>
      <c r="BB46">
        <f>'[41]Template '!$C$60</f>
        <v>4</v>
      </c>
      <c r="BC46">
        <f>'[41]Template '!$C$61</f>
        <v>3</v>
      </c>
      <c r="BD46">
        <f>'[41]Template '!$C$62</f>
        <v>4</v>
      </c>
      <c r="BE46">
        <f>'[41]Template '!$C$63</f>
        <v>3</v>
      </c>
      <c r="BG46">
        <f>'[41]Template '!$B$29</f>
        <v>0.1111111111111111</v>
      </c>
      <c r="BH46" t="str">
        <f>'[41]Template '!$B$30</f>
        <v>n/a</v>
      </c>
      <c r="BI46">
        <f>'[41]Template '!$B$31</f>
        <v>0.58333333333333326</v>
      </c>
      <c r="BJ46">
        <f>'[41]Template '!$B$32</f>
        <v>0.6875</v>
      </c>
      <c r="BK46">
        <f>'[41]Template '!$B$33</f>
        <v>0.42857142857142855</v>
      </c>
      <c r="BM46">
        <f>'[41]Template '!$B$52</f>
        <v>0.63888888888888884</v>
      </c>
      <c r="BN46">
        <f>'[41]Template '!$B$53</f>
        <v>0.54074074074074074</v>
      </c>
      <c r="BO46">
        <f>'[41]Template '!$B$54</f>
        <v>0.5</v>
      </c>
      <c r="BP46">
        <f>'[41]Template '!$B$55</f>
        <v>0.62037037037037035</v>
      </c>
      <c r="BQ46">
        <f>'[41]Template '!$B$56</f>
        <v>0.81904761904761914</v>
      </c>
      <c r="BS46">
        <f>'[41]Template '!$B$74</f>
        <v>0.56363636363636371</v>
      </c>
      <c r="BT46" t="str">
        <f>'[41]Template '!$B$75</f>
        <v>n/a</v>
      </c>
      <c r="BU46">
        <f>'[41]Template '!$B$76</f>
        <v>0.4642857142857143</v>
      </c>
      <c r="BV46">
        <f>'[41]Template '!$B$77</f>
        <v>0.45833333333333331</v>
      </c>
      <c r="BW46">
        <f>'[41]Template '!$B$78</f>
        <v>0.35714285714285715</v>
      </c>
      <c r="BY46">
        <f>'[41]Template '!$B$96</f>
        <v>0.2583333333333333</v>
      </c>
      <c r="BZ46">
        <f>'[41]Template '!$B$97</f>
        <v>0.54074074074074074</v>
      </c>
      <c r="CA46">
        <f>'[41]Template '!$B$98</f>
        <v>0.5</v>
      </c>
      <c r="CB46">
        <f>'[41]Template '!$B$99</f>
        <v>0.61111111111111105</v>
      </c>
      <c r="CC46">
        <f>'[41]Template '!$B$100</f>
        <v>0.3436507936507936</v>
      </c>
      <c r="CF46">
        <f>'[41]Template '!$Z$30</f>
        <v>0</v>
      </c>
      <c r="CG46">
        <f>'[41]Template '!$AB$75</f>
        <v>0</v>
      </c>
      <c r="CH46">
        <f>'[41]Template '!$C$89</f>
        <v>0</v>
      </c>
      <c r="CI46">
        <f>'[41]Template '!$AF$75</f>
        <v>0</v>
      </c>
      <c r="CJ46">
        <f>'[41]Template '!$AR$97</f>
        <v>1</v>
      </c>
      <c r="CK46">
        <f>'[41]Template '!$AS$97</f>
        <v>0</v>
      </c>
      <c r="CL46">
        <f>'[41]Template '!$AZ$97</f>
        <v>0</v>
      </c>
      <c r="CM46">
        <f>'[41]Template '!$BB$97</f>
        <v>0</v>
      </c>
      <c r="CN46">
        <f>'[41]Template '!$AU$53</f>
        <v>0</v>
      </c>
      <c r="CO46">
        <f>'[41]Template '!$AV$53</f>
        <v>0</v>
      </c>
      <c r="CP46">
        <f>'[41]Template '!$AY$53</f>
        <v>0</v>
      </c>
      <c r="CQ46">
        <f>'[41]Template '!$AX$53</f>
        <v>0</v>
      </c>
      <c r="CR46">
        <f>'[41]Template '!$AZ$53</f>
        <v>0</v>
      </c>
      <c r="CS46">
        <f>'[41]Template '!$BF$53</f>
        <v>0</v>
      </c>
      <c r="CT46">
        <f t="shared" si="5"/>
        <v>0</v>
      </c>
      <c r="CU46">
        <f t="shared" si="6"/>
        <v>1</v>
      </c>
      <c r="CV46">
        <f t="shared" si="7"/>
        <v>1</v>
      </c>
      <c r="CY46" t="str">
        <f>'[41]Template '!$E$2</f>
        <v>A</v>
      </c>
      <c r="CZ46">
        <f>'[41]Template '!$B$13</f>
        <v>1</v>
      </c>
      <c r="DA46">
        <f>'[41]Template '!$D$2</f>
        <v>3</v>
      </c>
      <c r="DB46">
        <f>'[41]Template '!$D$3</f>
        <v>45104</v>
      </c>
      <c r="DC46">
        <f>'[41]Template '!$F$2</f>
        <v>45233</v>
      </c>
      <c r="DE46">
        <f>'[41]Template '!$B$12</f>
        <v>22</v>
      </c>
      <c r="DF46" t="str">
        <f>'[41]Template '!$B$14</f>
        <v>4/21</v>
      </c>
      <c r="DG46" t="str">
        <f>'[41]Template '!$B$15</f>
        <v>7/21</v>
      </c>
      <c r="DH46">
        <f>'[41]Template '!$B$16</f>
        <v>24</v>
      </c>
      <c r="DI46">
        <f>'[41]Template '!$B$17</f>
        <v>0</v>
      </c>
      <c r="DJ46">
        <f>'[41]Template '!$B$18</f>
        <v>0</v>
      </c>
      <c r="DK46">
        <f>'[41]Template '!$B$19</f>
        <v>1</v>
      </c>
      <c r="DL46">
        <f>'[41]Template '!$B$20</f>
        <v>2</v>
      </c>
      <c r="DM46">
        <f>'[41]Template '!$B$21</f>
        <v>0</v>
      </c>
      <c r="DN46">
        <f>'[41]Template '!$B$22</f>
        <v>0</v>
      </c>
      <c r="DP46">
        <f>'[41]Template '!$I$13</f>
        <v>5</v>
      </c>
      <c r="DQ46">
        <f>'[41]Template '!$I$14</f>
        <v>5</v>
      </c>
      <c r="DR46">
        <f>'[41]Template '!$I$15</f>
        <v>4</v>
      </c>
      <c r="DS46">
        <f>'[41]Template '!$I$16</f>
        <v>3</v>
      </c>
      <c r="DT46">
        <f>'[41]Template '!$I$17</f>
        <v>4</v>
      </c>
      <c r="DU46">
        <f>'[41]Template '!$I$18</f>
        <v>3</v>
      </c>
      <c r="DV46">
        <f>'[41]Template '!$I$19</f>
        <v>5</v>
      </c>
      <c r="DW46">
        <f>'[41]Template '!$I$20</f>
        <v>3</v>
      </c>
      <c r="DX46">
        <f>'[41]Template '!$I$21</f>
        <v>4</v>
      </c>
      <c r="DY46">
        <f>'[41]Template '!$I$22</f>
        <v>3</v>
      </c>
      <c r="DZ46">
        <f>'[41]Template '!$I$23</f>
        <v>5</v>
      </c>
      <c r="EA46">
        <f>'[41]Template '!$I$24</f>
        <v>0</v>
      </c>
      <c r="ED46">
        <f>'[41]Template '!$L$13</f>
        <v>4</v>
      </c>
      <c r="EE46">
        <f>'[41]Template '!$L$14</f>
        <v>4</v>
      </c>
      <c r="EF46">
        <f>'[41]Template '!$L$15</f>
        <v>4</v>
      </c>
      <c r="EG46">
        <f>'[41]Template '!$L$16</f>
        <v>2</v>
      </c>
      <c r="EH46">
        <f>'[41]Template '!$L$17</f>
        <v>5</v>
      </c>
      <c r="EI46">
        <f>'[41]Template '!$L$18</f>
        <v>2</v>
      </c>
      <c r="EJ46">
        <f>'[41]Template '!$L$19</f>
        <v>5</v>
      </c>
      <c r="EK46">
        <f>'[41]Template '!$L$20</f>
        <v>2</v>
      </c>
      <c r="EL46">
        <f>'[41]Template '!$L$21</f>
        <v>3</v>
      </c>
      <c r="EM46">
        <f>'[41]Template '!$L$22</f>
        <v>2</v>
      </c>
      <c r="EN46">
        <f>'[41]Template '!$L$23</f>
        <v>5</v>
      </c>
      <c r="EQ46">
        <f>'[41]Template '!$O$13</f>
        <v>4</v>
      </c>
      <c r="ER46">
        <f>'[41]Template '!$O$14</f>
        <v>2</v>
      </c>
      <c r="ES46">
        <f>'[41]Template '!$O$15</f>
        <v>2</v>
      </c>
      <c r="ET46">
        <f>'[41]Template '!$O$16</f>
        <v>2</v>
      </c>
      <c r="EU46">
        <f>'[41]Template '!$O$17</f>
        <v>5</v>
      </c>
      <c r="EV46">
        <f>'[41]Template '!$O$18</f>
        <v>2</v>
      </c>
      <c r="EW46">
        <f>'[41]Template '!$O$19</f>
        <v>1</v>
      </c>
      <c r="EX46">
        <f>'[41]Template '!$O$20</f>
        <v>1</v>
      </c>
      <c r="EY46">
        <f>'[41]Template '!$O$21</f>
        <v>1</v>
      </c>
      <c r="EZ46">
        <f>'[41]Template '!$O$22</f>
        <v>2</v>
      </c>
      <c r="FA46">
        <f>'[41]Template '!$O$23</f>
        <v>2</v>
      </c>
      <c r="FL46">
        <f>'[41]Template '!$D$5</f>
        <v>0.45262896825396826</v>
      </c>
      <c r="FM46">
        <f>'[41]Template '!$D$6</f>
        <v>0.46084956709956709</v>
      </c>
      <c r="FN46">
        <f>'[41]Template '!$D$7</f>
        <v>0.62380952380952381</v>
      </c>
      <c r="FO46">
        <f>'[41]Template '!$D$8</f>
        <v>0.45076719576719582</v>
      </c>
      <c r="FP46">
        <f>'[41]Template '!$D$9</f>
        <v>0.4970138137325637</v>
      </c>
      <c r="FR46">
        <f>'[41]Template '!$E$5</f>
        <v>0.44803338001867415</v>
      </c>
      <c r="FS46">
        <f>'[41]Template '!$E$6</f>
        <v>0.43555194805194808</v>
      </c>
      <c r="FT46">
        <f>'[41]Template '!$E$7</f>
        <v>0.57771164021164023</v>
      </c>
      <c r="FU46">
        <f>'[41]Template '!$E$8</f>
        <v>0.40415824915824911</v>
      </c>
      <c r="FV46">
        <f>'[41]Template '!$E$9</f>
        <v>0.46636380436012792</v>
      </c>
    </row>
    <row r="47" spans="1:178" x14ac:dyDescent="0.2">
      <c r="A47" t="str">
        <f>'[25]Template '!$A$2</f>
        <v>M_084</v>
      </c>
      <c r="C47" t="str">
        <f t="shared" si="4"/>
        <v>M_084.xlsx</v>
      </c>
      <c r="E47" t="str">
        <f>'[25]Template '!$C$2</f>
        <v>D only</v>
      </c>
      <c r="G47">
        <f>'[25]Template '!$C$29</f>
        <v>0.25</v>
      </c>
      <c r="H47" t="str">
        <f>'[25]Template '!$C$30</f>
        <v>n/a</v>
      </c>
      <c r="I47">
        <f>'[25]Template '!$C$31</f>
        <v>0.41666666666666663</v>
      </c>
      <c r="J47">
        <f>'[25]Template '!$C$32</f>
        <v>0.63235294117647056</v>
      </c>
      <c r="K47">
        <f>'[25]Template '!$C$33</f>
        <v>0.52579365079365081</v>
      </c>
      <c r="M47">
        <f>'[25]Template '!$C$80</f>
        <v>415</v>
      </c>
      <c r="N47">
        <f>'[25]Template '!$C$81</f>
        <v>22.5</v>
      </c>
      <c r="O47">
        <f>'[25]Template '!$C$82</f>
        <v>2</v>
      </c>
      <c r="P47">
        <f>'[25]Template '!$C$83</f>
        <v>1.5</v>
      </c>
      <c r="Q47">
        <f>'[25]Template '!$C$84</f>
        <v>2</v>
      </c>
      <c r="R47">
        <f>'[25]Template '!$C$85</f>
        <v>1</v>
      </c>
      <c r="T47">
        <f>'[25]Template '!$C$74</f>
        <v>0.38181818181818183</v>
      </c>
      <c r="U47" t="str">
        <f>'[25]Template '!$C$75</f>
        <v>n/a</v>
      </c>
      <c r="V47">
        <f>'[25]Template '!$C$76</f>
        <v>0.4821428571428571</v>
      </c>
      <c r="W47">
        <f>'[25]Template '!$C$77</f>
        <v>0.54761904761904756</v>
      </c>
      <c r="X47">
        <f>'[25]Template '!$C$78</f>
        <v>0.51984126984126977</v>
      </c>
      <c r="Z47">
        <f>'[25]Template '!$C$80</f>
        <v>415</v>
      </c>
      <c r="AA47">
        <f>'[25]Template '!$C$81</f>
        <v>22.5</v>
      </c>
      <c r="AB47">
        <f>'[25]Template '!$C$82</f>
        <v>2</v>
      </c>
      <c r="AC47">
        <f>'[25]Template '!$C$83</f>
        <v>1.5</v>
      </c>
      <c r="AD47">
        <f>'[25]Template '!$C$84</f>
        <v>2</v>
      </c>
      <c r="AE47">
        <f>'[25]Template '!$C$85</f>
        <v>1</v>
      </c>
      <c r="AG47">
        <f>'[25]Template '!$C$96</f>
        <v>0.4375</v>
      </c>
      <c r="AH47">
        <f>'[25]Template '!$C$97</f>
        <v>0.3444444444444445</v>
      </c>
      <c r="AI47">
        <f>'[25]Template '!$C$98</f>
        <v>0.5</v>
      </c>
      <c r="AJ47">
        <f>'[25]Template '!$C$99</f>
        <v>0.48088023088023085</v>
      </c>
      <c r="AK47">
        <f>'[25]Template '!$C$100</f>
        <v>0.65992063492063491</v>
      </c>
      <c r="AM47">
        <f>'[25]Template '!$C$102</f>
        <v>644</v>
      </c>
      <c r="AN47">
        <f>'[25]Template '!$C$103</f>
        <v>35</v>
      </c>
      <c r="AO47">
        <f>'[25]Template '!$C$104</f>
        <v>1.5</v>
      </c>
      <c r="AP47">
        <f>'[25]Template '!$C$105</f>
        <v>2.5</v>
      </c>
      <c r="AQ47">
        <f>'[25]Template '!$C$106</f>
        <v>2</v>
      </c>
      <c r="AR47">
        <f>'[25]Template '!$C$107</f>
        <v>2</v>
      </c>
      <c r="AT47">
        <f>'[25]Template '!$C$52</f>
        <v>0.375</v>
      </c>
      <c r="AU47">
        <f>'[25]Template '!$C$53</f>
        <v>0.3444444444444445</v>
      </c>
      <c r="AV47">
        <f>'[25]Template '!$C$54</f>
        <v>0.5</v>
      </c>
      <c r="AW47">
        <f>'[25]Template '!$C$55</f>
        <v>0.375</v>
      </c>
      <c r="AX47">
        <f>'[25]Template '!$C$56</f>
        <v>0.43650793650793651</v>
      </c>
      <c r="AZ47">
        <f>'[25]Template '!$C$58</f>
        <v>1200</v>
      </c>
      <c r="BA47">
        <f>'[25]Template '!$C$59</f>
        <v>22.5</v>
      </c>
      <c r="BB47">
        <f>'[25]Template '!$C$60</f>
        <v>1.5</v>
      </c>
      <c r="BC47">
        <f>'[25]Template '!$C$61</f>
        <v>1.5</v>
      </c>
      <c r="BD47">
        <f>'[25]Template '!$C$62</f>
        <v>2</v>
      </c>
      <c r="BE47">
        <f>'[25]Template '!$C$63</f>
        <v>1.5</v>
      </c>
      <c r="BG47">
        <f>'[25]Template '!$B$29</f>
        <v>0.25</v>
      </c>
      <c r="BH47" t="str">
        <f>'[25]Template '!$B$30</f>
        <v>n/a</v>
      </c>
      <c r="BI47">
        <f>'[25]Template '!$B$31</f>
        <v>0.41666666666666663</v>
      </c>
      <c r="BJ47">
        <f>'[25]Template '!$B$32</f>
        <v>0.625</v>
      </c>
      <c r="BK47">
        <f>'[25]Template '!$B$33</f>
        <v>0.52579365079365081</v>
      </c>
      <c r="BM47">
        <f>'[25]Template '!$B$52</f>
        <v>0.375</v>
      </c>
      <c r="BN47">
        <f>'[25]Template '!$B$53</f>
        <v>0.3444444444444445</v>
      </c>
      <c r="BO47">
        <f>'[25]Template '!$B$54</f>
        <v>0.5</v>
      </c>
      <c r="BP47">
        <f>'[25]Template '!$B$55</f>
        <v>0.43518518518518517</v>
      </c>
      <c r="BQ47">
        <f>'[25]Template '!$B$56</f>
        <v>0.43650793650793651</v>
      </c>
      <c r="BS47">
        <f>'[25]Template '!$B$74</f>
        <v>0.38181818181818183</v>
      </c>
      <c r="BT47" t="str">
        <f>'[25]Template '!$B$75</f>
        <v>n/a</v>
      </c>
      <c r="BU47">
        <f>'[25]Template '!$B$76</f>
        <v>0.4821428571428571</v>
      </c>
      <c r="BV47">
        <f>'[25]Template '!$B$77</f>
        <v>0.58333333333333326</v>
      </c>
      <c r="BW47">
        <f>'[25]Template '!$B$78</f>
        <v>0.51984126984126977</v>
      </c>
      <c r="BY47">
        <f>'[25]Template '!$B$96</f>
        <v>0.4375</v>
      </c>
      <c r="BZ47">
        <f>'[25]Template '!$B$97</f>
        <v>0.3444444444444445</v>
      </c>
      <c r="CA47">
        <f>'[25]Template '!$B$98</f>
        <v>0.5</v>
      </c>
      <c r="CB47">
        <f>'[25]Template '!$B$99</f>
        <v>0.76388888888888884</v>
      </c>
      <c r="CC47">
        <f>'[25]Template '!$B$100</f>
        <v>0.65992063492063491</v>
      </c>
      <c r="CF47">
        <f>'[25]Template '!$Z$30</f>
        <v>1</v>
      </c>
      <c r="CG47">
        <f>'[25]Template '!$AB$75</f>
        <v>1</v>
      </c>
      <c r="CH47">
        <f>'[25]Template '!$C$89</f>
        <v>0</v>
      </c>
      <c r="CI47">
        <f>'[25]Template '!$AF$75</f>
        <v>0</v>
      </c>
      <c r="CJ47">
        <f>'[25]Template '!$AR$97</f>
        <v>1</v>
      </c>
      <c r="CK47">
        <f>'[25]Template '!$AS$97</f>
        <v>0</v>
      </c>
      <c r="CL47">
        <f>'[25]Template '!$AZ$97</f>
        <v>1</v>
      </c>
      <c r="CM47">
        <f>'[25]Template '!$BB$97</f>
        <v>0</v>
      </c>
      <c r="CN47">
        <f>'[25]Template '!$AU$53</f>
        <v>1</v>
      </c>
      <c r="CO47">
        <f>'[25]Template '!$AV$53</f>
        <v>1</v>
      </c>
      <c r="CP47">
        <f>'[25]Template '!$AY$53</f>
        <v>0</v>
      </c>
      <c r="CQ47">
        <f>'[25]Template '!$AX$53</f>
        <v>0</v>
      </c>
      <c r="CR47">
        <f>'[25]Template '!$AZ$53</f>
        <v>0</v>
      </c>
      <c r="CS47">
        <f>'[25]Template '!$BF$53</f>
        <v>0</v>
      </c>
      <c r="CT47">
        <f t="shared" si="5"/>
        <v>2</v>
      </c>
      <c r="CU47">
        <f t="shared" si="6"/>
        <v>4</v>
      </c>
      <c r="CV47">
        <f t="shared" si="7"/>
        <v>6</v>
      </c>
      <c r="CY47" t="str">
        <f>'[25]Template '!$E$2</f>
        <v>A</v>
      </c>
      <c r="CZ47">
        <f>'[25]Template '!$B$13</f>
        <v>1</v>
      </c>
      <c r="DA47">
        <f>'[25]Template '!$D$2</f>
        <v>3</v>
      </c>
      <c r="DB47">
        <f>'[25]Template '!$D$3</f>
        <v>45104</v>
      </c>
      <c r="DC47">
        <f>'[25]Template '!$F$2</f>
        <v>45261</v>
      </c>
      <c r="DE47">
        <f>'[25]Template '!$B$12</f>
        <v>26</v>
      </c>
      <c r="DF47" t="str">
        <f>'[25]Template '!$B$14</f>
        <v>9/14</v>
      </c>
      <c r="DG47" t="str">
        <f>'[25]Template '!$B$15</f>
        <v>1/15</v>
      </c>
      <c r="DH47">
        <f>'[25]Template '!$B$16</f>
        <v>96</v>
      </c>
      <c r="DI47">
        <f>'[25]Template '!$B$17</f>
        <v>0</v>
      </c>
      <c r="DJ47">
        <f>'[25]Template '!$B$18</f>
        <v>0</v>
      </c>
      <c r="DK47">
        <f>'[25]Template '!$B$19</f>
        <v>1</v>
      </c>
      <c r="DL47">
        <f>'[25]Template '!$B$20</f>
        <v>2</v>
      </c>
      <c r="DM47">
        <f>'[25]Template '!$B$21</f>
        <v>0</v>
      </c>
      <c r="DN47">
        <f>'[25]Template '!$B$22</f>
        <v>0</v>
      </c>
      <c r="DP47">
        <f>'[25]Template '!$I$13</f>
        <v>5</v>
      </c>
      <c r="DQ47">
        <f>'[25]Template '!$I$14</f>
        <v>4</v>
      </c>
      <c r="DR47">
        <f>'[25]Template '!$I$15</f>
        <v>5</v>
      </c>
      <c r="DS47">
        <f>'[25]Template '!$I$16</f>
        <v>5</v>
      </c>
      <c r="DT47">
        <f>'[25]Template '!$I$17</f>
        <v>5</v>
      </c>
      <c r="DU47">
        <f>'[25]Template '!$I$18</f>
        <v>5</v>
      </c>
      <c r="DV47">
        <f>'[25]Template '!$I$19</f>
        <v>4</v>
      </c>
      <c r="DW47">
        <f>'[25]Template '!$I$20</f>
        <v>3</v>
      </c>
      <c r="DX47">
        <f>'[25]Template '!$I$21</f>
        <v>3</v>
      </c>
      <c r="DY47">
        <f>'[25]Template '!$I$22</f>
        <v>4</v>
      </c>
      <c r="DZ47">
        <f>'[25]Template '!$I$23</f>
        <v>4</v>
      </c>
      <c r="EA47">
        <f>'[25]Template '!$I$24</f>
        <v>1</v>
      </c>
      <c r="ED47">
        <f>'[25]Template '!$L$13</f>
        <v>5</v>
      </c>
      <c r="EE47">
        <f>'[25]Template '!$L$14</f>
        <v>4</v>
      </c>
      <c r="EF47">
        <f>'[25]Template '!$L$15</f>
        <v>4</v>
      </c>
      <c r="EG47">
        <f>'[25]Template '!$L$16</f>
        <v>4</v>
      </c>
      <c r="EH47">
        <f>'[25]Template '!$L$17</f>
        <v>4</v>
      </c>
      <c r="EI47">
        <f>'[25]Template '!$L$18</f>
        <v>4</v>
      </c>
      <c r="EJ47">
        <f>'[25]Template '!$L$19</f>
        <v>5</v>
      </c>
      <c r="EK47">
        <f>'[25]Template '!$L$20</f>
        <v>4</v>
      </c>
      <c r="EL47">
        <f>'[25]Template '!$L$21</f>
        <v>3</v>
      </c>
      <c r="EM47">
        <f>'[25]Template '!$L$22</f>
        <v>4</v>
      </c>
      <c r="EN47">
        <f>'[25]Template '!$L$23</f>
        <v>4</v>
      </c>
      <c r="EQ47">
        <f>'[25]Template '!$O$13</f>
        <v>4</v>
      </c>
      <c r="ER47">
        <f>'[25]Template '!$O$14</f>
        <v>3</v>
      </c>
      <c r="ES47">
        <f>'[25]Template '!$O$15</f>
        <v>3</v>
      </c>
      <c r="ET47">
        <f>'[25]Template '!$O$16</f>
        <v>3</v>
      </c>
      <c r="EU47">
        <f>'[25]Template '!$O$17</f>
        <v>5</v>
      </c>
      <c r="EV47">
        <f>'[25]Template '!$O$18</f>
        <v>3</v>
      </c>
      <c r="EW47">
        <f>'[25]Template '!$O$19</f>
        <v>1</v>
      </c>
      <c r="EX47">
        <f>'[25]Template '!$O$20</f>
        <v>4</v>
      </c>
      <c r="EY47">
        <f>'[25]Template '!$O$21</f>
        <v>3</v>
      </c>
      <c r="EZ47">
        <f>'[25]Template '!$O$22</f>
        <v>3</v>
      </c>
      <c r="FA47">
        <f>'[25]Template '!$O$23</f>
        <v>3</v>
      </c>
      <c r="FL47">
        <f>'[25]Template '!$D$5</f>
        <v>0.45436507936507931</v>
      </c>
      <c r="FM47">
        <f>'[25]Template '!$D$6</f>
        <v>0.49178391053391046</v>
      </c>
      <c r="FN47">
        <f>'[25]Template '!$D$7</f>
        <v>0.41822751322751317</v>
      </c>
      <c r="FO47">
        <f>'[25]Template '!$D$8</f>
        <v>0.54115079365079366</v>
      </c>
      <c r="FP47">
        <f>'[25]Template '!$D$9</f>
        <v>0.47638182419432418</v>
      </c>
      <c r="FR47">
        <f>'[25]Template '!$E$5</f>
        <v>0.45620331465919695</v>
      </c>
      <c r="FS47">
        <f>'[25]Template '!$E$6</f>
        <v>0.48285533910533907</v>
      </c>
      <c r="FT47">
        <f>'[25]Template '!$E$7</f>
        <v>0.40619047619047616</v>
      </c>
      <c r="FU47">
        <f>'[25]Template '!$E$8</f>
        <v>0.48454906204906206</v>
      </c>
      <c r="FV47">
        <f>'[25]Template '!$E$9</f>
        <v>0.45744954800101856</v>
      </c>
    </row>
    <row r="48" spans="1:178" x14ac:dyDescent="0.2">
      <c r="A48" t="str">
        <f>'[40]Template '!$A$2</f>
        <v>M_086</v>
      </c>
      <c r="C48" t="str">
        <f t="shared" si="4"/>
        <v>M_086.xlsx</v>
      </c>
      <c r="E48" t="str">
        <f>'[40]Template '!$C$2</f>
        <v>D only</v>
      </c>
      <c r="G48">
        <f>'[40]Template '!$C$29</f>
        <v>0.16666666666666666</v>
      </c>
      <c r="H48" t="str">
        <f>'[40]Template '!$C$30</f>
        <v>n/a</v>
      </c>
      <c r="I48">
        <f>'[40]Template '!$C$31</f>
        <v>0.20833333333333331</v>
      </c>
      <c r="J48">
        <f>'[40]Template '!$C$32</f>
        <v>0.56617647058823528</v>
      </c>
      <c r="K48">
        <f>'[40]Template '!$C$33</f>
        <v>0.53174603174603174</v>
      </c>
      <c r="M48" t="str">
        <f>'[40]Template '!$C$80</f>
        <v>n/a</v>
      </c>
      <c r="N48">
        <f>'[40]Template '!$C$81</f>
        <v>17.5</v>
      </c>
      <c r="O48">
        <f>'[40]Template '!$C$82</f>
        <v>2</v>
      </c>
      <c r="P48">
        <f>'[40]Template '!$C$83</f>
        <v>1</v>
      </c>
      <c r="Q48">
        <f>'[40]Template '!$C$84</f>
        <v>1.5</v>
      </c>
      <c r="R48">
        <f>'[40]Template '!$C$85</f>
        <v>1</v>
      </c>
      <c r="T48">
        <f>'[40]Template '!$C$74</f>
        <v>0.65454545454545454</v>
      </c>
      <c r="U48" t="str">
        <f>'[40]Template '!$C$75</f>
        <v>n/a</v>
      </c>
      <c r="V48">
        <f>'[40]Template '!$C$76</f>
        <v>0.4642857142857143</v>
      </c>
      <c r="W48">
        <f>'[40]Template '!$C$77</f>
        <v>0.63095238095238093</v>
      </c>
      <c r="X48">
        <f>'[40]Template '!$C$78</f>
        <v>0.53968253968253965</v>
      </c>
      <c r="Z48" t="str">
        <f>'[40]Template '!$C$80</f>
        <v>n/a</v>
      </c>
      <c r="AA48">
        <f>'[40]Template '!$C$81</f>
        <v>17.5</v>
      </c>
      <c r="AB48">
        <f>'[40]Template '!$C$82</f>
        <v>2</v>
      </c>
      <c r="AC48">
        <f>'[40]Template '!$C$83</f>
        <v>1</v>
      </c>
      <c r="AD48">
        <f>'[40]Template '!$C$84</f>
        <v>1.5</v>
      </c>
      <c r="AE48">
        <f>'[40]Template '!$C$85</f>
        <v>1</v>
      </c>
      <c r="AG48">
        <f>'[40]Template '!$C$96</f>
        <v>0.58125000000000004</v>
      </c>
      <c r="AH48">
        <f>'[40]Template '!$C$97</f>
        <v>0.3666666666666667</v>
      </c>
      <c r="AI48">
        <f>'[40]Template '!$C$98</f>
        <v>0.25</v>
      </c>
      <c r="AJ48">
        <f>'[40]Template '!$C$99</f>
        <v>0.30375180375180372</v>
      </c>
      <c r="AK48">
        <f>'[40]Template '!$C$100</f>
        <v>0.74047619047619051</v>
      </c>
      <c r="AM48">
        <f>'[40]Template '!$C$102</f>
        <v>319</v>
      </c>
      <c r="AN48">
        <f>'[40]Template '!$C$103</f>
        <v>23</v>
      </c>
      <c r="AO48">
        <f>'[40]Template '!$C$104</f>
        <v>1</v>
      </c>
      <c r="AP48">
        <f>'[40]Template '!$C$105</f>
        <v>1.5</v>
      </c>
      <c r="AQ48">
        <f>'[40]Template '!$C$106</f>
        <v>1.5</v>
      </c>
      <c r="AR48">
        <f>'[40]Template '!$C$107</f>
        <v>1</v>
      </c>
      <c r="AT48">
        <f>'[40]Template '!$C$52</f>
        <v>0.19444444444444445</v>
      </c>
      <c r="AU48">
        <f>'[40]Template '!$C$53</f>
        <v>0.3666666666666667</v>
      </c>
      <c r="AV48">
        <f>'[40]Template '!$C$54</f>
        <v>0.25</v>
      </c>
      <c r="AW48">
        <f>'[40]Template '!$C$55</f>
        <v>0.46130952380952378</v>
      </c>
      <c r="AX48">
        <f>'[40]Template '!$C$56</f>
        <v>0.62142857142857144</v>
      </c>
      <c r="AZ48">
        <f>'[40]Template '!$C$58</f>
        <v>343</v>
      </c>
      <c r="BA48">
        <f>'[40]Template '!$C$59</f>
        <v>14</v>
      </c>
      <c r="BB48">
        <f>'[40]Template '!$C$60</f>
        <v>1</v>
      </c>
      <c r="BC48">
        <f>'[40]Template '!$C$61</f>
        <v>1</v>
      </c>
      <c r="BD48">
        <f>'[40]Template '!$C$62</f>
        <v>1.5</v>
      </c>
      <c r="BE48">
        <f>'[40]Template '!$C$63</f>
        <v>1</v>
      </c>
      <c r="BG48">
        <f>'[40]Template '!$B$29</f>
        <v>0.16666666666666666</v>
      </c>
      <c r="BH48" t="str">
        <f>'[40]Template '!$B$30</f>
        <v>n/a</v>
      </c>
      <c r="BI48">
        <f>'[40]Template '!$B$31</f>
        <v>0.20833333333333331</v>
      </c>
      <c r="BJ48">
        <f>'[40]Template '!$B$32</f>
        <v>0.53125</v>
      </c>
      <c r="BK48">
        <f>'[40]Template '!$B$33</f>
        <v>0.53174603174603174</v>
      </c>
      <c r="BM48">
        <f>'[40]Template '!$B$52</f>
        <v>0.19444444444444445</v>
      </c>
      <c r="BN48">
        <f>'[40]Template '!$B$53</f>
        <v>0.3666666666666667</v>
      </c>
      <c r="BO48">
        <f>'[40]Template '!$B$54</f>
        <v>0.25</v>
      </c>
      <c r="BP48">
        <f>'[40]Template '!$B$55</f>
        <v>0.65277777777777779</v>
      </c>
      <c r="BQ48">
        <f>'[40]Template '!$B$56</f>
        <v>0.62142857142857144</v>
      </c>
      <c r="BS48">
        <f>'[40]Template '!$B$74</f>
        <v>0.65454545454545454</v>
      </c>
      <c r="BT48" t="str">
        <f>'[40]Template '!$B$75</f>
        <v>n/a</v>
      </c>
      <c r="BU48">
        <f>'[40]Template '!$B$76</f>
        <v>0.4642857142857143</v>
      </c>
      <c r="BV48">
        <f>'[40]Template '!$B$77</f>
        <v>0.5625</v>
      </c>
      <c r="BW48">
        <f>'[40]Template '!$B$78</f>
        <v>0.53968253968253965</v>
      </c>
      <c r="BY48">
        <f>'[40]Template '!$B$96</f>
        <v>0.58125000000000004</v>
      </c>
      <c r="BZ48">
        <f>'[40]Template '!$B$97</f>
        <v>0.3666666666666667</v>
      </c>
      <c r="CA48">
        <f>'[40]Template '!$B$98</f>
        <v>0.25</v>
      </c>
      <c r="CB48">
        <f>'[40]Template '!$B$99</f>
        <v>0.5</v>
      </c>
      <c r="CC48">
        <f>'[40]Template '!$B$100</f>
        <v>0.74047619047619051</v>
      </c>
      <c r="CF48">
        <f>'[40]Template '!$Z$30</f>
        <v>0</v>
      </c>
      <c r="CG48">
        <f>'[40]Template '!$AB$75</f>
        <v>0</v>
      </c>
      <c r="CH48">
        <f>'[40]Template '!$C$89</f>
        <v>0</v>
      </c>
      <c r="CI48">
        <f>'[40]Template '!$AF$75</f>
        <v>0</v>
      </c>
      <c r="CJ48">
        <f>'[40]Template '!$AR$97</f>
        <v>0.5</v>
      </c>
      <c r="CK48">
        <f>'[40]Template '!$AS$97</f>
        <v>0</v>
      </c>
      <c r="CL48">
        <f>'[40]Template '!$AZ$97</f>
        <v>0.5</v>
      </c>
      <c r="CM48">
        <f>'[40]Template '!$BB$97</f>
        <v>0</v>
      </c>
      <c r="CN48">
        <f>'[40]Template '!$AU$53</f>
        <v>0</v>
      </c>
      <c r="CO48">
        <f>'[40]Template '!$AV$53</f>
        <v>0</v>
      </c>
      <c r="CP48">
        <f>'[40]Template '!$AY$53</f>
        <v>0</v>
      </c>
      <c r="CQ48">
        <f>'[40]Template '!$AX$53</f>
        <v>0</v>
      </c>
      <c r="CR48">
        <f>'[40]Template '!$AZ$53</f>
        <v>0</v>
      </c>
      <c r="CS48">
        <f>'[40]Template '!$BF$53</f>
        <v>0.5</v>
      </c>
      <c r="CT48">
        <f t="shared" si="5"/>
        <v>0</v>
      </c>
      <c r="CU48">
        <f t="shared" si="6"/>
        <v>1.5</v>
      </c>
      <c r="CV48">
        <f t="shared" si="7"/>
        <v>1.5</v>
      </c>
      <c r="CY48" t="str">
        <f>'[40]Template '!$E$2</f>
        <v>B</v>
      </c>
      <c r="CZ48">
        <f>'[40]Template '!$B$13</f>
        <v>1</v>
      </c>
      <c r="DA48">
        <f>'[40]Template '!$D$2</f>
        <v>3</v>
      </c>
      <c r="DB48" s="14">
        <f>'[40]Template '!$D$3</f>
        <v>45104</v>
      </c>
      <c r="DC48" s="14">
        <f>'[40]Template '!$F$2</f>
        <v>45184</v>
      </c>
      <c r="DE48">
        <f>'[40]Template '!$B$12</f>
        <v>27</v>
      </c>
      <c r="DF48" s="15" t="str">
        <f>'[40]Template '!$B$14</f>
        <v>7/14</v>
      </c>
      <c r="DG48" s="15" t="str">
        <f>'[40]Template '!$B$15</f>
        <v>7/21</v>
      </c>
      <c r="DH48">
        <f>'[40]Template '!$B$16</f>
        <v>24</v>
      </c>
      <c r="DI48">
        <f>'[40]Template '!$B$17</f>
        <v>0</v>
      </c>
      <c r="DJ48">
        <f>'[40]Template '!$B$18</f>
        <v>0</v>
      </c>
      <c r="DK48">
        <f>'[40]Template '!$B$19</f>
        <v>0</v>
      </c>
      <c r="DL48">
        <f>'[40]Template '!$B$20</f>
        <v>0</v>
      </c>
      <c r="DM48">
        <f>'[40]Template '!$B$21</f>
        <v>0</v>
      </c>
      <c r="DN48">
        <f>'[40]Template '!$B$22</f>
        <v>0</v>
      </c>
      <c r="DP48">
        <f>'[40]Template '!$I$13</f>
        <v>5</v>
      </c>
      <c r="DQ48">
        <f>'[40]Template '!$I$14</f>
        <v>4</v>
      </c>
      <c r="DR48">
        <f>'[40]Template '!$I$15</f>
        <v>3</v>
      </c>
      <c r="DS48">
        <f>'[40]Template '!$I$16</f>
        <v>5</v>
      </c>
      <c r="DT48">
        <f>'[40]Template '!$I$17</f>
        <v>4</v>
      </c>
      <c r="DU48">
        <f>'[40]Template '!$I$18</f>
        <v>4</v>
      </c>
      <c r="DV48">
        <f>'[40]Template '!$I$19</f>
        <v>5</v>
      </c>
      <c r="DW48">
        <f>'[40]Template '!$I$20</f>
        <v>4</v>
      </c>
      <c r="DX48">
        <f>'[40]Template '!$I$21</f>
        <v>3</v>
      </c>
      <c r="DY48">
        <f>'[40]Template '!$I$22</f>
        <v>4</v>
      </c>
      <c r="DZ48">
        <f>'[40]Template '!$I$23</f>
        <v>5</v>
      </c>
      <c r="EA48">
        <f>'[40]Template '!$I$24</f>
        <v>1</v>
      </c>
      <c r="ED48">
        <f>'[40]Template '!$L$13</f>
        <v>4</v>
      </c>
      <c r="EE48">
        <f>'[40]Template '!$L$14</f>
        <v>4</v>
      </c>
      <c r="EF48">
        <f>'[40]Template '!$L$15</f>
        <v>3</v>
      </c>
      <c r="EG48">
        <f>'[40]Template '!$L$16</f>
        <v>3</v>
      </c>
      <c r="EH48">
        <f>'[40]Template '!$L$17</f>
        <v>4</v>
      </c>
      <c r="EI48">
        <f>'[40]Template '!$L$18</f>
        <v>4</v>
      </c>
      <c r="EJ48">
        <f>'[40]Template '!$L$19</f>
        <v>5</v>
      </c>
      <c r="EK48">
        <f>'[40]Template '!$L$20</f>
        <v>4</v>
      </c>
      <c r="EL48">
        <f>'[40]Template '!$L$21</f>
        <v>2</v>
      </c>
      <c r="EM48">
        <f>'[40]Template '!$L$22</f>
        <v>4</v>
      </c>
      <c r="EN48">
        <f>'[40]Template '!$L$23</f>
        <v>5</v>
      </c>
      <c r="EQ48">
        <f>'[40]Template '!$O$13</f>
        <v>5</v>
      </c>
      <c r="ER48">
        <f>'[40]Template '!$O$14</f>
        <v>2</v>
      </c>
      <c r="ES48">
        <f>'[40]Template '!$O$15</f>
        <v>3</v>
      </c>
      <c r="ET48">
        <f>'[40]Template '!$O$16</f>
        <v>4</v>
      </c>
      <c r="EU48">
        <f>'[40]Template '!$O$17</f>
        <v>5</v>
      </c>
      <c r="EV48">
        <f>'[40]Template '!$O$18</f>
        <v>4</v>
      </c>
      <c r="EW48">
        <f>'[40]Template '!$O$19</f>
        <v>1</v>
      </c>
      <c r="EX48">
        <f>'[40]Template '!$O$20</f>
        <v>3</v>
      </c>
      <c r="EY48">
        <f>'[40]Template '!$O$21</f>
        <v>3</v>
      </c>
      <c r="EZ48">
        <f>'[40]Template '!$O$22</f>
        <v>2</v>
      </c>
      <c r="FA48">
        <f>'[40]Template '!$O$23</f>
        <v>4</v>
      </c>
      <c r="FL48">
        <f>'[40]Template '!$D$5</f>
        <v>0.35949900793650791</v>
      </c>
      <c r="FM48">
        <f>'[40]Template '!$D$6</f>
        <v>0.55525342712842707</v>
      </c>
      <c r="FN48">
        <f>'[40]Template '!$D$7</f>
        <v>0.41706349206349208</v>
      </c>
      <c r="FO48">
        <f>'[40]Template '!$D$8</f>
        <v>0.48767857142857152</v>
      </c>
      <c r="FP48">
        <f>'[40]Template '!$D$9</f>
        <v>0.45487362463924963</v>
      </c>
      <c r="FR48">
        <f>'[40]Template '!$E$5</f>
        <v>0.36823062558356678</v>
      </c>
      <c r="FS48">
        <f>'[40]Template '!$E$6</f>
        <v>0.5723665223665223</v>
      </c>
      <c r="FT48">
        <f>'[40]Template '!$E$7</f>
        <v>0.37876984126984126</v>
      </c>
      <c r="FU48">
        <f>'[40]Template '!$E$8</f>
        <v>0.4484289321789322</v>
      </c>
      <c r="FV48">
        <f>'[40]Template '!$E$9</f>
        <v>0.44194898034971564</v>
      </c>
    </row>
    <row r="49" spans="1:178" s="13" customFormat="1" x14ac:dyDescent="0.2"/>
    <row r="50" spans="1:178" x14ac:dyDescent="0.2">
      <c r="A50" t="str">
        <f>'[37]Template '!$A$2</f>
        <v>M_012</v>
      </c>
      <c r="C50" t="str">
        <f t="shared" ref="C50:C66" si="8">CONCATENATE(A50,".xlsx")</f>
        <v>M_012.xlsx</v>
      </c>
      <c r="E50" t="str">
        <f>'[37]Template '!$C$2</f>
        <v>D+M</v>
      </c>
      <c r="G50">
        <f>'[37]Template '!$C$29</f>
        <v>0.3888888888888889</v>
      </c>
      <c r="H50" t="str">
        <f>'[37]Template '!$C$30</f>
        <v>n/a</v>
      </c>
      <c r="I50">
        <f>'[37]Template '!$C$31</f>
        <v>0.83333333333333326</v>
      </c>
      <c r="J50">
        <f>'[37]Template '!$C$32</f>
        <v>0.60294117647058831</v>
      </c>
      <c r="K50">
        <f>'[37]Template '!$C$33</f>
        <v>0.95238095238095222</v>
      </c>
      <c r="M50">
        <f>'[37]Template '!$C$80</f>
        <v>1200</v>
      </c>
      <c r="N50">
        <f>'[37]Template '!$C$81</f>
        <v>45</v>
      </c>
      <c r="O50">
        <f>'[37]Template '!$C$82</f>
        <v>4</v>
      </c>
      <c r="P50">
        <f>'[37]Template '!$C$83</f>
        <v>2.5</v>
      </c>
      <c r="Q50">
        <f>'[37]Template '!$C$84</f>
        <v>4.5</v>
      </c>
      <c r="R50">
        <f>'[37]Template '!$C$85</f>
        <v>2</v>
      </c>
      <c r="T50">
        <f>'[37]Template '!$C$74</f>
        <v>0.7</v>
      </c>
      <c r="U50" t="str">
        <f>'[37]Template '!$C$75</f>
        <v>n/a</v>
      </c>
      <c r="V50">
        <f>'[37]Template '!$C$76</f>
        <v>0.75</v>
      </c>
      <c r="W50">
        <f>'[37]Template '!$C$77</f>
        <v>0.52380952380952372</v>
      </c>
      <c r="X50">
        <f>'[37]Template '!$C$78</f>
        <v>0.77777777777777779</v>
      </c>
      <c r="Z50">
        <f>'[37]Template '!$C$80</f>
        <v>1200</v>
      </c>
      <c r="AA50">
        <f>'[37]Template '!$C$81</f>
        <v>45</v>
      </c>
      <c r="AB50">
        <f>'[37]Template '!$C$82</f>
        <v>4</v>
      </c>
      <c r="AC50">
        <f>'[37]Template '!$C$83</f>
        <v>2.5</v>
      </c>
      <c r="AD50">
        <f>'[37]Template '!$C$84</f>
        <v>4.5</v>
      </c>
      <c r="AE50">
        <f>'[37]Template '!$C$85</f>
        <v>2</v>
      </c>
      <c r="AG50">
        <f>'[37]Template '!$C$96</f>
        <v>0.8</v>
      </c>
      <c r="AH50">
        <f>'[37]Template '!$C$97</f>
        <v>0.44444444444444448</v>
      </c>
      <c r="AI50">
        <f>'[37]Template '!$C$98</f>
        <v>1</v>
      </c>
      <c r="AJ50">
        <f>'[37]Template '!$C$99</f>
        <v>0.43217893217893216</v>
      </c>
      <c r="AK50">
        <f>'[37]Template '!$C$100</f>
        <v>0.794047619047619</v>
      </c>
      <c r="AM50">
        <f>'[37]Template '!$C$102</f>
        <v>1200</v>
      </c>
      <c r="AN50">
        <f>'[37]Template '!$C$103</f>
        <v>47.5</v>
      </c>
      <c r="AO50">
        <f>'[37]Template '!$C$104</f>
        <v>4</v>
      </c>
      <c r="AP50">
        <f>'[37]Template '!$C$105</f>
        <v>3</v>
      </c>
      <c r="AQ50">
        <f>'[37]Template '!$C$106</f>
        <v>4.5</v>
      </c>
      <c r="AR50">
        <f>'[37]Template '!$C$107</f>
        <v>2.5</v>
      </c>
      <c r="AT50">
        <f>'[37]Template '!$C$52</f>
        <v>0.66944444444444451</v>
      </c>
      <c r="AU50">
        <f>'[37]Template '!$C$53</f>
        <v>0.44444444444444448</v>
      </c>
      <c r="AV50">
        <f>'[37]Template '!$C$54</f>
        <v>1</v>
      </c>
      <c r="AW50">
        <f>'[37]Template '!$C$55</f>
        <v>0.32291666666666669</v>
      </c>
      <c r="AX50">
        <f>'[37]Template '!$C$56</f>
        <v>0.87341269841269842</v>
      </c>
      <c r="AZ50">
        <f>'[37]Template '!$C$58</f>
        <v>1200</v>
      </c>
      <c r="BA50">
        <f>'[37]Template '!$C$59</f>
        <v>59</v>
      </c>
      <c r="BB50">
        <f>'[37]Template '!$C$60</f>
        <v>4</v>
      </c>
      <c r="BC50">
        <f>'[37]Template '!$C$61</f>
        <v>4</v>
      </c>
      <c r="BD50">
        <f>'[37]Template '!$C$62</f>
        <v>4.5</v>
      </c>
      <c r="BE50">
        <f>'[37]Template '!$C$63</f>
        <v>3</v>
      </c>
      <c r="BG50">
        <f>'[37]Template '!$B$29</f>
        <v>0.3888888888888889</v>
      </c>
      <c r="BH50" t="str">
        <f>'[37]Template '!$B$30</f>
        <v>n/a</v>
      </c>
      <c r="BI50">
        <f>'[37]Template '!$B$31</f>
        <v>0.83333333333333326</v>
      </c>
      <c r="BJ50">
        <f>'[37]Template '!$B$32</f>
        <v>0.6875</v>
      </c>
      <c r="BK50">
        <f>'[37]Template '!$B$33</f>
        <v>0.95238095238095222</v>
      </c>
      <c r="BM50">
        <f>'[37]Template '!$B$52</f>
        <v>0.66944444444444451</v>
      </c>
      <c r="BN50">
        <f>'[37]Template '!$B$53</f>
        <v>0.44444444444444448</v>
      </c>
      <c r="BO50">
        <f>'[37]Template '!$B$54</f>
        <v>1</v>
      </c>
      <c r="BP50">
        <f>'[37]Template '!$B$55</f>
        <v>0.37962962962962959</v>
      </c>
      <c r="BQ50">
        <f>'[37]Template '!$B$56</f>
        <v>0.87341269841269842</v>
      </c>
      <c r="BS50">
        <f>'[37]Template '!$B$74</f>
        <v>0.7</v>
      </c>
      <c r="BT50" t="str">
        <f>'[37]Template '!$B$75</f>
        <v>n/a</v>
      </c>
      <c r="BU50">
        <f>'[37]Template '!$B$76</f>
        <v>0.75</v>
      </c>
      <c r="BV50">
        <f>'[37]Template '!$B$77</f>
        <v>0.70833333333333326</v>
      </c>
      <c r="BW50">
        <f>'[37]Template '!$B$78</f>
        <v>0.77777777777777779</v>
      </c>
      <c r="BY50">
        <f>'[37]Template '!$B$96</f>
        <v>0.8</v>
      </c>
      <c r="BZ50">
        <f>'[37]Template '!$B$97</f>
        <v>0.44444444444444448</v>
      </c>
      <c r="CA50">
        <f>'[37]Template '!$B$98</f>
        <v>1</v>
      </c>
      <c r="CB50">
        <f>'[37]Template '!$B$99</f>
        <v>0.88888888888888884</v>
      </c>
      <c r="CC50">
        <f>'[37]Template '!$B$100</f>
        <v>0.794047619047619</v>
      </c>
      <c r="CF50">
        <f>'[37]Template '!$Z$30</f>
        <v>0</v>
      </c>
      <c r="CG50">
        <f>'[37]Template '!$AB$75</f>
        <v>0</v>
      </c>
      <c r="CH50">
        <f>'[37]Template '!$C$89</f>
        <v>0</v>
      </c>
      <c r="CI50">
        <f>'[37]Template '!$AF$75</f>
        <v>0</v>
      </c>
      <c r="CJ50">
        <f>'[37]Template '!$AR$97</f>
        <v>0</v>
      </c>
      <c r="CK50">
        <f>'[37]Template '!$AS$97</f>
        <v>0.5</v>
      </c>
      <c r="CL50">
        <f>'[37]Template '!$AZ$97</f>
        <v>0</v>
      </c>
      <c r="CM50">
        <f>'[37]Template '!$BB$97</f>
        <v>0</v>
      </c>
      <c r="CN50">
        <f>'[37]Template '!$AU$53</f>
        <v>1</v>
      </c>
      <c r="CO50">
        <f>'[37]Template '!$AV$53</f>
        <v>0.5</v>
      </c>
      <c r="CP50">
        <f>'[37]Template '!$AY$53</f>
        <v>0.5</v>
      </c>
      <c r="CQ50">
        <f>'[37]Template '!$AX$53</f>
        <v>1</v>
      </c>
      <c r="CR50">
        <f>'[37]Template '!$AZ$53</f>
        <v>0</v>
      </c>
      <c r="CS50">
        <f>'[37]Template '!$BF$53</f>
        <v>0</v>
      </c>
      <c r="CT50">
        <f t="shared" ref="CT50:CT66" si="9">SUM(CF50:CI50)</f>
        <v>0</v>
      </c>
      <c r="CU50">
        <f t="shared" ref="CU50:CU66" si="10">SUM(CJ50:CS50)</f>
        <v>3.5</v>
      </c>
      <c r="CV50">
        <f t="shared" ref="CV50:CV66" si="11">CT50+CU50</f>
        <v>3.5</v>
      </c>
      <c r="CY50" t="str">
        <f>'[37]Template '!$E$2</f>
        <v>B</v>
      </c>
      <c r="CZ50">
        <f>'[37]Template '!$B$13</f>
        <v>2</v>
      </c>
      <c r="DA50">
        <f>'[37]Template '!$D$2</f>
        <v>1</v>
      </c>
      <c r="DB50" t="str">
        <f>'[37]Template '!$D$3</f>
        <v>9/20/2022</v>
      </c>
      <c r="DC50">
        <f>'[37]Template '!$F$2</f>
        <v>44988</v>
      </c>
      <c r="DE50">
        <f>'[37]Template '!$B$12</f>
        <v>20</v>
      </c>
      <c r="DF50" t="str">
        <f>'[37]Template '!$B$14</f>
        <v>12/21</v>
      </c>
      <c r="DG50" t="str">
        <f>'[37]Template '!$B$15</f>
        <v>3/22</v>
      </c>
      <c r="DH50">
        <f>'[37]Template '!$B$16</f>
        <v>4</v>
      </c>
      <c r="DI50">
        <f>'[37]Template '!$B$17</f>
        <v>0</v>
      </c>
      <c r="DJ50">
        <f>'[37]Template '!$B$18</f>
        <v>0</v>
      </c>
      <c r="DK50">
        <f>'[37]Template '!$B$19</f>
        <v>0</v>
      </c>
      <c r="DL50">
        <f>'[37]Template '!$B$20</f>
        <v>0</v>
      </c>
      <c r="DM50">
        <f>'[37]Template '!$B$21</f>
        <v>0</v>
      </c>
      <c r="DN50">
        <f>'[37]Template '!$B$22</f>
        <v>0</v>
      </c>
      <c r="DP50">
        <f>'[37]Template '!$I$13</f>
        <v>4</v>
      </c>
      <c r="DQ50">
        <f>'[37]Template '!$I$14</f>
        <v>4</v>
      </c>
      <c r="DR50">
        <f>'[37]Template '!$I$15</f>
        <v>4</v>
      </c>
      <c r="DS50">
        <f>'[37]Template '!$I$16</f>
        <v>4</v>
      </c>
      <c r="DT50">
        <f>'[37]Template '!$I$17</f>
        <v>4</v>
      </c>
      <c r="DU50">
        <f>'[37]Template '!$I$18</f>
        <v>4</v>
      </c>
      <c r="DV50">
        <f>'[37]Template '!$I$19</f>
        <v>4</v>
      </c>
      <c r="DW50">
        <f>'[37]Template '!$I$20</f>
        <v>4</v>
      </c>
      <c r="DX50">
        <f>'[37]Template '!$I$21</f>
        <v>3</v>
      </c>
      <c r="DY50">
        <f>'[37]Template '!$I$22</f>
        <v>4</v>
      </c>
      <c r="DZ50">
        <f>'[37]Template '!$I$23</f>
        <v>4</v>
      </c>
      <c r="EA50">
        <f>'[37]Template '!$I$24</f>
        <v>0</v>
      </c>
      <c r="ED50">
        <f>'[37]Template '!$L$13</f>
        <v>4</v>
      </c>
      <c r="EE50">
        <f>'[37]Template '!$L$14</f>
        <v>4</v>
      </c>
      <c r="EF50">
        <f>'[37]Template '!$L$15</f>
        <v>4</v>
      </c>
      <c r="EG50">
        <f>'[37]Template '!$L$16</f>
        <v>4</v>
      </c>
      <c r="EH50">
        <f>'[37]Template '!$L$17</f>
        <v>4</v>
      </c>
      <c r="EI50">
        <f>'[37]Template '!$L$18</f>
        <v>4</v>
      </c>
      <c r="EJ50">
        <f>'[37]Template '!$L$19</f>
        <v>4</v>
      </c>
      <c r="EK50">
        <f>'[37]Template '!$L$20</f>
        <v>4</v>
      </c>
      <c r="EL50">
        <f>'[37]Template '!$L$21</f>
        <v>4</v>
      </c>
      <c r="EM50">
        <f>'[37]Template '!$L$22</f>
        <v>4</v>
      </c>
      <c r="EN50">
        <f>'[37]Template '!$L$23</f>
        <v>4</v>
      </c>
      <c r="EQ50">
        <f>'[37]Template '!$O$13</f>
        <v>4</v>
      </c>
      <c r="ER50">
        <f>'[37]Template '!$O$14</f>
        <v>3</v>
      </c>
      <c r="ES50">
        <f>'[37]Template '!$O$15</f>
        <v>3</v>
      </c>
      <c r="ET50">
        <f>'[37]Template '!$O$16</f>
        <v>4</v>
      </c>
      <c r="EU50">
        <f>'[37]Template '!$O$17</f>
        <v>4</v>
      </c>
      <c r="EV50">
        <f>'[37]Template '!$O$18</f>
        <v>3</v>
      </c>
      <c r="EW50">
        <f>'[37]Template '!$O$19</f>
        <v>2</v>
      </c>
      <c r="EX50">
        <f>'[37]Template '!$O$20</f>
        <v>3</v>
      </c>
      <c r="EY50">
        <f>'[37]Template '!$O$21</f>
        <v>4</v>
      </c>
      <c r="EZ50">
        <f>'[37]Template '!$O$22</f>
        <v>3</v>
      </c>
      <c r="FA50">
        <f>'[37]Template '!$O$23</f>
        <v>4</v>
      </c>
      <c r="FL50">
        <f>'[37]Template '!$D$5</f>
        <v>0.71552579365079361</v>
      </c>
      <c r="FM50">
        <f>'[37]Template '!$D$6</f>
        <v>0.73402777777777772</v>
      </c>
      <c r="FN50">
        <f>'[37]Template '!$D$7</f>
        <v>0.67338624338624342</v>
      </c>
      <c r="FO50">
        <f>'[37]Template '!$D$8</f>
        <v>0.78547619047619044</v>
      </c>
      <c r="FP50">
        <f>'[37]Template '!$D$9</f>
        <v>0.72710400132275133</v>
      </c>
      <c r="FR50">
        <f>'[37]Template '!$E$5</f>
        <v>0.69438608776844069</v>
      </c>
      <c r="FS50">
        <f>'[37]Template '!$E$6</f>
        <v>0.6878968253968254</v>
      </c>
      <c r="FT50">
        <f>'[37]Template '!$E$7</f>
        <v>0.6620436507936508</v>
      </c>
      <c r="FU50">
        <f>'[37]Template '!$E$8</f>
        <v>0.69413419913419916</v>
      </c>
      <c r="FV50">
        <f>'[37]Template '!$E$9</f>
        <v>0.68461519077327893</v>
      </c>
    </row>
    <row r="51" spans="1:178" x14ac:dyDescent="0.2">
      <c r="A51" t="str">
        <f>'[2]Template '!$A$2</f>
        <v>M_014</v>
      </c>
      <c r="C51" t="str">
        <f t="shared" si="8"/>
        <v>M_014.xlsx</v>
      </c>
      <c r="E51" t="str">
        <f>'[2]Template '!$C$2</f>
        <v>D+M</v>
      </c>
      <c r="G51">
        <f>'[2]Template '!$C$29</f>
        <v>0.3888888888888889</v>
      </c>
      <c r="H51" t="str">
        <f>'[2]Template '!$C$30</f>
        <v>n/a</v>
      </c>
      <c r="I51">
        <f>'[2]Template '!$C$31</f>
        <v>0.41666666666666663</v>
      </c>
      <c r="J51">
        <f>'[2]Template '!$C$32</f>
        <v>0.66911764705882359</v>
      </c>
      <c r="K51">
        <f>'[2]Template '!$C$33</f>
        <v>0.76984126984126977</v>
      </c>
      <c r="M51">
        <f>'[2]Template '!$C$80</f>
        <v>1200</v>
      </c>
      <c r="N51">
        <f>'[2]Template '!$C$81</f>
        <v>36</v>
      </c>
      <c r="O51">
        <f>'[2]Template '!$C$82</f>
        <v>3</v>
      </c>
      <c r="P51">
        <f>'[2]Template '!$C$83</f>
        <v>2</v>
      </c>
      <c r="Q51">
        <f>'[2]Template '!$C$84</f>
        <v>3</v>
      </c>
      <c r="R51">
        <f>'[2]Template '!$C$85</f>
        <v>2</v>
      </c>
      <c r="T51">
        <f>'[2]Template '!$C$74</f>
        <v>0.65454545454545454</v>
      </c>
      <c r="U51" t="str">
        <f>'[2]Template '!$C$75</f>
        <v>n/a</v>
      </c>
      <c r="V51">
        <f>'[2]Template '!$C$76</f>
        <v>0.39285714285714285</v>
      </c>
      <c r="W51">
        <f>'[2]Template '!$C$77</f>
        <v>0.40476190476190477</v>
      </c>
      <c r="X51">
        <f>'[2]Template '!$C$78</f>
        <v>0.74603174603174605</v>
      </c>
      <c r="Z51">
        <f>'[2]Template '!$C$80</f>
        <v>1200</v>
      </c>
      <c r="AA51">
        <f>'[2]Template '!$C$81</f>
        <v>36</v>
      </c>
      <c r="AB51">
        <f>'[2]Template '!$C$82</f>
        <v>3</v>
      </c>
      <c r="AC51">
        <f>'[2]Template '!$C$83</f>
        <v>2</v>
      </c>
      <c r="AD51">
        <f>'[2]Template '!$C$84</f>
        <v>3</v>
      </c>
      <c r="AE51">
        <f>'[2]Template '!$C$85</f>
        <v>2</v>
      </c>
      <c r="AG51">
        <f>'[2]Template '!$C$96</f>
        <v>0.66666666666666663</v>
      </c>
      <c r="AH51">
        <f>'[2]Template '!$C$97</f>
        <v>0.40740740740740738</v>
      </c>
      <c r="AI51">
        <f>'[2]Template '!$C$98</f>
        <v>0.5</v>
      </c>
      <c r="AJ51">
        <f>'[2]Template '!$C$99</f>
        <v>0.46897546897546899</v>
      </c>
      <c r="AK51">
        <f>'[2]Template '!$C$100</f>
        <v>0.68333333333333324</v>
      </c>
      <c r="AM51">
        <f>'[2]Template '!$C$102</f>
        <v>1200</v>
      </c>
      <c r="AN51">
        <f>'[2]Template '!$C$103</f>
        <v>55</v>
      </c>
      <c r="AO51">
        <f>'[2]Template '!$C$104</f>
        <v>3</v>
      </c>
      <c r="AP51">
        <f>'[2]Template '!$C$105</f>
        <v>2</v>
      </c>
      <c r="AQ51">
        <f>'[2]Template '!$C$106</f>
        <v>3</v>
      </c>
      <c r="AR51">
        <f>'[2]Template '!$C$107</f>
        <v>2</v>
      </c>
      <c r="AT51">
        <f>'[2]Template '!$C$52</f>
        <v>0.7857142857142857</v>
      </c>
      <c r="AU51">
        <f>'[2]Template '!$C$53</f>
        <v>0.40740740740740738</v>
      </c>
      <c r="AV51">
        <f>'[2]Template '!$C$54</f>
        <v>0.5</v>
      </c>
      <c r="AW51">
        <f>'[2]Template '!$C$55</f>
        <v>0.5</v>
      </c>
      <c r="AX51">
        <f>'[2]Template '!$C$56</f>
        <v>0.74682539682539684</v>
      </c>
      <c r="AZ51">
        <f>'[2]Template '!$C$58</f>
        <v>1200</v>
      </c>
      <c r="BA51">
        <f>'[2]Template '!$C$59</f>
        <v>60</v>
      </c>
      <c r="BB51">
        <f>'[2]Template '!$C$60</f>
        <v>3</v>
      </c>
      <c r="BC51">
        <f>'[2]Template '!$C$61</f>
        <v>4</v>
      </c>
      <c r="BD51">
        <f>'[2]Template '!$C$62</f>
        <v>3</v>
      </c>
      <c r="BE51">
        <f>'[2]Template '!$C$63</f>
        <v>3</v>
      </c>
      <c r="BG51">
        <f>'[2]Template '!$B$29</f>
        <v>0.3888888888888889</v>
      </c>
      <c r="BH51" t="str">
        <f>'[2]Template '!$B$30</f>
        <v>n/a</v>
      </c>
      <c r="BI51">
        <f>'[2]Template '!$B$31</f>
        <v>0.41666666666666663</v>
      </c>
      <c r="BJ51">
        <f>'[2]Template '!$B$32</f>
        <v>0.8125</v>
      </c>
      <c r="BK51">
        <f>'[2]Template '!$B$33</f>
        <v>0.76984126984126977</v>
      </c>
      <c r="BM51">
        <f>'[2]Template '!$B$52</f>
        <v>0.7857142857142857</v>
      </c>
      <c r="BN51">
        <f>'[2]Template '!$B$53</f>
        <v>0.40740740740740738</v>
      </c>
      <c r="BO51">
        <f>'[2]Template '!$B$54</f>
        <v>0.5</v>
      </c>
      <c r="BP51">
        <f>'[2]Template '!$B$55</f>
        <v>0.50925925925925919</v>
      </c>
      <c r="BQ51">
        <f>'[2]Template '!$B$56</f>
        <v>0.74682539682539684</v>
      </c>
      <c r="BS51">
        <f>'[2]Template '!$B$74</f>
        <v>0.65454545454545454</v>
      </c>
      <c r="BT51" t="str">
        <f>'[2]Template '!$B$75</f>
        <v>n/a</v>
      </c>
      <c r="BU51">
        <f>'[2]Template '!$B$76</f>
        <v>0.39285714285714285</v>
      </c>
      <c r="BV51">
        <f>'[2]Template '!$B$77</f>
        <v>0.45833333333333331</v>
      </c>
      <c r="BW51">
        <f>'[2]Template '!$B$78</f>
        <v>0.74603174603174605</v>
      </c>
      <c r="BY51">
        <f>'[2]Template '!$B$96</f>
        <v>0.66666666666666663</v>
      </c>
      <c r="BZ51">
        <f>'[2]Template '!$B$97</f>
        <v>0.40740740740740738</v>
      </c>
      <c r="CA51">
        <f>'[2]Template '!$B$98</f>
        <v>0.5</v>
      </c>
      <c r="CB51">
        <f>'[2]Template '!$B$99</f>
        <v>0.88888888888888884</v>
      </c>
      <c r="CC51">
        <f>'[2]Template '!$B$100</f>
        <v>0.68333333333333324</v>
      </c>
      <c r="CF51">
        <f>'[2]Template '!$Z$30</f>
        <v>0</v>
      </c>
      <c r="CG51">
        <f>'[2]Template '!$AB$75</f>
        <v>0</v>
      </c>
      <c r="CH51">
        <f>'[2]Template '!$C$89</f>
        <v>0</v>
      </c>
      <c r="CI51">
        <f>'[2]Template '!$AF$75</f>
        <v>0</v>
      </c>
      <c r="CJ51">
        <f>'[2]Template '!$AR$97</f>
        <v>0</v>
      </c>
      <c r="CK51">
        <f>'[2]Template '!$AS$97</f>
        <v>0</v>
      </c>
      <c r="CL51">
        <f>'[2]Template '!$AZ$97</f>
        <v>0</v>
      </c>
      <c r="CM51">
        <f>'[2]Template '!$BB$97</f>
        <v>1</v>
      </c>
      <c r="CN51">
        <f>'[2]Template '!$AU$53</f>
        <v>1</v>
      </c>
      <c r="CO51">
        <f>'[2]Template '!$AV$53</f>
        <v>1</v>
      </c>
      <c r="CP51">
        <f>'[2]Template '!$AY$53</f>
        <v>1</v>
      </c>
      <c r="CQ51">
        <f>'[2]Template '!$AX$53</f>
        <v>1</v>
      </c>
      <c r="CR51">
        <f>'[2]Template '!$AZ$53</f>
        <v>0</v>
      </c>
      <c r="CS51">
        <f>'[2]Template '!$BF$53</f>
        <v>0</v>
      </c>
      <c r="CT51">
        <f t="shared" si="9"/>
        <v>0</v>
      </c>
      <c r="CU51">
        <f t="shared" si="10"/>
        <v>5</v>
      </c>
      <c r="CV51">
        <f t="shared" si="11"/>
        <v>5</v>
      </c>
      <c r="CY51" t="str">
        <f>'[2]Template '!$E$2</f>
        <v>B</v>
      </c>
      <c r="CZ51">
        <f>'[2]Template '!$B$13</f>
        <v>1</v>
      </c>
      <c r="DA51">
        <f>'[2]Template '!$D$2</f>
        <v>1</v>
      </c>
      <c r="DB51" t="str">
        <f>'[2]Template '!$D$3</f>
        <v>9/20/2022</v>
      </c>
      <c r="DC51">
        <f>'[2]Template '!$F$2</f>
        <v>44992</v>
      </c>
      <c r="DE51">
        <f>'[2]Template '!$B$12</f>
        <v>23</v>
      </c>
      <c r="DF51" t="str">
        <f>'[2]Template '!$B$14</f>
        <v>11/20</v>
      </c>
      <c r="DG51" t="str">
        <f>'[2]Template '!$B$15</f>
        <v>3/21</v>
      </c>
      <c r="DH51">
        <f>'[2]Template '!$B$16</f>
        <v>18</v>
      </c>
      <c r="DI51">
        <f>'[2]Template '!$B$17</f>
        <v>0</v>
      </c>
      <c r="DJ51">
        <f>'[2]Template '!$B$18</f>
        <v>0</v>
      </c>
      <c r="DK51">
        <f>'[2]Template '!$B$19</f>
        <v>1</v>
      </c>
      <c r="DL51">
        <f>'[2]Template '!$B$20</f>
        <v>1</v>
      </c>
      <c r="DM51">
        <f>'[2]Template '!$B$21</f>
        <v>1</v>
      </c>
      <c r="DN51">
        <f>'[2]Template '!$B$22</f>
        <v>0</v>
      </c>
      <c r="DP51">
        <f>'[2]Template '!$I$13</f>
        <v>4</v>
      </c>
      <c r="DQ51">
        <f>'[2]Template '!$I$14</f>
        <v>4</v>
      </c>
      <c r="DR51">
        <f>'[2]Template '!$I$15</f>
        <v>4</v>
      </c>
      <c r="DS51">
        <f>'[2]Template '!$I$16</f>
        <v>4</v>
      </c>
      <c r="DT51">
        <f>'[2]Template '!$I$17</f>
        <v>4</v>
      </c>
      <c r="DU51">
        <f>'[2]Template '!$I$18</f>
        <v>3</v>
      </c>
      <c r="DV51">
        <f>'[2]Template '!$I$19</f>
        <v>5</v>
      </c>
      <c r="DW51">
        <f>'[2]Template '!$I$20</f>
        <v>3</v>
      </c>
      <c r="DX51">
        <f>'[2]Template '!$I$21</f>
        <v>3</v>
      </c>
      <c r="DY51">
        <f>'[2]Template '!$I$22</f>
        <v>3</v>
      </c>
      <c r="DZ51">
        <f>'[2]Template '!$I$23</f>
        <v>4</v>
      </c>
      <c r="EA51">
        <f>'[2]Template '!$I$24</f>
        <v>2</v>
      </c>
      <c r="ED51">
        <f>'[2]Template '!$L$13</f>
        <v>4</v>
      </c>
      <c r="EE51">
        <f>'[2]Template '!$L$14</f>
        <v>4</v>
      </c>
      <c r="EF51">
        <f>'[2]Template '!$L$15</f>
        <v>4</v>
      </c>
      <c r="EG51">
        <f>'[2]Template '!$L$16</f>
        <v>4</v>
      </c>
      <c r="EH51">
        <f>'[2]Template '!$L$17</f>
        <v>4</v>
      </c>
      <c r="EI51">
        <f>'[2]Template '!$L$18</f>
        <v>3</v>
      </c>
      <c r="EJ51">
        <f>'[2]Template '!$L$19</f>
        <v>5</v>
      </c>
      <c r="EK51">
        <f>'[2]Template '!$L$20</f>
        <v>4</v>
      </c>
      <c r="EL51">
        <f>'[2]Template '!$L$21</f>
        <v>3</v>
      </c>
      <c r="EM51">
        <f>'[2]Template '!$L$22</f>
        <v>4</v>
      </c>
      <c r="EN51">
        <f>'[2]Template '!$L$23</f>
        <v>4</v>
      </c>
      <c r="EQ51">
        <f>'[2]Template '!$O$13</f>
        <v>3</v>
      </c>
      <c r="ER51">
        <f>'[2]Template '!$O$14</f>
        <v>3</v>
      </c>
      <c r="ES51">
        <f>'[2]Template '!$O$15</f>
        <v>2</v>
      </c>
      <c r="ET51">
        <f>'[2]Template '!$O$16</f>
        <v>4</v>
      </c>
      <c r="EU51">
        <f>'[2]Template '!$O$17</f>
        <v>5</v>
      </c>
      <c r="EV51">
        <f>'[2]Template '!$O$18</f>
        <v>3</v>
      </c>
      <c r="EW51">
        <f>'[2]Template '!$O$19</f>
        <v>1</v>
      </c>
      <c r="EX51">
        <f>'[2]Template '!$O$20</f>
        <v>1</v>
      </c>
      <c r="EY51">
        <f>'[2]Template '!$O$21</f>
        <v>2</v>
      </c>
      <c r="EZ51">
        <f>'[2]Template '!$O$22</f>
        <v>3</v>
      </c>
      <c r="FA51">
        <f>'[2]Template '!$O$23</f>
        <v>3</v>
      </c>
      <c r="FL51">
        <f>'[2]Template '!$D$5</f>
        <v>0.59697420634920628</v>
      </c>
      <c r="FM51">
        <f>'[2]Template '!$D$6</f>
        <v>0.56294191919191916</v>
      </c>
      <c r="FN51">
        <f>'[2]Template '!$D$7</f>
        <v>0.58984126984126983</v>
      </c>
      <c r="FO51">
        <f>'[2]Template '!$D$8</f>
        <v>0.62925925925925918</v>
      </c>
      <c r="FP51">
        <f>'[2]Template '!$D$9</f>
        <v>0.59475416366041367</v>
      </c>
      <c r="FR51">
        <f>'[2]Template '!$E$5</f>
        <v>0.56112861811391224</v>
      </c>
      <c r="FS51">
        <f>'[2]Template '!$E$6</f>
        <v>0.54954906204906206</v>
      </c>
      <c r="FT51">
        <f>'[2]Template '!$E$7</f>
        <v>0.58798941798941795</v>
      </c>
      <c r="FU51">
        <f>'[2]Template '!$E$8</f>
        <v>0.54527657527657525</v>
      </c>
      <c r="FV51">
        <f>'[2]Template '!$E$9</f>
        <v>0.56098591835724188</v>
      </c>
    </row>
    <row r="52" spans="1:178" x14ac:dyDescent="0.2">
      <c r="A52" t="str">
        <f>'[3]Template '!$A$2</f>
        <v>M_021</v>
      </c>
      <c r="C52" t="str">
        <f t="shared" si="8"/>
        <v>M_021.xlsx</v>
      </c>
      <c r="E52" t="str">
        <f>'[3]Template '!$C$2</f>
        <v>D+M</v>
      </c>
      <c r="G52">
        <f>'[3]Template '!$C$29</f>
        <v>0.3888888888888889</v>
      </c>
      <c r="H52" t="str">
        <f>'[3]Template '!$C$30</f>
        <v>n/a</v>
      </c>
      <c r="I52">
        <f>'[3]Template '!$C$31</f>
        <v>0.33333333333333331</v>
      </c>
      <c r="J52">
        <f>'[3]Template '!$C$32</f>
        <v>0.47794117647058826</v>
      </c>
      <c r="K52">
        <f>'[3]Template '!$C$33</f>
        <v>0.67063492063492058</v>
      </c>
      <c r="M52">
        <f>'[3]Template '!$C$80</f>
        <v>1200</v>
      </c>
      <c r="N52">
        <f>'[3]Template '!$C$81</f>
        <v>30</v>
      </c>
      <c r="O52">
        <f>'[3]Template '!$C$82</f>
        <v>3.5</v>
      </c>
      <c r="P52">
        <f>'[3]Template '!$C$83</f>
        <v>3.5</v>
      </c>
      <c r="Q52">
        <f>'[3]Template '!$C$84</f>
        <v>4.5</v>
      </c>
      <c r="R52">
        <f>'[3]Template '!$C$85</f>
        <v>2.5</v>
      </c>
      <c r="T52">
        <f>'[3]Template '!$C$74</f>
        <v>0.7</v>
      </c>
      <c r="U52" t="str">
        <f>'[3]Template '!$C$75</f>
        <v>n/a</v>
      </c>
      <c r="V52">
        <f>'[3]Template '!$C$76</f>
        <v>0.42857142857142855</v>
      </c>
      <c r="W52">
        <f>'[3]Template '!$C$77</f>
        <v>0.53422619047619047</v>
      </c>
      <c r="X52">
        <f>'[3]Template '!$C$78</f>
        <v>0.78373015873015872</v>
      </c>
      <c r="Z52">
        <f>'[3]Template '!$C$80</f>
        <v>1200</v>
      </c>
      <c r="AA52">
        <f>'[3]Template '!$C$81</f>
        <v>30</v>
      </c>
      <c r="AB52">
        <f>'[3]Template '!$C$82</f>
        <v>3.5</v>
      </c>
      <c r="AC52">
        <f>'[3]Template '!$C$83</f>
        <v>3.5</v>
      </c>
      <c r="AD52">
        <f>'[3]Template '!$C$84</f>
        <v>4.5</v>
      </c>
      <c r="AE52">
        <f>'[3]Template '!$C$85</f>
        <v>2.5</v>
      </c>
      <c r="AG52">
        <f>'[3]Template '!$C$96</f>
        <v>0.8</v>
      </c>
      <c r="AH52">
        <f>'[3]Template '!$C$97</f>
        <v>0.72222222222222232</v>
      </c>
      <c r="AI52">
        <f>'[3]Template '!$C$98</f>
        <v>0.5</v>
      </c>
      <c r="AJ52">
        <f>'[3]Template '!$C$99</f>
        <v>0.21428571428571422</v>
      </c>
      <c r="AK52">
        <f>'[3]Template '!$C$100</f>
        <v>0.64603174603174607</v>
      </c>
      <c r="AM52">
        <f>'[3]Template '!$C$102</f>
        <v>1200</v>
      </c>
      <c r="AN52">
        <f>'[3]Template '!$C$103</f>
        <v>25</v>
      </c>
      <c r="AO52">
        <f>'[3]Template '!$C$104</f>
        <v>3.5</v>
      </c>
      <c r="AP52">
        <f>'[3]Template '!$C$105</f>
        <v>3</v>
      </c>
      <c r="AQ52">
        <f>'[3]Template '!$C$106</f>
        <v>3.5</v>
      </c>
      <c r="AR52">
        <f>'[3]Template '!$C$107</f>
        <v>2</v>
      </c>
      <c r="AT52">
        <f>'[3]Template '!$C$52</f>
        <v>0.69444444444444442</v>
      </c>
      <c r="AU52">
        <f>'[3]Template '!$C$53</f>
        <v>0.72222222222222232</v>
      </c>
      <c r="AV52">
        <f>'[3]Template '!$C$54</f>
        <v>0.5</v>
      </c>
      <c r="AW52">
        <f>'[3]Template '!$C$55</f>
        <v>0.24107142857142858</v>
      </c>
      <c r="AX52">
        <f>'[3]Template '!$C$56</f>
        <v>0.57658730158730165</v>
      </c>
      <c r="AZ52">
        <f>'[3]Template '!$C$58</f>
        <v>1200</v>
      </c>
      <c r="BA52">
        <f>'[3]Template '!$C$59</f>
        <v>35</v>
      </c>
      <c r="BB52">
        <f>'[3]Template '!$C$60</f>
        <v>3.5</v>
      </c>
      <c r="BC52">
        <f>'[3]Template '!$C$61</f>
        <v>2.5</v>
      </c>
      <c r="BD52">
        <f>'[3]Template '!$C$62</f>
        <v>3.5</v>
      </c>
      <c r="BE52">
        <f>'[3]Template '!$C$63</f>
        <v>2.5</v>
      </c>
      <c r="BG52">
        <f>'[3]Template '!$B$29</f>
        <v>0.3888888888888889</v>
      </c>
      <c r="BH52" t="str">
        <f>'[3]Template '!$B$30</f>
        <v>n/a</v>
      </c>
      <c r="BI52">
        <f>'[3]Template '!$B$31</f>
        <v>0.33333333333333331</v>
      </c>
      <c r="BJ52">
        <f>'[3]Template '!$B$32</f>
        <v>0.5625</v>
      </c>
      <c r="BK52">
        <f>'[3]Template '!$B$33</f>
        <v>0.67063492063492058</v>
      </c>
      <c r="BM52">
        <f>'[3]Template '!$B$52</f>
        <v>0.69444444444444442</v>
      </c>
      <c r="BN52">
        <f>'[3]Template '!$B$53</f>
        <v>0.72222222222222232</v>
      </c>
      <c r="BO52">
        <f>'[3]Template '!$B$54</f>
        <v>0.5</v>
      </c>
      <c r="BP52">
        <f>'[3]Template '!$B$55</f>
        <v>0.41666666666666669</v>
      </c>
      <c r="BQ52">
        <f>'[3]Template '!$B$56</f>
        <v>0.57658730158730165</v>
      </c>
      <c r="BS52">
        <f>'[3]Template '!$B$74</f>
        <v>0.7</v>
      </c>
      <c r="BT52" t="str">
        <f>'[3]Template '!$B$75</f>
        <v>n/a</v>
      </c>
      <c r="BU52">
        <f>'[3]Template '!$B$76</f>
        <v>0.42857142857142855</v>
      </c>
      <c r="BV52">
        <f>'[3]Template '!$B$77</f>
        <v>0.70833333333333326</v>
      </c>
      <c r="BW52">
        <f>'[3]Template '!$B$78</f>
        <v>0.78373015873015872</v>
      </c>
      <c r="BY52">
        <f>'[3]Template '!$B$96</f>
        <v>0.8</v>
      </c>
      <c r="BZ52">
        <f>'[3]Template '!$B$97</f>
        <v>0.72222222222222232</v>
      </c>
      <c r="CA52">
        <f>'[3]Template '!$B$98</f>
        <v>0.5</v>
      </c>
      <c r="CB52">
        <f>'[3]Template '!$B$99</f>
        <v>0.33333333333333331</v>
      </c>
      <c r="CC52">
        <f>'[3]Template '!$B$100</f>
        <v>0.64603174603174607</v>
      </c>
      <c r="CF52">
        <f>'[3]Template '!$Z$30</f>
        <v>0</v>
      </c>
      <c r="CG52">
        <f>'[3]Template '!$AB$75</f>
        <v>0</v>
      </c>
      <c r="CH52">
        <f>'[3]Template '!$C$89</f>
        <v>0</v>
      </c>
      <c r="CI52">
        <f>'[3]Template '!$AF$75</f>
        <v>0</v>
      </c>
      <c r="CJ52">
        <f>'[3]Template '!$AR$97</f>
        <v>0.5</v>
      </c>
      <c r="CK52">
        <f>'[3]Template '!$AS$97</f>
        <v>0</v>
      </c>
      <c r="CL52">
        <f>'[3]Template '!$AZ$97</f>
        <v>0</v>
      </c>
      <c r="CM52">
        <f>'[3]Template '!$BB$97</f>
        <v>0</v>
      </c>
      <c r="CN52">
        <f>'[3]Template '!$AU$53</f>
        <v>0</v>
      </c>
      <c r="CO52">
        <f>'[3]Template '!$AV$53</f>
        <v>0</v>
      </c>
      <c r="CP52">
        <f>'[3]Template '!$AY$53</f>
        <v>0</v>
      </c>
      <c r="CQ52">
        <f>'[3]Template '!$AX$53</f>
        <v>0</v>
      </c>
      <c r="CR52">
        <f>'[3]Template '!$AZ$53</f>
        <v>0</v>
      </c>
      <c r="CS52">
        <f>'[3]Template '!$BF$53</f>
        <v>0</v>
      </c>
      <c r="CT52">
        <f t="shared" si="9"/>
        <v>0</v>
      </c>
      <c r="CU52">
        <f t="shared" si="10"/>
        <v>0.5</v>
      </c>
      <c r="CV52">
        <f t="shared" si="11"/>
        <v>0.5</v>
      </c>
      <c r="CY52" t="str">
        <f>'[3]Template '!$E$2</f>
        <v>B</v>
      </c>
      <c r="CZ52">
        <f>'[3]Template '!$B$13</f>
        <v>2</v>
      </c>
      <c r="DA52">
        <f>'[3]Template '!$D$2</f>
        <v>1</v>
      </c>
      <c r="DB52" t="str">
        <f>'[3]Template '!$D$3</f>
        <v>9/20/2022</v>
      </c>
      <c r="DC52">
        <f>'[3]Template '!$F$2</f>
        <v>44960</v>
      </c>
      <c r="DE52">
        <f>'[3]Template '!$B$12</f>
        <v>25</v>
      </c>
      <c r="DF52" t="str">
        <f>'[3]Template '!$B$14</f>
        <v>3/20</v>
      </c>
      <c r="DG52" t="str">
        <f>'[3]Template '!$B$15</f>
        <v>7/20</v>
      </c>
      <c r="DH52">
        <f>'[3]Template '!$B$16</f>
        <v>24</v>
      </c>
      <c r="DI52">
        <f>'[3]Template '!$B$17</f>
        <v>0</v>
      </c>
      <c r="DJ52">
        <f>'[3]Template '!$B$18</f>
        <v>0</v>
      </c>
      <c r="DK52">
        <f>'[3]Template '!$B$19</f>
        <v>1</v>
      </c>
      <c r="DL52">
        <f>'[3]Template '!$B$20</f>
        <v>1</v>
      </c>
      <c r="DM52">
        <f>'[3]Template '!$B$21</f>
        <v>0</v>
      </c>
      <c r="DN52">
        <f>'[3]Template '!$B$22</f>
        <v>0</v>
      </c>
      <c r="DP52">
        <f>'[3]Template '!$I$13</f>
        <v>4</v>
      </c>
      <c r="DQ52">
        <f>'[3]Template '!$I$14</f>
        <v>3</v>
      </c>
      <c r="DR52">
        <f>'[3]Template '!$I$15</f>
        <v>4</v>
      </c>
      <c r="DS52">
        <f>'[3]Template '!$I$16</f>
        <v>3</v>
      </c>
      <c r="DT52">
        <f>'[3]Template '!$I$17</f>
        <v>3</v>
      </c>
      <c r="DU52">
        <f>'[3]Template '!$I$18</f>
        <v>3</v>
      </c>
      <c r="DV52">
        <f>'[3]Template '!$I$19</f>
        <v>4</v>
      </c>
      <c r="DW52">
        <f>'[3]Template '!$I$20</f>
        <v>3</v>
      </c>
      <c r="DX52">
        <f>'[3]Template '!$I$21</f>
        <v>3</v>
      </c>
      <c r="DY52">
        <f>'[3]Template '!$I$22</f>
        <v>4</v>
      </c>
      <c r="DZ52">
        <f>'[3]Template '!$I$23</f>
        <v>5</v>
      </c>
      <c r="EA52">
        <f>'[3]Template '!$I$24</f>
        <v>0</v>
      </c>
      <c r="ED52">
        <f>'[3]Template '!$L$13</f>
        <v>3</v>
      </c>
      <c r="EE52">
        <f>'[3]Template '!$L$14</f>
        <v>3</v>
      </c>
      <c r="EF52">
        <f>'[3]Template '!$L$15</f>
        <v>3</v>
      </c>
      <c r="EG52">
        <f>'[3]Template '!$L$16</f>
        <v>2</v>
      </c>
      <c r="EH52">
        <f>'[3]Template '!$L$17</f>
        <v>3</v>
      </c>
      <c r="EI52">
        <f>'[3]Template '!$L$18</f>
        <v>2</v>
      </c>
      <c r="EJ52">
        <f>'[3]Template '!$L$19</f>
        <v>4</v>
      </c>
      <c r="EK52">
        <f>'[3]Template '!$L$20</f>
        <v>4</v>
      </c>
      <c r="EL52">
        <f>'[3]Template '!$L$21</f>
        <v>2</v>
      </c>
      <c r="EM52">
        <f>'[3]Template '!$L$22</f>
        <v>3</v>
      </c>
      <c r="EN52">
        <f>'[3]Template '!$L$23</f>
        <v>4</v>
      </c>
      <c r="EQ52">
        <f>'[3]Template '!$O$13</f>
        <v>2</v>
      </c>
      <c r="ER52">
        <f>'[3]Template '!$O$14</f>
        <v>2</v>
      </c>
      <c r="ES52">
        <f>'[3]Template '!$O$15</f>
        <v>2</v>
      </c>
      <c r="ET52">
        <f>'[3]Template '!$O$16</f>
        <v>2</v>
      </c>
      <c r="EU52">
        <f>'[3]Template '!$O$17</f>
        <v>4</v>
      </c>
      <c r="EV52">
        <f>'[3]Template '!$O$18</f>
        <v>2</v>
      </c>
      <c r="EW52">
        <f>'[3]Template '!$O$19</f>
        <v>2</v>
      </c>
      <c r="EX52">
        <f>'[3]Template '!$O$20</f>
        <v>2</v>
      </c>
      <c r="EY52">
        <f>'[3]Template '!$O$21</f>
        <v>2</v>
      </c>
      <c r="EZ52">
        <f>'[3]Template '!$O$22</f>
        <v>2</v>
      </c>
      <c r="FA52">
        <f>'[3]Template '!$O$23</f>
        <v>2</v>
      </c>
      <c r="FL52">
        <f>'[3]Template '!$D$5</f>
        <v>0.4888392857142857</v>
      </c>
      <c r="FM52">
        <f>'[3]Template '!$D$6</f>
        <v>0.65515873015873016</v>
      </c>
      <c r="FN52">
        <f>'[3]Template '!$D$7</f>
        <v>0.58198412698412705</v>
      </c>
      <c r="FO52">
        <f>'[3]Template '!$D$8</f>
        <v>0.60031746031746036</v>
      </c>
      <c r="FP52">
        <f>'[3]Template '!$D$9</f>
        <v>0.58157490079365082</v>
      </c>
      <c r="FR52">
        <f>'[3]Template '!$E$5</f>
        <v>0.46769957983193278</v>
      </c>
      <c r="FS52">
        <f>'[3]Template '!$E$6</f>
        <v>0.61163194444444446</v>
      </c>
      <c r="FT52">
        <f>'[3]Template '!$E$7</f>
        <v>0.54686507936507944</v>
      </c>
      <c r="FU52">
        <f>'[3]Template '!$E$8</f>
        <v>0.57650793650793652</v>
      </c>
      <c r="FV52">
        <f>'[3]Template '!$E$9</f>
        <v>0.55067613503734825</v>
      </c>
    </row>
    <row r="53" spans="1:178" x14ac:dyDescent="0.2">
      <c r="A53" t="str">
        <f>'[6]Template '!$A$2</f>
        <v>M_028</v>
      </c>
      <c r="C53" t="str">
        <f t="shared" si="8"/>
        <v>M_028.xlsx</v>
      </c>
      <c r="E53" t="str">
        <f>'[6]Template '!$C$2</f>
        <v>D+M</v>
      </c>
      <c r="G53">
        <f>'[6]Template '!$C$29</f>
        <v>0.41666666666666669</v>
      </c>
      <c r="H53" t="str">
        <f>'[6]Template '!$C$30</f>
        <v>n/a</v>
      </c>
      <c r="I53">
        <f>'[6]Template '!$C$31</f>
        <v>0.83333333333333326</v>
      </c>
      <c r="J53">
        <f>'[6]Template '!$C$32</f>
        <v>0.49183006535947715</v>
      </c>
      <c r="K53">
        <f>'[6]Template '!$C$33</f>
        <v>0.75198412698412687</v>
      </c>
      <c r="M53">
        <f>'[6]Template '!$C$80</f>
        <v>1200</v>
      </c>
      <c r="N53">
        <f>'[6]Template '!$C$81</f>
        <v>57</v>
      </c>
      <c r="O53">
        <f>'[6]Template '!$C$82</f>
        <v>3</v>
      </c>
      <c r="P53">
        <f>'[6]Template '!$C$83</f>
        <v>4</v>
      </c>
      <c r="Q53">
        <f>'[6]Template '!$C$84</f>
        <v>3</v>
      </c>
      <c r="R53">
        <f>'[6]Template '!$C$85</f>
        <v>3</v>
      </c>
      <c r="T53">
        <f>'[6]Template '!$C$74</f>
        <v>0.65454545454545454</v>
      </c>
      <c r="U53" t="str">
        <f>'[6]Template '!$C$75</f>
        <v>n/a</v>
      </c>
      <c r="V53">
        <f>'[6]Template '!$C$76</f>
        <v>0.7142857142857143</v>
      </c>
      <c r="W53">
        <f>'[6]Template '!$C$77</f>
        <v>0.73809523809523814</v>
      </c>
      <c r="X53">
        <f>'[6]Template '!$C$78</f>
        <v>0.86706349206349209</v>
      </c>
      <c r="Z53">
        <f>'[6]Template '!$C$80</f>
        <v>1200</v>
      </c>
      <c r="AA53">
        <f>'[6]Template '!$C$81</f>
        <v>57</v>
      </c>
      <c r="AB53">
        <f>'[6]Template '!$C$82</f>
        <v>3</v>
      </c>
      <c r="AC53">
        <f>'[6]Template '!$C$83</f>
        <v>4</v>
      </c>
      <c r="AD53">
        <f>'[6]Template '!$C$84</f>
        <v>3</v>
      </c>
      <c r="AE53">
        <f>'[6]Template '!$C$85</f>
        <v>3</v>
      </c>
      <c r="AG53">
        <f>'[6]Template '!$C$96</f>
        <v>0.75</v>
      </c>
      <c r="AH53">
        <f>'[6]Template '!$C$97</f>
        <v>0.53703703703703709</v>
      </c>
      <c r="AI53">
        <f>'[6]Template '!$C$98</f>
        <v>1</v>
      </c>
      <c r="AJ53">
        <f>'[6]Template '!$C$99</f>
        <v>0.49278499278499277</v>
      </c>
      <c r="AK53">
        <f>'[6]Template '!$C$100</f>
        <v>0.68134920634920648</v>
      </c>
      <c r="AM53">
        <f>'[6]Template '!$C$102</f>
        <v>1200</v>
      </c>
      <c r="AN53">
        <f>'[6]Template '!$C$103</f>
        <v>35</v>
      </c>
      <c r="AO53">
        <f>'[6]Template '!$C$104</f>
        <v>4</v>
      </c>
      <c r="AP53">
        <f>'[6]Template '!$C$105</f>
        <v>2</v>
      </c>
      <c r="AQ53">
        <f>'[6]Template '!$C$106</f>
        <v>2</v>
      </c>
      <c r="AR53">
        <f>'[6]Template '!$C$107</f>
        <v>2</v>
      </c>
      <c r="AT53">
        <f>'[6]Template '!$C$52</f>
        <v>0.75</v>
      </c>
      <c r="AU53">
        <f>'[6]Template '!$C$53</f>
        <v>0.53703703703703709</v>
      </c>
      <c r="AV53">
        <f>'[6]Template '!$C$54</f>
        <v>0</v>
      </c>
      <c r="AW53">
        <f>'[6]Template '!$C$55</f>
        <v>0.13541666666666666</v>
      </c>
      <c r="AX53">
        <f>'[6]Template '!$C$56</f>
        <v>0.75674603174603172</v>
      </c>
      <c r="AZ53">
        <f>'[6]Template '!$C$58</f>
        <v>1200</v>
      </c>
      <c r="BA53">
        <f>'[6]Template '!$C$59</f>
        <v>30</v>
      </c>
      <c r="BB53">
        <f>'[6]Template '!$C$60</f>
        <v>4</v>
      </c>
      <c r="BC53">
        <f>'[6]Template '!$C$61</f>
        <v>3</v>
      </c>
      <c r="BD53">
        <f>'[6]Template '!$C$62</f>
        <v>3</v>
      </c>
      <c r="BE53">
        <f>'[6]Template '!$C$63</f>
        <v>1</v>
      </c>
      <c r="BG53">
        <f>'[6]Template '!$B$29</f>
        <v>0.41666666666666669</v>
      </c>
      <c r="BH53" t="str">
        <f>'[6]Template '!$B$30</f>
        <v>n/a</v>
      </c>
      <c r="BI53">
        <f>'[6]Template '!$B$31</f>
        <v>0.83333333333333326</v>
      </c>
      <c r="BJ53">
        <f>'[6]Template '!$B$32</f>
        <v>0.5625</v>
      </c>
      <c r="BK53">
        <f>'[6]Template '!$B$33</f>
        <v>0.75198412698412687</v>
      </c>
      <c r="BM53">
        <f>'[6]Template '!$B$52</f>
        <v>0.75</v>
      </c>
      <c r="BN53">
        <f>'[6]Template '!$B$53</f>
        <v>0.53703703703703709</v>
      </c>
      <c r="BO53">
        <f>'[6]Template '!$B$54</f>
        <v>0</v>
      </c>
      <c r="BP53">
        <f>'[6]Template '!$B$55</f>
        <v>0.17592592592592593</v>
      </c>
      <c r="BQ53">
        <f>'[6]Template '!$B$56</f>
        <v>0.75674603174603172</v>
      </c>
      <c r="BS53">
        <f>'[6]Template '!$B$74</f>
        <v>0.65454545454545454</v>
      </c>
      <c r="BT53" t="str">
        <f>'[6]Template '!$B$75</f>
        <v>n/a</v>
      </c>
      <c r="BU53">
        <f>'[6]Template '!$B$76</f>
        <v>0.7142857142857143</v>
      </c>
      <c r="BV53">
        <f>'[6]Template '!$B$77</f>
        <v>0.83333333333333326</v>
      </c>
      <c r="BW53">
        <f>'[6]Template '!$B$78</f>
        <v>0.86706349206349209</v>
      </c>
      <c r="BY53">
        <f>'[6]Template '!$B$96</f>
        <v>0.75</v>
      </c>
      <c r="BZ53">
        <f>'[6]Template '!$B$97</f>
        <v>0.53703703703703709</v>
      </c>
      <c r="CA53">
        <f>'[6]Template '!$B$98</f>
        <v>1</v>
      </c>
      <c r="CB53">
        <f>'[6]Template '!$B$99</f>
        <v>0.88888888888888884</v>
      </c>
      <c r="CC53">
        <f>'[6]Template '!$B$100</f>
        <v>0.68134920634920648</v>
      </c>
      <c r="CF53">
        <f>'[6]Template '!$Z$30</f>
        <v>0</v>
      </c>
      <c r="CG53">
        <f>'[6]Template '!$AB$75</f>
        <v>1</v>
      </c>
      <c r="CH53">
        <f>'[6]Template '!$C$89</f>
        <v>1</v>
      </c>
      <c r="CI53">
        <f>'[6]Template '!$AF$75</f>
        <v>0</v>
      </c>
      <c r="CJ53">
        <f>'[6]Template '!$AR$97</f>
        <v>0</v>
      </c>
      <c r="CK53">
        <f>'[6]Template '!$AS$97</f>
        <v>0</v>
      </c>
      <c r="CL53">
        <f>'[6]Template '!$AZ$97</f>
        <v>0.5</v>
      </c>
      <c r="CM53">
        <f>'[6]Template '!$BB$97</f>
        <v>0.5</v>
      </c>
      <c r="CN53">
        <f>'[6]Template '!$AU$53</f>
        <v>0</v>
      </c>
      <c r="CO53">
        <f>'[6]Template '!$AV$53</f>
        <v>0</v>
      </c>
      <c r="CP53">
        <f>'[6]Template '!$AY$53</f>
        <v>0</v>
      </c>
      <c r="CQ53">
        <f>'[6]Template '!$AX$53</f>
        <v>0</v>
      </c>
      <c r="CR53">
        <f>'[6]Template '!$AZ$53</f>
        <v>0</v>
      </c>
      <c r="CS53">
        <f>'[6]Template '!$BF$53</f>
        <v>0</v>
      </c>
      <c r="CT53">
        <f t="shared" si="9"/>
        <v>2</v>
      </c>
      <c r="CU53">
        <f t="shared" si="10"/>
        <v>1</v>
      </c>
      <c r="CV53">
        <f t="shared" si="11"/>
        <v>3</v>
      </c>
      <c r="CY53" t="str">
        <f>'[6]Template '!$E$2</f>
        <v>A</v>
      </c>
      <c r="CZ53">
        <f>'[6]Template '!$B$13</f>
        <v>2</v>
      </c>
      <c r="DA53">
        <f>'[6]Template '!$D$2</f>
        <v>1</v>
      </c>
      <c r="DB53" t="str">
        <f>'[6]Template '!$D$3</f>
        <v>9/20/2022</v>
      </c>
      <c r="DC53">
        <f>'[6]Template '!$F$2</f>
        <v>44992</v>
      </c>
      <c r="DE53">
        <f>'[6]Template '!$B$12</f>
        <v>21</v>
      </c>
      <c r="DF53" t="str">
        <f>'[6]Template '!$B$14</f>
        <v>5/20</v>
      </c>
      <c r="DG53" t="str">
        <f>'[6]Template '!$B$15</f>
        <v>9/20</v>
      </c>
      <c r="DH53">
        <f>'[6]Template '!$B$16</f>
        <v>24</v>
      </c>
      <c r="DI53">
        <f>'[6]Template '!$B$17</f>
        <v>0</v>
      </c>
      <c r="DJ53">
        <f>'[6]Template '!$B$18</f>
        <v>0</v>
      </c>
      <c r="DK53">
        <f>'[6]Template '!$B$19</f>
        <v>1</v>
      </c>
      <c r="DL53">
        <f>'[6]Template '!$B$20</f>
        <v>1</v>
      </c>
      <c r="DM53">
        <f>'[6]Template '!$B$21</f>
        <v>0</v>
      </c>
      <c r="DN53">
        <f>'[6]Template '!$B$22</f>
        <v>0</v>
      </c>
      <c r="DP53">
        <f>'[6]Template '!$I$13</f>
        <v>4</v>
      </c>
      <c r="DQ53">
        <f>'[6]Template '!$I$14</f>
        <v>4</v>
      </c>
      <c r="DR53">
        <f>'[6]Template '!$I$15</f>
        <v>4</v>
      </c>
      <c r="DS53">
        <f>'[6]Template '!$I$16</f>
        <v>3</v>
      </c>
      <c r="DT53">
        <f>'[6]Template '!$I$17</f>
        <v>4</v>
      </c>
      <c r="DU53">
        <f>'[6]Template '!$I$18</f>
        <v>4</v>
      </c>
      <c r="DV53">
        <f>'[6]Template '!$I$19</f>
        <v>5</v>
      </c>
      <c r="DW53">
        <f>'[6]Template '!$I$20</f>
        <v>3</v>
      </c>
      <c r="DX53">
        <f>'[6]Template '!$I$21</f>
        <v>3</v>
      </c>
      <c r="DY53">
        <f>'[6]Template '!$I$22</f>
        <v>4</v>
      </c>
      <c r="DZ53">
        <f>'[6]Template '!$I$23</f>
        <v>4</v>
      </c>
      <c r="EA53">
        <f>'[6]Template '!$I$24</f>
        <v>0</v>
      </c>
      <c r="ED53">
        <f>'[6]Template '!$L$13</f>
        <v>4</v>
      </c>
      <c r="EE53">
        <f>'[6]Template '!$L$14</f>
        <v>4</v>
      </c>
      <c r="EF53">
        <f>'[6]Template '!$L$15</f>
        <v>4</v>
      </c>
      <c r="EG53">
        <f>'[6]Template '!$L$16</f>
        <v>3</v>
      </c>
      <c r="EH53">
        <f>'[6]Template '!$L$17</f>
        <v>4</v>
      </c>
      <c r="EI53">
        <f>'[6]Template '!$L$18</f>
        <v>4</v>
      </c>
      <c r="EJ53">
        <f>'[6]Template '!$L$19</f>
        <v>4</v>
      </c>
      <c r="EK53">
        <f>'[6]Template '!$L$20</f>
        <v>3</v>
      </c>
      <c r="EL53">
        <f>'[6]Template '!$L$21</f>
        <v>3</v>
      </c>
      <c r="EM53">
        <f>'[6]Template '!$L$22</f>
        <v>4</v>
      </c>
      <c r="EN53">
        <f>'[6]Template '!$L$23</f>
        <v>4</v>
      </c>
      <c r="EQ53">
        <f>'[6]Template '!$O$13</f>
        <v>4</v>
      </c>
      <c r="ER53">
        <f>'[6]Template '!$O$14</f>
        <v>3</v>
      </c>
      <c r="ES53">
        <f>'[6]Template '!$O$15</f>
        <v>2</v>
      </c>
      <c r="ET53">
        <f>'[6]Template '!$O$16</f>
        <v>2</v>
      </c>
      <c r="EU53">
        <f>'[6]Template '!$O$17</f>
        <v>5</v>
      </c>
      <c r="EV53">
        <f>'[6]Template '!$O$18</f>
        <v>2</v>
      </c>
      <c r="EW53">
        <f>'[6]Template '!$O$19</f>
        <v>3</v>
      </c>
      <c r="EX53">
        <f>'[6]Template '!$O$20</f>
        <v>3</v>
      </c>
      <c r="EY53">
        <f>'[6]Template '!$O$21</f>
        <v>2</v>
      </c>
      <c r="EZ53">
        <f>'[6]Template '!$O$22</f>
        <v>3</v>
      </c>
      <c r="FA53">
        <f>'[6]Template '!$O$23</f>
        <v>4</v>
      </c>
      <c r="FL53">
        <f>'[6]Template '!$D$5</f>
        <v>0.64112103174603174</v>
      </c>
      <c r="FM53">
        <f>'[6]Template '!$D$6</f>
        <v>0.76730699855699847</v>
      </c>
      <c r="FN53">
        <f>'[6]Template '!$D$7</f>
        <v>0.44394179894179897</v>
      </c>
      <c r="FO53">
        <f>'[6]Template '!$D$8</f>
        <v>0.7714550264550265</v>
      </c>
      <c r="FP53">
        <f>'[6]Template '!$D$9</f>
        <v>0.65595621392496395</v>
      </c>
      <c r="FR53">
        <f>'[6]Template '!$E$5</f>
        <v>0.62345354808590103</v>
      </c>
      <c r="FS53">
        <f>'[6]Template '!$E$6</f>
        <v>0.74349747474747474</v>
      </c>
      <c r="FT53">
        <f>'[6]Template '!$E$7</f>
        <v>0.43583994708994711</v>
      </c>
      <c r="FU53">
        <f>'[6]Template '!$E$8</f>
        <v>0.69223424723424731</v>
      </c>
      <c r="FV53">
        <f>'[6]Template '!$E$9</f>
        <v>0.62375630428939255</v>
      </c>
    </row>
    <row r="54" spans="1:178" x14ac:dyDescent="0.2">
      <c r="A54" t="str">
        <f>'[7]Template '!$A$2</f>
        <v>M_029</v>
      </c>
      <c r="C54" t="str">
        <f t="shared" si="8"/>
        <v>M_029.xlsx</v>
      </c>
      <c r="E54" t="str">
        <f>'[7]Template '!$C$2</f>
        <v>D+M</v>
      </c>
      <c r="G54">
        <f>'[7]Template '!$C$29</f>
        <v>0.83333333333333337</v>
      </c>
      <c r="H54" t="str">
        <f>'[7]Template '!$C$30</f>
        <v>n/a</v>
      </c>
      <c r="I54">
        <f>'[7]Template '!$C$31</f>
        <v>0.41666666666666663</v>
      </c>
      <c r="J54">
        <f>'[7]Template '!$C$32</f>
        <v>0.61029411764705888</v>
      </c>
      <c r="K54">
        <f>'[7]Template '!$C$33</f>
        <v>0.59126984126984128</v>
      </c>
      <c r="M54">
        <f>'[7]Template '!$C$80</f>
        <v>1200</v>
      </c>
      <c r="N54">
        <f>'[7]Template '!$C$81</f>
        <v>15</v>
      </c>
      <c r="O54">
        <f>'[7]Template '!$C$82</f>
        <v>2</v>
      </c>
      <c r="P54">
        <f>'[7]Template '!$C$83</f>
        <v>1.5</v>
      </c>
      <c r="Q54">
        <f>'[7]Template '!$C$84</f>
        <v>3</v>
      </c>
      <c r="R54">
        <f>'[7]Template '!$C$85</f>
        <v>1.5</v>
      </c>
      <c r="T54">
        <f>'[7]Template '!$C$74</f>
        <v>0.49545454545454548</v>
      </c>
      <c r="U54" t="str">
        <f>'[7]Template '!$C$75</f>
        <v>n/a</v>
      </c>
      <c r="V54">
        <f>'[7]Template '!$C$76</f>
        <v>3.5714285714285712E-2</v>
      </c>
      <c r="W54">
        <f>'[7]Template '!$C$77</f>
        <v>0.47619047619047616</v>
      </c>
      <c r="X54">
        <f>'[7]Template '!$C$78</f>
        <v>0.4424603174603175</v>
      </c>
      <c r="Z54">
        <f>'[7]Template '!$C$80</f>
        <v>1200</v>
      </c>
      <c r="AA54">
        <f>'[7]Template '!$C$81</f>
        <v>15</v>
      </c>
      <c r="AB54">
        <f>'[7]Template '!$C$82</f>
        <v>2</v>
      </c>
      <c r="AC54">
        <f>'[7]Template '!$C$83</f>
        <v>1.5</v>
      </c>
      <c r="AD54">
        <f>'[7]Template '!$C$84</f>
        <v>3</v>
      </c>
      <c r="AE54">
        <f>'[7]Template '!$C$85</f>
        <v>1.5</v>
      </c>
      <c r="AG54">
        <f>'[7]Template '!$C$96</f>
        <v>0.6875</v>
      </c>
      <c r="AH54">
        <f>'[7]Template '!$C$97</f>
        <v>0.37407407407407406</v>
      </c>
      <c r="AI54">
        <f>'[7]Template '!$C$98</f>
        <v>0.5</v>
      </c>
      <c r="AJ54">
        <f>'[7]Template '!$C$99</f>
        <v>0.35425685425685427</v>
      </c>
      <c r="AK54">
        <f>'[7]Template '!$C$100</f>
        <v>0.51904761904761909</v>
      </c>
      <c r="AM54">
        <f>'[7]Template '!$C$102</f>
        <v>1200</v>
      </c>
      <c r="AN54">
        <f>'[7]Template '!$C$103</f>
        <v>20</v>
      </c>
      <c r="AO54">
        <f>'[7]Template '!$C$104</f>
        <v>2</v>
      </c>
      <c r="AP54">
        <f>'[7]Template '!$C$105</f>
        <v>2</v>
      </c>
      <c r="AQ54">
        <f>'[7]Template '!$C$106</f>
        <v>3</v>
      </c>
      <c r="AR54">
        <f>'[7]Template '!$C$107</f>
        <v>2</v>
      </c>
      <c r="AT54">
        <f>'[7]Template '!$C$52</f>
        <v>0.68055555555555558</v>
      </c>
      <c r="AU54">
        <f>'[7]Template '!$C$53</f>
        <v>0.37407407407407406</v>
      </c>
      <c r="AV54">
        <f>'[7]Template '!$C$54</f>
        <v>0.5</v>
      </c>
      <c r="AW54">
        <f>'[7]Template '!$C$55</f>
        <v>0.27083333333333331</v>
      </c>
      <c r="AX54">
        <f>'[7]Template '!$C$56</f>
        <v>0.65</v>
      </c>
      <c r="AZ54">
        <f>'[7]Template '!$C$58</f>
        <v>1200</v>
      </c>
      <c r="BA54">
        <f>'[7]Template '!$C$59</f>
        <v>25</v>
      </c>
      <c r="BB54">
        <f>'[7]Template '!$C$60</f>
        <v>2</v>
      </c>
      <c r="BC54">
        <f>'[7]Template '!$C$61</f>
        <v>2</v>
      </c>
      <c r="BD54">
        <f>'[7]Template '!$C$62</f>
        <v>4</v>
      </c>
      <c r="BE54">
        <f>'[7]Template '!$C$63</f>
        <v>1.5</v>
      </c>
      <c r="BG54">
        <f>'[7]Template '!$B$29</f>
        <v>0.83333333333333337</v>
      </c>
      <c r="BH54" t="str">
        <f>'[7]Template '!$B$30</f>
        <v>n/a</v>
      </c>
      <c r="BI54">
        <f>'[7]Template '!$B$31</f>
        <v>0.41666666666666663</v>
      </c>
      <c r="BJ54">
        <f>'[7]Template '!$B$32</f>
        <v>0.5625</v>
      </c>
      <c r="BK54">
        <f>'[7]Template '!$B$33</f>
        <v>0.59126984126984128</v>
      </c>
      <c r="BM54">
        <f>'[7]Template '!$B$52</f>
        <v>0.68055555555555558</v>
      </c>
      <c r="BN54">
        <f>'[7]Template '!$B$53</f>
        <v>0.37407407407407406</v>
      </c>
      <c r="BO54">
        <f>'[7]Template '!$B$54</f>
        <v>0.5</v>
      </c>
      <c r="BP54">
        <f>'[7]Template '!$B$55</f>
        <v>0.31944444444444442</v>
      </c>
      <c r="BQ54">
        <f>'[7]Template '!$B$56</f>
        <v>0.65</v>
      </c>
      <c r="BS54">
        <f>'[7]Template '!$B$74</f>
        <v>0.49545454545454548</v>
      </c>
      <c r="BT54" t="str">
        <f>'[7]Template '!$B$75</f>
        <v>n/a</v>
      </c>
      <c r="BU54">
        <f>'[7]Template '!$B$76</f>
        <v>3.5714285714285712E-2</v>
      </c>
      <c r="BV54">
        <f>'[7]Template '!$B$77</f>
        <v>0.45833333333333331</v>
      </c>
      <c r="BW54">
        <f>'[7]Template '!$B$78</f>
        <v>0.4424603174603175</v>
      </c>
      <c r="BY54">
        <f>'[7]Template '!$B$96</f>
        <v>0.6875</v>
      </c>
      <c r="BZ54">
        <f>'[7]Template '!$B$97</f>
        <v>0.37407407407407406</v>
      </c>
      <c r="CA54">
        <f>'[7]Template '!$B$98</f>
        <v>0.5</v>
      </c>
      <c r="CB54">
        <f>'[7]Template '!$B$99</f>
        <v>0.69444444444444431</v>
      </c>
      <c r="CC54">
        <f>'[7]Template '!$B$100</f>
        <v>0.51904761904761909</v>
      </c>
      <c r="CF54">
        <f>'[7]Template '!$Z$30</f>
        <v>0</v>
      </c>
      <c r="CG54">
        <f>'[7]Template '!$AB$75</f>
        <v>0</v>
      </c>
      <c r="CH54">
        <f>'[7]Template '!$C$89</f>
        <v>0</v>
      </c>
      <c r="CI54">
        <f>'[7]Template '!$AF$75</f>
        <v>0</v>
      </c>
      <c r="CJ54">
        <f>'[7]Template '!$AR$97</f>
        <v>0</v>
      </c>
      <c r="CK54">
        <f>'[7]Template '!$AS$97</f>
        <v>0</v>
      </c>
      <c r="CL54">
        <f>'[7]Template '!$AZ$97</f>
        <v>0</v>
      </c>
      <c r="CM54">
        <f>'[7]Template '!$BB$97</f>
        <v>0</v>
      </c>
      <c r="CN54">
        <f>'[7]Template '!$AU$53</f>
        <v>0</v>
      </c>
      <c r="CO54">
        <f>'[7]Template '!$AV$53</f>
        <v>0</v>
      </c>
      <c r="CP54">
        <f>'[7]Template '!$AY$53</f>
        <v>0</v>
      </c>
      <c r="CQ54">
        <f>'[7]Template '!$AX$53</f>
        <v>0</v>
      </c>
      <c r="CR54">
        <f>'[7]Template '!$AZ$53</f>
        <v>0</v>
      </c>
      <c r="CS54">
        <f>'[7]Template '!$BF$53</f>
        <v>0</v>
      </c>
      <c r="CT54">
        <f t="shared" si="9"/>
        <v>0</v>
      </c>
      <c r="CU54">
        <f t="shared" si="10"/>
        <v>0</v>
      </c>
      <c r="CV54">
        <f t="shared" si="11"/>
        <v>0</v>
      </c>
      <c r="CY54" t="str">
        <f>'[7]Template '!$E$2</f>
        <v>B</v>
      </c>
      <c r="CZ54">
        <f>'[7]Template '!$B$13</f>
        <v>1</v>
      </c>
      <c r="DA54">
        <f>'[7]Template '!$D$2</f>
        <v>1</v>
      </c>
      <c r="DB54" t="str">
        <f>'[7]Template '!$D$3</f>
        <v>9/20/2022</v>
      </c>
      <c r="DC54">
        <f>'[7]Template '!$F$2</f>
        <v>44964</v>
      </c>
      <c r="DE54">
        <f>'[7]Template '!$B$12</f>
        <v>20</v>
      </c>
      <c r="DF54" t="str">
        <f>'[7]Template '!$B$14</f>
        <v>7/21</v>
      </c>
      <c r="DG54" t="str">
        <f>'[7]Template '!$B$15</f>
        <v>11/21</v>
      </c>
      <c r="DH54">
        <f>'[7]Template '!$B$16</f>
        <v>10</v>
      </c>
      <c r="DI54">
        <f>'[7]Template '!$B$17</f>
        <v>0</v>
      </c>
      <c r="DJ54">
        <f>'[7]Template '!$B$18</f>
        <v>0</v>
      </c>
      <c r="DK54">
        <f>'[7]Template '!$B$19</f>
        <v>0</v>
      </c>
      <c r="DL54">
        <f>'[7]Template '!$B$20</f>
        <v>0</v>
      </c>
      <c r="DM54">
        <f>'[7]Template '!$B$21</f>
        <v>0</v>
      </c>
      <c r="DN54" t="str">
        <f>'[7]Template '!$B$22</f>
        <v>n/a</v>
      </c>
      <c r="DP54">
        <f>'[7]Template '!$I$13</f>
        <v>4</v>
      </c>
      <c r="DQ54">
        <f>'[7]Template '!$I$14</f>
        <v>4</v>
      </c>
      <c r="DR54">
        <f>'[7]Template '!$I$15</f>
        <v>4</v>
      </c>
      <c r="DS54">
        <f>'[7]Template '!$I$16</f>
        <v>3</v>
      </c>
      <c r="DT54">
        <f>'[7]Template '!$I$17</f>
        <v>4</v>
      </c>
      <c r="DU54">
        <f>'[7]Template '!$I$18</f>
        <v>3</v>
      </c>
      <c r="DV54">
        <f>'[7]Template '!$I$19</f>
        <v>5</v>
      </c>
      <c r="DW54">
        <f>'[7]Template '!$I$20</f>
        <v>2</v>
      </c>
      <c r="DX54">
        <f>'[7]Template '!$I$21</f>
        <v>4</v>
      </c>
      <c r="DY54">
        <f>'[7]Template '!$I$22</f>
        <v>3</v>
      </c>
      <c r="DZ54">
        <f>'[7]Template '!$I$23</f>
        <v>4</v>
      </c>
      <c r="EA54">
        <f>'[7]Template '!$I$24</f>
        <v>0</v>
      </c>
      <c r="ED54">
        <f>'[7]Template '!$L$13</f>
        <v>4</v>
      </c>
      <c r="EE54">
        <f>'[7]Template '!$L$14</f>
        <v>4</v>
      </c>
      <c r="EF54">
        <f>'[7]Template '!$L$15</f>
        <v>4</v>
      </c>
      <c r="EG54">
        <f>'[7]Template '!$L$16</f>
        <v>2</v>
      </c>
      <c r="EH54">
        <f>'[7]Template '!$L$17</f>
        <v>4</v>
      </c>
      <c r="EI54">
        <f>'[7]Template '!$L$18</f>
        <v>2</v>
      </c>
      <c r="EJ54">
        <f>'[7]Template '!$L$19</f>
        <v>5</v>
      </c>
      <c r="EK54">
        <f>'[7]Template '!$L$20</f>
        <v>2</v>
      </c>
      <c r="EL54">
        <f>'[7]Template '!$L$21</f>
        <v>4</v>
      </c>
      <c r="EM54">
        <f>'[7]Template '!$L$22</f>
        <v>4</v>
      </c>
      <c r="EN54">
        <f>'[7]Template '!$L$23</f>
        <v>4</v>
      </c>
      <c r="EQ54">
        <f>'[7]Template '!$O$13</f>
        <v>3</v>
      </c>
      <c r="ER54">
        <f>'[7]Template '!$O$14</f>
        <v>2</v>
      </c>
      <c r="ES54">
        <f>'[7]Template '!$O$15</f>
        <v>2</v>
      </c>
      <c r="ET54">
        <f>'[7]Template '!$O$16</f>
        <v>2</v>
      </c>
      <c r="EU54">
        <f>'[7]Template '!$O$17</f>
        <v>4</v>
      </c>
      <c r="EV54">
        <f>'[7]Template '!$O$18</f>
        <v>2</v>
      </c>
      <c r="EW54">
        <f>'[7]Template '!$O$19</f>
        <v>2</v>
      </c>
      <c r="EX54">
        <f>'[7]Template '!$O$20</f>
        <v>3</v>
      </c>
      <c r="EY54">
        <f>'[7]Template '!$O$21</f>
        <v>3</v>
      </c>
      <c r="EZ54">
        <f>'[7]Template '!$O$22</f>
        <v>2</v>
      </c>
      <c r="FA54">
        <f>'[7]Template '!$O$23</f>
        <v>2</v>
      </c>
      <c r="FL54">
        <f>'[7]Template '!$D$5</f>
        <v>0.60094246031746035</v>
      </c>
      <c r="FM54">
        <f>'[7]Template '!$D$6</f>
        <v>0.35799062049062047</v>
      </c>
      <c r="FN54">
        <f>'[7]Template '!$D$7</f>
        <v>0.50481481481481483</v>
      </c>
      <c r="FO54">
        <f>'[7]Template '!$D$8</f>
        <v>0.55501322751322746</v>
      </c>
      <c r="FP54">
        <f>'[7]Template '!$D$9</f>
        <v>0.50469028078403078</v>
      </c>
      <c r="FR54">
        <f>'[7]Template '!$E$5</f>
        <v>0.61289098972922507</v>
      </c>
      <c r="FS54">
        <f>'[7]Template '!$E$6</f>
        <v>0.36245490620490622</v>
      </c>
      <c r="FT54">
        <f>'[7]Template '!$E$7</f>
        <v>0.49509259259259258</v>
      </c>
      <c r="FU54">
        <f>'[7]Template '!$E$8</f>
        <v>0.48697570947570945</v>
      </c>
      <c r="FV54">
        <f>'[7]Template '!$E$9</f>
        <v>0.48935354950060833</v>
      </c>
    </row>
    <row r="55" spans="1:178" s="28" customFormat="1" x14ac:dyDescent="0.2">
      <c r="A55" s="28" t="str">
        <f>'[8]Template '!$A$2</f>
        <v>M_030</v>
      </c>
      <c r="C55" s="28" t="str">
        <f t="shared" si="8"/>
        <v>M_030.xlsx</v>
      </c>
      <c r="E55" s="28" t="str">
        <f>'[8]Template '!$C$2</f>
        <v>D+M</v>
      </c>
      <c r="G55" s="28">
        <f>'[8]Template '!$C$29</f>
        <v>0.3888888888888889</v>
      </c>
      <c r="H55" s="28" t="str">
        <f>'[8]Template '!$C$30</f>
        <v>n/a</v>
      </c>
      <c r="I55" s="28">
        <f>'[8]Template '!$C$31</f>
        <v>0.58333333333333326</v>
      </c>
      <c r="J55" s="28">
        <f>'[8]Template '!$C$32</f>
        <v>0.51470588235294112</v>
      </c>
      <c r="K55" s="28">
        <f>'[8]Template '!$C$33</f>
        <v>0.58333333333333337</v>
      </c>
      <c r="M55" s="28">
        <f>'[8]Template '!$C$80</f>
        <v>1200</v>
      </c>
      <c r="N55" s="28">
        <f>'[8]Template '!$C$81</f>
        <v>30</v>
      </c>
      <c r="O55" s="28">
        <f>'[8]Template '!$C$82</f>
        <v>3</v>
      </c>
      <c r="P55" s="28">
        <f>'[8]Template '!$C$83</f>
        <v>2.5</v>
      </c>
      <c r="Q55" s="28">
        <f>'[8]Template '!$C$84</f>
        <v>2.5</v>
      </c>
      <c r="R55" s="28">
        <f>'[8]Template '!$C$85</f>
        <v>2</v>
      </c>
      <c r="T55" s="28">
        <f>'[8]Template '!$C$74</f>
        <v>0.65454545454545454</v>
      </c>
      <c r="U55" s="28" t="str">
        <f>'[8]Template '!$C$75</f>
        <v>n/a</v>
      </c>
      <c r="V55" s="28">
        <f>'[8]Template '!$C$76</f>
        <v>0.5</v>
      </c>
      <c r="W55" s="28">
        <f>'[8]Template '!$C$77</f>
        <v>0.48809523809523803</v>
      </c>
      <c r="X55" s="28">
        <f>'[8]Template '!$C$78</f>
        <v>0.68253968253968245</v>
      </c>
      <c r="Z55" s="28">
        <f>'[8]Template '!$C$80</f>
        <v>1200</v>
      </c>
      <c r="AA55" s="28">
        <f>'[8]Template '!$C$81</f>
        <v>30</v>
      </c>
      <c r="AB55" s="28">
        <f>'[8]Template '!$C$82</f>
        <v>3</v>
      </c>
      <c r="AC55" s="28">
        <f>'[8]Template '!$C$83</f>
        <v>2.5</v>
      </c>
      <c r="AD55" s="28">
        <f>'[8]Template '!$C$84</f>
        <v>2.5</v>
      </c>
      <c r="AE55" s="28">
        <f>'[8]Template '!$C$85</f>
        <v>2</v>
      </c>
      <c r="AG55" s="28">
        <f>'[8]Template '!$C$96</f>
        <v>0.70833333333333326</v>
      </c>
      <c r="AH55" s="28">
        <f>'[8]Template '!$C$97</f>
        <v>0.44444444444444442</v>
      </c>
      <c r="AI55" s="28">
        <f>'[8]Template '!$C$98</f>
        <v>0.25</v>
      </c>
      <c r="AJ55" s="28">
        <f>'[8]Template '!$C$99</f>
        <v>0.43873610050080636</v>
      </c>
      <c r="AK55" s="28">
        <f>'[8]Template '!$C$100</f>
        <v>0.70515873015873021</v>
      </c>
      <c r="AM55" s="28">
        <f>'[8]Template '!$C$102</f>
        <v>1200</v>
      </c>
      <c r="AN55" s="28">
        <f>'[8]Template '!$C$103</f>
        <v>32.5</v>
      </c>
      <c r="AO55" s="28">
        <f>'[8]Template '!$C$104</f>
        <v>2.5</v>
      </c>
      <c r="AP55" s="28">
        <f>'[8]Template '!$C$105</f>
        <v>2.5</v>
      </c>
      <c r="AQ55" s="28">
        <f>'[8]Template '!$C$106</f>
        <v>2.5</v>
      </c>
      <c r="AR55" s="28">
        <f>'[8]Template '!$C$107</f>
        <v>2</v>
      </c>
      <c r="AT55" s="28">
        <f>'[8]Template '!$C$52</f>
        <v>0.70833333333333326</v>
      </c>
      <c r="AU55" s="28">
        <f>'[8]Template '!$C$53</f>
        <v>0.44444444444444442</v>
      </c>
      <c r="AV55" s="28">
        <f>'[8]Template '!$C$54</f>
        <v>0</v>
      </c>
      <c r="AW55" s="28">
        <f>'[8]Template '!$C$55</f>
        <v>0.52083333333333337</v>
      </c>
      <c r="AX55" s="28">
        <f>'[8]Template '!$C$56</f>
        <v>0.68333333333333324</v>
      </c>
      <c r="AZ55" s="28" t="str">
        <f>'[8]Template '!$C$58</f>
        <v>n/a</v>
      </c>
      <c r="BA55" s="28">
        <f>'[8]Template '!$C$59</f>
        <v>32.5</v>
      </c>
      <c r="BB55" s="28">
        <f>'[8]Template '!$C$60</f>
        <v>2.5</v>
      </c>
      <c r="BC55" s="28">
        <f>'[8]Template '!$C$61</f>
        <v>2.5</v>
      </c>
      <c r="BD55" s="28">
        <f>'[8]Template '!$C$62</f>
        <v>3</v>
      </c>
      <c r="BE55" s="28">
        <f>'[8]Template '!$C$63</f>
        <v>1.5</v>
      </c>
      <c r="BG55" s="28">
        <f>'[8]Template '!$B$29</f>
        <v>0.3888888888888889</v>
      </c>
      <c r="BH55" s="28" t="str">
        <f>'[8]Template '!$B$30</f>
        <v>n/a</v>
      </c>
      <c r="BI55" s="28">
        <f>'[8]Template '!$B$31</f>
        <v>0.58333333333333326</v>
      </c>
      <c r="BJ55" s="28">
        <f>'[8]Template '!$B$32</f>
        <v>0.5</v>
      </c>
      <c r="BK55" s="28">
        <f>'[8]Template '!$B$33</f>
        <v>0.58333333333333337</v>
      </c>
      <c r="BM55" s="28">
        <f>'[8]Template '!$B$52</f>
        <v>0.625</v>
      </c>
      <c r="BN55" s="28">
        <f>'[8]Template '!$B$53</f>
        <v>0.44444444444444442</v>
      </c>
      <c r="BO55" s="28">
        <f>'[8]Template '!$B$54</f>
        <v>0</v>
      </c>
      <c r="BP55" s="28">
        <f>'[8]Template '!$B$55</f>
        <v>0.60185185185185186</v>
      </c>
      <c r="BQ55" s="28">
        <f>'[8]Template '!$B$56</f>
        <v>0.68333333333333324</v>
      </c>
      <c r="BS55" s="28">
        <f>'[8]Template '!$B$74</f>
        <v>0.65454545454545454</v>
      </c>
      <c r="BT55" s="28" t="str">
        <f>'[8]Template '!$B$75</f>
        <v>n/a</v>
      </c>
      <c r="BU55" s="28">
        <f>'[8]Template '!$B$76</f>
        <v>0.5</v>
      </c>
      <c r="BV55" s="28">
        <f>'[8]Template '!$B$77</f>
        <v>0.52083333333333326</v>
      </c>
      <c r="BW55" s="28">
        <f>'[8]Template '!$B$78</f>
        <v>0.68253968253968245</v>
      </c>
      <c r="BY55" s="28">
        <f>'[8]Template '!$B$96</f>
        <v>0.70833333333333326</v>
      </c>
      <c r="BZ55" s="28">
        <f>'[8]Template '!$B$97</f>
        <v>0.44444444444444442</v>
      </c>
      <c r="CA55" s="28">
        <f>'[8]Template '!$B$98</f>
        <v>0.25</v>
      </c>
      <c r="CB55" s="28">
        <f>'[8]Template '!$B$99</f>
        <v>0.62499999999999989</v>
      </c>
      <c r="CC55" s="28">
        <f>'[8]Template '!$B$100</f>
        <v>0.70515873015873021</v>
      </c>
      <c r="CF55" s="28">
        <f>'[8]Template '!$Z$30</f>
        <v>0</v>
      </c>
      <c r="CG55" s="28">
        <f>'[8]Template '!$AB$75</f>
        <v>0</v>
      </c>
      <c r="CH55" s="28">
        <f>'[8]Template '!$C$89</f>
        <v>0</v>
      </c>
      <c r="CI55" s="28">
        <f>'[8]Template '!$AF$75</f>
        <v>0</v>
      </c>
      <c r="CJ55" s="28">
        <f>'[8]Template '!$AR$97</f>
        <v>0</v>
      </c>
      <c r="CK55" s="28">
        <f>'[8]Template '!$AS$97</f>
        <v>1</v>
      </c>
      <c r="CL55" s="28">
        <f>'[8]Template '!$AZ$97</f>
        <v>0</v>
      </c>
      <c r="CM55" s="28">
        <f>'[8]Template '!$BB$97</f>
        <v>0</v>
      </c>
      <c r="CN55" s="28">
        <f>'[8]Template '!$AU$53</f>
        <v>1</v>
      </c>
      <c r="CO55" s="28">
        <f>'[8]Template '!$AV$53</f>
        <v>0</v>
      </c>
      <c r="CP55" s="28">
        <f>'[8]Template '!$AY$53</f>
        <v>0</v>
      </c>
      <c r="CQ55" s="28">
        <f>'[8]Template '!$AX$53</f>
        <v>0</v>
      </c>
      <c r="CR55" s="28">
        <f>'[8]Template '!$AZ$53</f>
        <v>0</v>
      </c>
      <c r="CS55" s="28">
        <f>'[8]Template '!$BF$53</f>
        <v>0.5</v>
      </c>
      <c r="CT55" s="28">
        <f t="shared" si="9"/>
        <v>0</v>
      </c>
      <c r="CU55" s="28">
        <f t="shared" si="10"/>
        <v>2.5</v>
      </c>
      <c r="CV55" s="28">
        <f t="shared" si="11"/>
        <v>2.5</v>
      </c>
      <c r="CY55" s="28" t="str">
        <f>'[8]Template '!$E$2</f>
        <v>B</v>
      </c>
      <c r="CZ55" s="28">
        <f>'[8]Template '!$B$13</f>
        <v>1</v>
      </c>
      <c r="DA55" s="28">
        <f>'[8]Template '!$D$2</f>
        <v>1</v>
      </c>
      <c r="DB55" s="28" t="str">
        <f>'[8]Template '!$D$3</f>
        <v>9/20/2022</v>
      </c>
      <c r="DC55" s="28">
        <f>'[8]Template '!$F$2</f>
        <v>44939</v>
      </c>
      <c r="DE55" s="28">
        <f>'[8]Template '!$B$12</f>
        <v>19</v>
      </c>
      <c r="DF55" s="28" t="str">
        <f>'[8]Template '!$B$14</f>
        <v>2/22</v>
      </c>
      <c r="DG55" s="28" t="str">
        <f>'[8]Template '!$B$15</f>
        <v>6/22</v>
      </c>
      <c r="DH55" s="28">
        <f>'[8]Template '!$B$16</f>
        <v>2</v>
      </c>
      <c r="DI55" s="28">
        <f>'[8]Template '!$B$17</f>
        <v>0</v>
      </c>
      <c r="DJ55" s="28">
        <f>'[8]Template '!$B$18</f>
        <v>0</v>
      </c>
      <c r="DK55" s="28">
        <f>'[8]Template '!$B$19</f>
        <v>0</v>
      </c>
      <c r="DL55" s="28">
        <f>'[8]Template '!$B$20</f>
        <v>0</v>
      </c>
      <c r="DM55" s="28">
        <f>'[8]Template '!$B$21</f>
        <v>0</v>
      </c>
      <c r="DN55" s="28">
        <f>'[8]Template '!$B$22</f>
        <v>0</v>
      </c>
      <c r="DP55" s="28">
        <f>'[8]Template '!$I$13</f>
        <v>5</v>
      </c>
      <c r="DQ55" s="28">
        <f>'[8]Template '!$I$14</f>
        <v>5</v>
      </c>
      <c r="DR55" s="28">
        <f>'[8]Template '!$I$15</f>
        <v>4</v>
      </c>
      <c r="DS55" s="28">
        <f>'[8]Template '!$I$16</f>
        <v>4</v>
      </c>
      <c r="DT55" s="28">
        <f>'[8]Template '!$I$17</f>
        <v>4</v>
      </c>
      <c r="DU55" s="28">
        <f>'[8]Template '!$I$18</f>
        <v>4</v>
      </c>
      <c r="DV55" s="28">
        <f>'[8]Template '!$I$19</f>
        <v>5</v>
      </c>
      <c r="DW55" s="28">
        <f>'[8]Template '!$I$20</f>
        <v>3</v>
      </c>
      <c r="DX55" s="28">
        <f>'[8]Template '!$I$21</f>
        <v>4</v>
      </c>
      <c r="DY55" s="28">
        <f>'[8]Template '!$I$22</f>
        <v>3</v>
      </c>
      <c r="DZ55" s="28">
        <f>'[8]Template '!$I$23</f>
        <v>5</v>
      </c>
      <c r="EA55" s="28">
        <f>'[8]Template '!$I$24</f>
        <v>2</v>
      </c>
      <c r="ED55" s="28">
        <f>'[8]Template '!$L$13</f>
        <v>5</v>
      </c>
      <c r="EE55" s="28">
        <f>'[8]Template '!$L$14</f>
        <v>3</v>
      </c>
      <c r="EF55" s="28">
        <f>'[8]Template '!$L$15</f>
        <v>3</v>
      </c>
      <c r="EG55" s="28">
        <f>'[8]Template '!$L$16</f>
        <v>3</v>
      </c>
      <c r="EH55" s="28">
        <f>'[8]Template '!$L$17</f>
        <v>3</v>
      </c>
      <c r="EI55" s="28">
        <f>'[8]Template '!$L$18</f>
        <v>2</v>
      </c>
      <c r="EJ55" s="28">
        <f>'[8]Template '!$L$19</f>
        <v>5</v>
      </c>
      <c r="EK55" s="28">
        <f>'[8]Template '!$L$20</f>
        <v>2</v>
      </c>
      <c r="EL55" s="28">
        <f>'[8]Template '!$L$21</f>
        <v>3</v>
      </c>
      <c r="EM55" s="28">
        <f>'[8]Template '!$L$22</f>
        <v>1</v>
      </c>
      <c r="EN55" s="28">
        <f>'[8]Template '!$L$23</f>
        <v>5</v>
      </c>
      <c r="EQ55" s="28">
        <f>'[8]Template '!$O$13</f>
        <v>3</v>
      </c>
      <c r="ER55" s="28">
        <f>'[8]Template '!$O$14</f>
        <v>2</v>
      </c>
      <c r="ES55" s="28">
        <f>'[8]Template '!$O$15</f>
        <v>2</v>
      </c>
      <c r="ET55" s="28">
        <f>'[8]Template '!$O$16</f>
        <v>2</v>
      </c>
      <c r="EU55" s="28">
        <f>'[8]Template '!$O$17</f>
        <v>2</v>
      </c>
      <c r="EV55" s="28">
        <f>'[8]Template '!$O$18</f>
        <v>2</v>
      </c>
      <c r="EW55" s="28">
        <f>'[8]Template '!$O$19</f>
        <v>2</v>
      </c>
      <c r="EX55" s="28">
        <f>'[8]Template '!$O$20</f>
        <v>2</v>
      </c>
      <c r="EY55" s="28">
        <f>'[8]Template '!$O$21</f>
        <v>2</v>
      </c>
      <c r="EZ55" s="28">
        <f>'[8]Template '!$O$22</f>
        <v>2</v>
      </c>
      <c r="FA55" s="28">
        <f>'[8]Template '!$O$23</f>
        <v>2</v>
      </c>
      <c r="FL55" s="28">
        <f>'[8]Template '!$D$5</f>
        <v>0.51388888888888884</v>
      </c>
      <c r="FM55" s="28">
        <f>'[8]Template '!$D$6</f>
        <v>0.58947961760461753</v>
      </c>
      <c r="FN55" s="28">
        <f>'[8]Template '!$D$7</f>
        <v>0.47092592592592586</v>
      </c>
      <c r="FO55" s="28">
        <f>'[8]Template '!$D$8</f>
        <v>0.54658730158730162</v>
      </c>
      <c r="FP55" s="28">
        <f>'[8]Template '!$D$9</f>
        <v>0.53022043350168346</v>
      </c>
      <c r="FR55" s="28">
        <f>'[8]Template '!$E$5</f>
        <v>0.51756535947712412</v>
      </c>
      <c r="FS55" s="28">
        <f>'[8]Template '!$E$6</f>
        <v>0.5812950937950937</v>
      </c>
      <c r="FT55" s="28">
        <f>'[8]Template '!$E$7</f>
        <v>0.47138888888888886</v>
      </c>
      <c r="FU55" s="28">
        <f>'[8]Template '!$E$8</f>
        <v>0.50933452168746285</v>
      </c>
      <c r="FV55" s="28">
        <f>'[8]Template '!$E$9</f>
        <v>0.51989596596214238</v>
      </c>
    </row>
    <row r="56" spans="1:178" x14ac:dyDescent="0.2">
      <c r="A56" t="str">
        <f>'[10]Template '!$A$2</f>
        <v>M_032</v>
      </c>
      <c r="C56" t="str">
        <f t="shared" si="8"/>
        <v>M_032.xlsx</v>
      </c>
      <c r="E56" t="str">
        <f>'[10]Template '!$C$2</f>
        <v>D+M</v>
      </c>
      <c r="G56">
        <f>'[10]Template '!$C$29</f>
        <v>0.41666666666666669</v>
      </c>
      <c r="H56" t="str">
        <f>'[10]Template '!$C$30</f>
        <v>n/a</v>
      </c>
      <c r="I56">
        <f>'[10]Template '!$C$31</f>
        <v>0.25</v>
      </c>
      <c r="J56">
        <f>'[10]Template '!$C$32</f>
        <v>0.875</v>
      </c>
      <c r="K56">
        <f>'[10]Template '!$C$33</f>
        <v>0.95833333333333337</v>
      </c>
      <c r="M56">
        <f>'[10]Template '!$C$80</f>
        <v>1200</v>
      </c>
      <c r="N56">
        <f>'[10]Template '!$C$81</f>
        <v>54</v>
      </c>
      <c r="O56">
        <f>'[10]Template '!$C$82</f>
        <v>3.5</v>
      </c>
      <c r="P56">
        <f>'[10]Template '!$C$83</f>
        <v>4.5</v>
      </c>
      <c r="Q56">
        <f>'[10]Template '!$C$84</f>
        <v>4</v>
      </c>
      <c r="R56">
        <f>'[10]Template '!$C$85</f>
        <v>3.5</v>
      </c>
      <c r="T56">
        <f>'[10]Template '!$C$74</f>
        <v>0.7</v>
      </c>
      <c r="U56" t="str">
        <f>'[10]Template '!$C$75</f>
        <v>n/a</v>
      </c>
      <c r="V56">
        <f>'[10]Template '!$C$76</f>
        <v>0.5357142857142857</v>
      </c>
      <c r="W56">
        <f>'[10]Template '!$C$77</f>
        <v>0.64285714285714279</v>
      </c>
      <c r="X56">
        <f>'[10]Template '!$C$78</f>
        <v>0.8392857142857143</v>
      </c>
      <c r="Z56">
        <f>'[10]Template '!$C$80</f>
        <v>1200</v>
      </c>
      <c r="AA56">
        <f>'[10]Template '!$C$81</f>
        <v>54</v>
      </c>
      <c r="AB56">
        <f>'[10]Template '!$C$82</f>
        <v>3.5</v>
      </c>
      <c r="AC56">
        <f>'[10]Template '!$C$83</f>
        <v>4.5</v>
      </c>
      <c r="AD56">
        <f>'[10]Template '!$C$84</f>
        <v>4</v>
      </c>
      <c r="AE56">
        <f>'[10]Template '!$C$85</f>
        <v>3.5</v>
      </c>
      <c r="AG56">
        <f>'[10]Template '!$C$96</f>
        <v>0.8</v>
      </c>
      <c r="AH56">
        <f>'[10]Template '!$C$97</f>
        <v>0.57777777777777783</v>
      </c>
      <c r="AI56">
        <f>'[10]Template '!$C$98</f>
        <v>0.5</v>
      </c>
      <c r="AJ56">
        <f>'[10]Template '!$C$99</f>
        <v>0.78626602156013925</v>
      </c>
      <c r="AK56">
        <f>'[10]Template '!$C$100</f>
        <v>0.90714285714285703</v>
      </c>
      <c r="AM56">
        <f>'[10]Template '!$C$102</f>
        <v>852</v>
      </c>
      <c r="AN56">
        <f>'[10]Template '!$C$103</f>
        <v>61</v>
      </c>
      <c r="AO56">
        <f>'[10]Template '!$C$104</f>
        <v>3.5</v>
      </c>
      <c r="AP56">
        <f>'[10]Template '!$C$105</f>
        <v>4.5</v>
      </c>
      <c r="AQ56">
        <f>'[10]Template '!$C$106</f>
        <v>4.5</v>
      </c>
      <c r="AR56">
        <f>'[10]Template '!$C$107</f>
        <v>4</v>
      </c>
      <c r="AT56">
        <f>'[10]Template '!$C$52</f>
        <v>0.69444444444444442</v>
      </c>
      <c r="AU56">
        <f>'[10]Template '!$C$53</f>
        <v>0.57777777777777783</v>
      </c>
      <c r="AV56">
        <f>'[10]Template '!$C$54</f>
        <v>0.5</v>
      </c>
      <c r="AW56">
        <f>'[10]Template '!$C$55</f>
        <v>0.3125</v>
      </c>
      <c r="AX56">
        <f>'[10]Template '!$C$56</f>
        <v>0.90674603174603163</v>
      </c>
      <c r="AZ56">
        <f>'[10]Template '!$C$58</f>
        <v>1200</v>
      </c>
      <c r="BA56">
        <f>'[10]Template '!$C$59</f>
        <v>61.5</v>
      </c>
      <c r="BB56">
        <f>'[10]Template '!$C$60</f>
        <v>3.5</v>
      </c>
      <c r="BC56">
        <f>'[10]Template '!$C$61</f>
        <v>4.5</v>
      </c>
      <c r="BD56">
        <f>'[10]Template '!$C$62</f>
        <v>4</v>
      </c>
      <c r="BE56">
        <f>'[10]Template '!$C$63</f>
        <v>3.5</v>
      </c>
      <c r="BG56">
        <f>'[10]Template '!$B$29</f>
        <v>0.41666666666666669</v>
      </c>
      <c r="BH56" t="str">
        <f>'[10]Template '!$B$30</f>
        <v>n/a</v>
      </c>
      <c r="BI56">
        <f>'[10]Template '!$B$31</f>
        <v>0.25</v>
      </c>
      <c r="BJ56">
        <f>'[10]Template '!$B$32</f>
        <v>0.875</v>
      </c>
      <c r="BK56">
        <f>'[10]Template '!$B$33</f>
        <v>0.95833333333333337</v>
      </c>
      <c r="BM56">
        <f>'[10]Template '!$B$52</f>
        <v>0.69444444444444442</v>
      </c>
      <c r="BN56">
        <f>'[10]Template '!$B$53</f>
        <v>0.57777777777777783</v>
      </c>
      <c r="BO56">
        <f>'[10]Template '!$B$54</f>
        <v>0.5</v>
      </c>
      <c r="BP56">
        <f>'[10]Template '!$B$55</f>
        <v>0.34259259259259256</v>
      </c>
      <c r="BQ56">
        <f>'[10]Template '!$B$56</f>
        <v>0.90674603174603163</v>
      </c>
      <c r="BS56">
        <f>'[10]Template '!$B$74</f>
        <v>0.7</v>
      </c>
      <c r="BT56" t="str">
        <f>'[10]Template '!$B$75</f>
        <v>n/a</v>
      </c>
      <c r="BU56">
        <f>'[10]Template '!$B$76</f>
        <v>0.5357142857142857</v>
      </c>
      <c r="BV56">
        <f>'[10]Template '!$B$77</f>
        <v>0.83333333333333326</v>
      </c>
      <c r="BW56">
        <f>'[10]Template '!$B$78</f>
        <v>0.8392857142857143</v>
      </c>
      <c r="BY56">
        <f>'[10]Template '!$B$96</f>
        <v>0.8</v>
      </c>
      <c r="BZ56">
        <f>'[10]Template '!$B$97</f>
        <v>0.57777777777777783</v>
      </c>
      <c r="CA56">
        <f>'[10]Template '!$B$98</f>
        <v>0.5</v>
      </c>
      <c r="CB56">
        <f>'[10]Template '!$B$99</f>
        <v>0.88888888888888884</v>
      </c>
      <c r="CC56">
        <f>'[10]Template '!$B$100</f>
        <v>0.90714285714285703</v>
      </c>
      <c r="CF56">
        <f>'[10]Template '!$Z$30</f>
        <v>1</v>
      </c>
      <c r="CG56">
        <f>'[10]Template '!$AB$75</f>
        <v>0</v>
      </c>
      <c r="CH56">
        <f>'[10]Template '!$C$89</f>
        <v>1</v>
      </c>
      <c r="CI56">
        <f>'[10]Template '!$AF$75</f>
        <v>0</v>
      </c>
      <c r="CJ56">
        <f>'[10]Template '!$AR$97</f>
        <v>1</v>
      </c>
      <c r="CK56">
        <f>'[10]Template '!$AS$97</f>
        <v>1</v>
      </c>
      <c r="CL56">
        <f>'[10]Template '!$AZ$97</f>
        <v>1</v>
      </c>
      <c r="CM56">
        <f>'[10]Template '!$BB$97</f>
        <v>1</v>
      </c>
      <c r="CN56">
        <f>'[10]Template '!$AU$53</f>
        <v>1</v>
      </c>
      <c r="CO56">
        <f>'[10]Template '!$AV$53</f>
        <v>1</v>
      </c>
      <c r="CP56">
        <f>'[10]Template '!$AY$53</f>
        <v>0.5</v>
      </c>
      <c r="CQ56">
        <f>'[10]Template '!$AX$53</f>
        <v>1</v>
      </c>
      <c r="CR56">
        <f>'[10]Template '!$AZ$53</f>
        <v>0</v>
      </c>
      <c r="CS56">
        <f>'[10]Template '!$BF$53</f>
        <v>0</v>
      </c>
      <c r="CT56">
        <f t="shared" si="9"/>
        <v>2</v>
      </c>
      <c r="CU56">
        <f t="shared" si="10"/>
        <v>7.5</v>
      </c>
      <c r="CV56">
        <f t="shared" si="11"/>
        <v>9.5</v>
      </c>
      <c r="CY56" t="str">
        <f>'[10]Template '!$E$2</f>
        <v>A</v>
      </c>
      <c r="CZ56">
        <f>'[10]Template '!$B$13</f>
        <v>2</v>
      </c>
      <c r="DA56">
        <f>'[10]Template '!$D$2</f>
        <v>2</v>
      </c>
      <c r="DB56">
        <f>'[10]Template '!$D$3</f>
        <v>45013</v>
      </c>
      <c r="DC56">
        <f>'[10]Template '!$F$2</f>
        <v>45086</v>
      </c>
      <c r="DE56">
        <f>'[10]Template '!$B$12</f>
        <v>22</v>
      </c>
      <c r="DF56" t="str">
        <f>'[10]Template '!$B$14</f>
        <v>2/21</v>
      </c>
      <c r="DG56" t="str">
        <f>'[10]Template '!$B$15</f>
        <v>6/21</v>
      </c>
      <c r="DH56">
        <f>'[10]Template '!$B$16</f>
        <v>24</v>
      </c>
      <c r="DI56">
        <f>'[10]Template '!$B$17</f>
        <v>0</v>
      </c>
      <c r="DJ56">
        <f>'[10]Template '!$B$18</f>
        <v>0</v>
      </c>
      <c r="DK56">
        <f>'[10]Template '!$B$19</f>
        <v>0</v>
      </c>
      <c r="DL56">
        <f>'[10]Template '!$B$20</f>
        <v>0</v>
      </c>
      <c r="DM56">
        <f>'[10]Template '!$B$21</f>
        <v>0</v>
      </c>
      <c r="DN56">
        <f>'[10]Template '!$B$22</f>
        <v>1</v>
      </c>
      <c r="DP56">
        <f>'[10]Template '!$I$13</f>
        <v>5</v>
      </c>
      <c r="DQ56">
        <f>'[10]Template '!$I$14</f>
        <v>4</v>
      </c>
      <c r="DR56">
        <f>'[10]Template '!$I$15</f>
        <v>4</v>
      </c>
      <c r="DS56">
        <f>'[10]Template '!$I$16</f>
        <v>3</v>
      </c>
      <c r="DT56">
        <f>'[10]Template '!$I$17</f>
        <v>4</v>
      </c>
      <c r="DU56">
        <f>'[10]Template '!$I$18</f>
        <v>3</v>
      </c>
      <c r="DV56">
        <f>'[10]Template '!$I$19</f>
        <v>5</v>
      </c>
      <c r="DW56">
        <f>'[10]Template '!$I$20</f>
        <v>3</v>
      </c>
      <c r="DX56">
        <f>'[10]Template '!$I$21</f>
        <v>3</v>
      </c>
      <c r="DY56">
        <f>'[10]Template '!$I$22</f>
        <v>3</v>
      </c>
      <c r="DZ56">
        <f>'[10]Template '!$I$23</f>
        <v>4</v>
      </c>
      <c r="EA56">
        <f>'[10]Template '!$I$24</f>
        <v>2</v>
      </c>
      <c r="ED56">
        <f>'[10]Template '!$L$13</f>
        <v>5</v>
      </c>
      <c r="EE56">
        <f>'[10]Template '!$L$14</f>
        <v>4</v>
      </c>
      <c r="EF56">
        <f>'[10]Template '!$L$15</f>
        <v>4</v>
      </c>
      <c r="EG56">
        <f>'[10]Template '!$L$16</f>
        <v>3</v>
      </c>
      <c r="EH56">
        <f>'[10]Template '!$L$17</f>
        <v>4</v>
      </c>
      <c r="EI56">
        <f>'[10]Template '!$L$18</f>
        <v>3</v>
      </c>
      <c r="EJ56">
        <f>'[10]Template '!$L$19</f>
        <v>5</v>
      </c>
      <c r="EK56">
        <f>'[10]Template '!$L$20</f>
        <v>5</v>
      </c>
      <c r="EL56">
        <f>'[10]Template '!$L$21</f>
        <v>3</v>
      </c>
      <c r="EM56">
        <f>'[10]Template '!$L$22</f>
        <v>4</v>
      </c>
      <c r="EN56">
        <f>'[10]Template '!$L$23</f>
        <v>5</v>
      </c>
      <c r="EQ56">
        <f>'[10]Template '!$O$13</f>
        <v>0</v>
      </c>
      <c r="ER56">
        <f>'[10]Template '!$O$14</f>
        <v>0</v>
      </c>
      <c r="ES56">
        <f>'[10]Template '!$O$15</f>
        <v>0</v>
      </c>
      <c r="ET56">
        <f>'[10]Template '!$O$16</f>
        <v>0</v>
      </c>
      <c r="EU56">
        <f>'[10]Template '!$O$17</f>
        <v>0</v>
      </c>
      <c r="EV56">
        <f>'[10]Template '!$O$18</f>
        <v>0</v>
      </c>
      <c r="EW56">
        <f>'[10]Template '!$O$19</f>
        <v>0</v>
      </c>
      <c r="EX56">
        <f>'[10]Template '!$O$20</f>
        <v>0</v>
      </c>
      <c r="EY56">
        <f>'[10]Template '!$O$21</f>
        <v>0</v>
      </c>
      <c r="EZ56">
        <f>'[10]Template '!$O$22</f>
        <v>0</v>
      </c>
      <c r="FA56">
        <f>'[10]Template '!$O$23</f>
        <v>0</v>
      </c>
      <c r="FL56">
        <f>'[10]Template '!$D$5</f>
        <v>0.625</v>
      </c>
      <c r="FM56">
        <f>'[10]Template '!$D$6</f>
        <v>0.7270833333333333</v>
      </c>
      <c r="FN56">
        <f>'[10]Template '!$D$7</f>
        <v>0.60431216931216925</v>
      </c>
      <c r="FO56">
        <f>'[10]Template '!$D$8</f>
        <v>0.73476190476190473</v>
      </c>
      <c r="FP56">
        <f>'[10]Template '!$D$9</f>
        <v>0.67278935185185185</v>
      </c>
      <c r="FR56">
        <f>'[10]Template '!$E$5</f>
        <v>0.625</v>
      </c>
      <c r="FS56">
        <f>'[10]Template '!$E$6</f>
        <v>0.67946428571428574</v>
      </c>
      <c r="FT56">
        <f>'[10]Template '!$E$7</f>
        <v>0.59829365079365071</v>
      </c>
      <c r="FU56">
        <f>'[10]Template '!$E$8</f>
        <v>0.71423733129615485</v>
      </c>
      <c r="FV56">
        <f>'[10]Template '!$E$9</f>
        <v>0.65424881695102288</v>
      </c>
    </row>
    <row r="57" spans="1:178" x14ac:dyDescent="0.2">
      <c r="A57" t="str">
        <f>'[12]Template '!$A$2</f>
        <v>M_034</v>
      </c>
      <c r="C57" t="str">
        <f t="shared" si="8"/>
        <v>M_034.xlsx</v>
      </c>
      <c r="E57" t="str">
        <f>'[12]Template '!$C$2</f>
        <v>D+M</v>
      </c>
      <c r="G57">
        <f>'[12]Template '!$C$29</f>
        <v>0.3888888888888889</v>
      </c>
      <c r="H57" t="str">
        <f>'[12]Template '!$C$30</f>
        <v>n/a</v>
      </c>
      <c r="I57">
        <f>'[12]Template '!$C$31</f>
        <v>0.66666666666666663</v>
      </c>
      <c r="J57">
        <f>'[12]Template '!$C$32</f>
        <v>0.60294117647058831</v>
      </c>
      <c r="K57">
        <f>'[12]Template '!$C$33</f>
        <v>0.78968253968253954</v>
      </c>
      <c r="M57">
        <f>'[12]Template '!$C$80</f>
        <v>1200</v>
      </c>
      <c r="N57">
        <f>'[12]Template '!$C$81</f>
        <v>28.5</v>
      </c>
      <c r="O57">
        <f>'[12]Template '!$C$82</f>
        <v>3.5</v>
      </c>
      <c r="P57">
        <f>'[12]Template '!$C$83</f>
        <v>2.5</v>
      </c>
      <c r="Q57">
        <f>'[12]Template '!$C$84</f>
        <v>2.5</v>
      </c>
      <c r="R57">
        <f>'[12]Template '!$C$85</f>
        <v>1.5</v>
      </c>
      <c r="T57">
        <f>'[12]Template '!$C$74</f>
        <v>0.63181818181818183</v>
      </c>
      <c r="U57" t="str">
        <f>'[12]Template '!$C$75</f>
        <v>n/a</v>
      </c>
      <c r="V57">
        <f>'[12]Template '!$C$76</f>
        <v>0.21428571428571427</v>
      </c>
      <c r="W57">
        <f>'[12]Template '!$C$77</f>
        <v>0.48809523809523803</v>
      </c>
      <c r="X57">
        <f>'[12]Template '!$C$78</f>
        <v>0.71031746031746035</v>
      </c>
      <c r="Z57">
        <f>'[12]Template '!$C$80</f>
        <v>1200</v>
      </c>
      <c r="AA57">
        <f>'[12]Template '!$C$81</f>
        <v>28.5</v>
      </c>
      <c r="AB57">
        <f>'[12]Template '!$C$82</f>
        <v>3.5</v>
      </c>
      <c r="AC57">
        <f>'[12]Template '!$C$83</f>
        <v>2.5</v>
      </c>
      <c r="AD57">
        <f>'[12]Template '!$C$84</f>
        <v>2.5</v>
      </c>
      <c r="AE57">
        <f>'[12]Template '!$C$85</f>
        <v>1.5</v>
      </c>
      <c r="AG57">
        <f>'[12]Template '!$C$96</f>
        <v>0.71875</v>
      </c>
      <c r="AH57">
        <f>'[12]Template '!$C$97</f>
        <v>0.47407407407407415</v>
      </c>
      <c r="AI57">
        <f>'[12]Template '!$C$98</f>
        <v>0.5</v>
      </c>
      <c r="AJ57">
        <f>'[12]Template '!$C$99</f>
        <v>0.44408369408369402</v>
      </c>
      <c r="AK57">
        <f>'[12]Template '!$C$100</f>
        <v>0.74246031746031749</v>
      </c>
      <c r="AM57">
        <f>'[12]Template '!$C$102</f>
        <v>1200</v>
      </c>
      <c r="AN57">
        <f>'[12]Template '!$C$103</f>
        <v>29</v>
      </c>
      <c r="AO57">
        <f>'[12]Template '!$C$104</f>
        <v>3</v>
      </c>
      <c r="AP57">
        <f>'[12]Template '!$C$105</f>
        <v>2.5</v>
      </c>
      <c r="AQ57">
        <f>'[12]Template '!$C$106</f>
        <v>3</v>
      </c>
      <c r="AR57">
        <f>'[12]Template '!$C$107</f>
        <v>1.5</v>
      </c>
      <c r="AT57">
        <f>'[12]Template '!$C$52</f>
        <v>0.72222222222222232</v>
      </c>
      <c r="AU57">
        <f>'[12]Template '!$C$53</f>
        <v>0.47407407407407415</v>
      </c>
      <c r="AV57">
        <f>'[12]Template '!$C$54</f>
        <v>0.5</v>
      </c>
      <c r="AW57">
        <f>'[12]Template '!$C$55</f>
        <v>0.34375</v>
      </c>
      <c r="AX57">
        <f>'[12]Template '!$C$56</f>
        <v>0.84563492063492063</v>
      </c>
      <c r="AZ57">
        <f>'[12]Template '!$C$58</f>
        <v>1200</v>
      </c>
      <c r="BA57">
        <f>'[12]Template '!$C$59</f>
        <v>36</v>
      </c>
      <c r="BB57">
        <f>'[12]Template '!$C$60</f>
        <v>3</v>
      </c>
      <c r="BC57">
        <f>'[12]Template '!$C$61</f>
        <v>2</v>
      </c>
      <c r="BD57">
        <f>'[12]Template '!$C$62</f>
        <v>3.5</v>
      </c>
      <c r="BE57">
        <f>'[12]Template '!$C$63</f>
        <v>2</v>
      </c>
      <c r="BG57">
        <f>'[12]Template '!$B$29</f>
        <v>0.3888888888888889</v>
      </c>
      <c r="BH57" t="str">
        <f>'[12]Template '!$B$30</f>
        <v>n/a</v>
      </c>
      <c r="BI57">
        <f>'[12]Template '!$B$31</f>
        <v>0.66666666666666663</v>
      </c>
      <c r="BJ57">
        <f>'[12]Template '!$B$32</f>
        <v>0.6875</v>
      </c>
      <c r="BK57">
        <f>'[12]Template '!$B$33</f>
        <v>0.78968253968253954</v>
      </c>
      <c r="BM57">
        <f>'[12]Template '!$B$52</f>
        <v>0.72222222222222232</v>
      </c>
      <c r="BN57">
        <f>'[12]Template '!$B$53</f>
        <v>0.47407407407407415</v>
      </c>
      <c r="BO57">
        <f>'[12]Template '!$B$54</f>
        <v>0.5</v>
      </c>
      <c r="BP57">
        <f>'[12]Template '!$B$55</f>
        <v>0.39814814814814814</v>
      </c>
      <c r="BQ57">
        <f>'[12]Template '!$B$56</f>
        <v>0.84563492063492063</v>
      </c>
      <c r="BS57">
        <f>'[12]Template '!$B$74</f>
        <v>0.63181818181818183</v>
      </c>
      <c r="BT57" t="str">
        <f>'[12]Template '!$B$75</f>
        <v>n/a</v>
      </c>
      <c r="BU57">
        <f>'[12]Template '!$B$76</f>
        <v>0.21428571428571427</v>
      </c>
      <c r="BV57">
        <f>'[12]Template '!$B$77</f>
        <v>0.52083333333333326</v>
      </c>
      <c r="BW57">
        <f>'[12]Template '!$B$78</f>
        <v>0.71031746031746035</v>
      </c>
      <c r="BY57">
        <f>'[12]Template '!$B$96</f>
        <v>0.71875</v>
      </c>
      <c r="BZ57">
        <f>'[12]Template '!$B$97</f>
        <v>0.47407407407407415</v>
      </c>
      <c r="CA57">
        <f>'[12]Template '!$B$98</f>
        <v>0.5</v>
      </c>
      <c r="CB57">
        <f>'[12]Template '!$B$99</f>
        <v>0.84722222222222221</v>
      </c>
      <c r="CC57">
        <f>'[12]Template '!$B$100</f>
        <v>0.74246031746031749</v>
      </c>
      <c r="CF57">
        <f>'[12]Template '!$Z$30</f>
        <v>0</v>
      </c>
      <c r="CG57">
        <f>'[12]Template '!$AB$75</f>
        <v>0</v>
      </c>
      <c r="CH57">
        <f>'[12]Template '!$C$89</f>
        <v>0</v>
      </c>
      <c r="CI57">
        <f>'[12]Template '!$AF$75</f>
        <v>0</v>
      </c>
      <c r="CJ57">
        <f>'[12]Template '!$AR$97</f>
        <v>0.5</v>
      </c>
      <c r="CK57">
        <f>'[12]Template '!$AS$97</f>
        <v>0</v>
      </c>
      <c r="CL57">
        <f>'[12]Template '!$AZ$97</f>
        <v>0</v>
      </c>
      <c r="CM57">
        <f>'[12]Template '!$BB$97</f>
        <v>0</v>
      </c>
      <c r="CN57">
        <f>'[12]Template '!$AU$53</f>
        <v>0.5</v>
      </c>
      <c r="CO57">
        <f>'[12]Template '!$AV$53</f>
        <v>0.5</v>
      </c>
      <c r="CP57">
        <f>'[12]Template '!$AY$53</f>
        <v>0</v>
      </c>
      <c r="CQ57">
        <f>'[12]Template '!$AX$53</f>
        <v>0</v>
      </c>
      <c r="CR57">
        <f>'[12]Template '!$AZ$53</f>
        <v>0</v>
      </c>
      <c r="CS57">
        <f>'[12]Template '!$BF$53</f>
        <v>0</v>
      </c>
      <c r="CT57">
        <f t="shared" si="9"/>
        <v>0</v>
      </c>
      <c r="CU57">
        <f t="shared" si="10"/>
        <v>1.5</v>
      </c>
      <c r="CV57">
        <f t="shared" si="11"/>
        <v>1.5</v>
      </c>
      <c r="CY57" t="str">
        <f>'[12]Template '!$E$2</f>
        <v>B</v>
      </c>
      <c r="CZ57">
        <f>'[12]Template '!$B$13</f>
        <v>2</v>
      </c>
      <c r="DA57">
        <f>'[12]Template '!$D$2</f>
        <v>2</v>
      </c>
      <c r="DB57">
        <f>'[12]Template '!$D$3</f>
        <v>45013</v>
      </c>
      <c r="DC57">
        <f>'[12]Template '!$F$2</f>
        <v>45139</v>
      </c>
      <c r="DE57">
        <f>'[12]Template '!$B$12</f>
        <v>23</v>
      </c>
      <c r="DF57" t="str">
        <f>'[12]Template '!$B$14</f>
        <v>11/18</v>
      </c>
      <c r="DG57" t="str">
        <f>'[12]Template '!$B$15</f>
        <v>4/19</v>
      </c>
      <c r="DH57">
        <f>'[12]Template '!$B$16</f>
        <v>48</v>
      </c>
      <c r="DI57">
        <f>'[12]Template '!$B$17</f>
        <v>0</v>
      </c>
      <c r="DJ57">
        <f>'[12]Template '!$B$18</f>
        <v>0</v>
      </c>
      <c r="DK57">
        <f>'[12]Template '!$B$19</f>
        <v>1</v>
      </c>
      <c r="DL57">
        <f>'[12]Template '!$B$20</f>
        <v>1</v>
      </c>
      <c r="DM57">
        <f>'[12]Template '!$B$21</f>
        <v>0</v>
      </c>
      <c r="DN57">
        <f>'[12]Template '!$B$22</f>
        <v>0</v>
      </c>
      <c r="DP57">
        <f>'[12]Template '!$I$13</f>
        <v>5</v>
      </c>
      <c r="DQ57">
        <f>'[12]Template '!$I$14</f>
        <v>4</v>
      </c>
      <c r="DR57">
        <f>'[12]Template '!$I$15</f>
        <v>4</v>
      </c>
      <c r="DS57">
        <f>'[12]Template '!$I$16</f>
        <v>5</v>
      </c>
      <c r="DT57">
        <f>'[12]Template '!$I$17</f>
        <v>4</v>
      </c>
      <c r="DU57">
        <f>'[12]Template '!$I$18</f>
        <v>5</v>
      </c>
      <c r="DV57">
        <f>'[12]Template '!$I$19</f>
        <v>5</v>
      </c>
      <c r="DW57">
        <f>'[12]Template '!$I$20</f>
        <v>4</v>
      </c>
      <c r="DX57">
        <f>'[12]Template '!$I$21</f>
        <v>5</v>
      </c>
      <c r="DY57">
        <f>'[12]Template '!$I$22</f>
        <v>5</v>
      </c>
      <c r="DZ57">
        <f>'[12]Template '!$I$23</f>
        <v>5</v>
      </c>
      <c r="EA57">
        <f>'[12]Template '!$I$24</f>
        <v>0</v>
      </c>
      <c r="ED57">
        <f>'[12]Template '!$L$13</f>
        <v>4</v>
      </c>
      <c r="EE57">
        <f>'[12]Template '!$L$14</f>
        <v>3</v>
      </c>
      <c r="EF57">
        <f>'[12]Template '!$L$15</f>
        <v>4</v>
      </c>
      <c r="EG57">
        <f>'[12]Template '!$L$16</f>
        <v>4</v>
      </c>
      <c r="EH57">
        <f>'[12]Template '!$L$17</f>
        <v>4</v>
      </c>
      <c r="EI57">
        <f>'[12]Template '!$L$18</f>
        <v>3</v>
      </c>
      <c r="EJ57">
        <f>'[12]Template '!$L$19</f>
        <v>5</v>
      </c>
      <c r="EK57">
        <f>'[12]Template '!$L$20</f>
        <v>4</v>
      </c>
      <c r="EL57">
        <f>'[12]Template '!$L$21</f>
        <v>4</v>
      </c>
      <c r="EM57">
        <f>'[12]Template '!$L$22</f>
        <v>4</v>
      </c>
      <c r="EN57">
        <f>'[12]Template '!$L$23</f>
        <v>4</v>
      </c>
      <c r="EQ57">
        <f>'[12]Template '!$O$13</f>
        <v>4</v>
      </c>
      <c r="ER57">
        <f>'[12]Template '!$O$14</f>
        <v>3</v>
      </c>
      <c r="ES57">
        <f>'[12]Template '!$O$15</f>
        <v>3</v>
      </c>
      <c r="ET57">
        <f>'[12]Template '!$O$16</f>
        <v>2</v>
      </c>
      <c r="EU57">
        <f>'[12]Template '!$O$17</f>
        <v>4</v>
      </c>
      <c r="EV57">
        <f>'[12]Template '!$O$18</f>
        <v>4</v>
      </c>
      <c r="EW57">
        <f>'[12]Template '!$O$19</f>
        <v>2</v>
      </c>
      <c r="EX57">
        <f>'[12]Template '!$O$20</f>
        <v>3</v>
      </c>
      <c r="EY57">
        <f>'[12]Template '!$O$21</f>
        <v>2</v>
      </c>
      <c r="EZ57">
        <f>'[12]Template '!$O$22</f>
        <v>3</v>
      </c>
      <c r="FA57">
        <f>'[12]Template '!$O$23</f>
        <v>3</v>
      </c>
      <c r="FL57">
        <f>'[12]Template '!$D$5</f>
        <v>0.63318452380952372</v>
      </c>
      <c r="FM57">
        <f>'[12]Template '!$D$6</f>
        <v>0.51931367243867244</v>
      </c>
      <c r="FN57">
        <f>'[12]Template '!$D$7</f>
        <v>0.5880158730158731</v>
      </c>
      <c r="FO57">
        <f>'[12]Template '!$D$8</f>
        <v>0.65650132275132278</v>
      </c>
      <c r="FP57">
        <f>'[12]Template '!$D$9</f>
        <v>0.59925384800384807</v>
      </c>
      <c r="FR57">
        <f>'[12]Template '!$E$5</f>
        <v>0.61204481792717091</v>
      </c>
      <c r="FS57">
        <f>'[12]Template '!$E$6</f>
        <v>0.5111291486291486</v>
      </c>
      <c r="FT57">
        <f>'[12]Template '!$E$7</f>
        <v>0.57713624338624336</v>
      </c>
      <c r="FU57">
        <f>'[12]Template '!$E$8</f>
        <v>0.57587361712361707</v>
      </c>
      <c r="FV57">
        <f>'[12]Template '!$E$9</f>
        <v>0.56904595676654501</v>
      </c>
    </row>
    <row r="58" spans="1:178" x14ac:dyDescent="0.2">
      <c r="A58" t="str">
        <f>'[15]Template '!$A$2</f>
        <v>M_038</v>
      </c>
      <c r="C58" t="str">
        <f t="shared" si="8"/>
        <v>M_038.xlsx</v>
      </c>
      <c r="E58" t="str">
        <f>'[15]Template '!$C$2</f>
        <v>D+M</v>
      </c>
      <c r="G58">
        <f>'[15]Template '!$C$29</f>
        <v>0.5</v>
      </c>
      <c r="H58" t="str">
        <f>'[15]Template '!$C$30</f>
        <v>n/a</v>
      </c>
      <c r="I58">
        <f>'[15]Template '!$C$31</f>
        <v>0.33333333333333331</v>
      </c>
      <c r="J58">
        <f>'[15]Template '!$C$32</f>
        <v>0.60294117647058831</v>
      </c>
      <c r="K58">
        <f>'[15]Template '!$C$33</f>
        <v>0.79365079365079361</v>
      </c>
      <c r="M58">
        <f>'[15]Template '!$C$80</f>
        <v>1200</v>
      </c>
      <c r="N58">
        <f>'[15]Template '!$C$81</f>
        <v>42</v>
      </c>
      <c r="O58">
        <f>'[15]Template '!$C$82</f>
        <v>4</v>
      </c>
      <c r="P58">
        <f>'[15]Template '!$C$83</f>
        <v>3</v>
      </c>
      <c r="Q58">
        <f>'[15]Template '!$C$84</f>
        <v>3</v>
      </c>
      <c r="R58">
        <f>'[15]Template '!$C$85</f>
        <v>2</v>
      </c>
      <c r="T58">
        <f>'[15]Template '!$C$74</f>
        <v>0.51818181818181819</v>
      </c>
      <c r="U58" t="str">
        <f>'[15]Template '!$C$75</f>
        <v>n/a</v>
      </c>
      <c r="V58">
        <f>'[15]Template '!$C$76</f>
        <v>0.4642857142857143</v>
      </c>
      <c r="W58">
        <f>'[15]Template '!$C$77</f>
        <v>0.5</v>
      </c>
      <c r="X58">
        <f>'[15]Template '!$C$78</f>
        <v>0.87301587301587302</v>
      </c>
      <c r="Z58">
        <f>'[15]Template '!$C$80</f>
        <v>1200</v>
      </c>
      <c r="AA58">
        <f>'[15]Template '!$C$81</f>
        <v>42</v>
      </c>
      <c r="AB58">
        <f>'[15]Template '!$C$82</f>
        <v>4</v>
      </c>
      <c r="AC58">
        <f>'[15]Template '!$C$83</f>
        <v>3</v>
      </c>
      <c r="AD58">
        <f>'[15]Template '!$C$84</f>
        <v>3</v>
      </c>
      <c r="AE58">
        <f>'[15]Template '!$C$85</f>
        <v>2</v>
      </c>
      <c r="AG58">
        <f>'[15]Template '!$C$96</f>
        <v>0.35416666666666663</v>
      </c>
      <c r="AH58">
        <f>'[15]Template '!$C$97</f>
        <v>0.6518518518518519</v>
      </c>
      <c r="AI58">
        <f>'[15]Template '!$C$98</f>
        <v>0</v>
      </c>
      <c r="AJ58">
        <f>'[15]Template '!$C$99</f>
        <v>0.33706816059757233</v>
      </c>
      <c r="AK58">
        <f>'[15]Template '!$C$100</f>
        <v>0.90476190476190477</v>
      </c>
      <c r="AM58">
        <f>'[15]Template '!$C$102</f>
        <v>1200</v>
      </c>
      <c r="AN58">
        <f>'[15]Template '!$C$103</f>
        <v>33</v>
      </c>
      <c r="AO58">
        <f>'[15]Template '!$C$104</f>
        <v>5</v>
      </c>
      <c r="AP58">
        <f>'[15]Template '!$C$105</f>
        <v>3</v>
      </c>
      <c r="AQ58">
        <f>'[15]Template '!$C$106</f>
        <v>4</v>
      </c>
      <c r="AR58">
        <f>'[15]Template '!$C$107</f>
        <v>2</v>
      </c>
      <c r="AT58">
        <f>'[15]Template '!$C$52</f>
        <v>0.49365079365079362</v>
      </c>
      <c r="AU58">
        <f>'[15]Template '!$C$53</f>
        <v>0.6518518518518519</v>
      </c>
      <c r="AV58">
        <f>'[15]Template '!$C$54</f>
        <v>0</v>
      </c>
      <c r="AW58">
        <f>'[15]Template '!$C$55</f>
        <v>0.33035714285714285</v>
      </c>
      <c r="AX58">
        <f>'[15]Template '!$C$56</f>
        <v>0.81428571428571439</v>
      </c>
      <c r="AZ58">
        <f>'[15]Template '!$C$58</f>
        <v>1200</v>
      </c>
      <c r="BA58">
        <f>'[15]Template '!$C$59</f>
        <v>35</v>
      </c>
      <c r="BB58">
        <f>'[15]Template '!$C$60</f>
        <v>5</v>
      </c>
      <c r="BC58">
        <f>'[15]Template '!$C$61</f>
        <v>3</v>
      </c>
      <c r="BD58">
        <f>'[15]Template '!$C$62</f>
        <v>3</v>
      </c>
      <c r="BE58">
        <f>'[15]Template '!$C$63</f>
        <v>2</v>
      </c>
      <c r="BG58">
        <f>'[15]Template '!$B$29</f>
        <v>0.5</v>
      </c>
      <c r="BH58" t="str">
        <f>'[15]Template '!$B$30</f>
        <v>n/a</v>
      </c>
      <c r="BI58">
        <f>'[15]Template '!$B$31</f>
        <v>0.33333333333333331</v>
      </c>
      <c r="BJ58">
        <f>'[15]Template '!$B$32</f>
        <v>0.6875</v>
      </c>
      <c r="BK58">
        <f>'[15]Template '!$B$33</f>
        <v>0.79365079365079361</v>
      </c>
      <c r="BM58">
        <f>'[15]Template '!$B$52</f>
        <v>0.49365079365079362</v>
      </c>
      <c r="BN58">
        <f>'[15]Template '!$B$53</f>
        <v>0.6518518518518519</v>
      </c>
      <c r="BO58">
        <f>'[15]Template '!$B$54</f>
        <v>0</v>
      </c>
      <c r="BP58">
        <f>'[15]Template '!$B$55</f>
        <v>0.52777777777777779</v>
      </c>
      <c r="BQ58">
        <f>'[15]Template '!$B$56</f>
        <v>0.81428571428571439</v>
      </c>
      <c r="BS58">
        <f>'[15]Template '!$B$74</f>
        <v>0.51818181818181819</v>
      </c>
      <c r="BT58" t="str">
        <f>'[15]Template '!$B$75</f>
        <v>n/a</v>
      </c>
      <c r="BU58">
        <f>'[15]Template '!$B$76</f>
        <v>0.4642857142857143</v>
      </c>
      <c r="BV58">
        <f>'[15]Template '!$B$77</f>
        <v>0.58333333333333326</v>
      </c>
      <c r="BW58">
        <f>'[15]Template '!$B$78</f>
        <v>0.87301587301587302</v>
      </c>
      <c r="BY58">
        <f>'[15]Template '!$B$96</f>
        <v>0.35416666666666663</v>
      </c>
      <c r="BZ58">
        <f>'[15]Template '!$B$97</f>
        <v>0.6518518518518519</v>
      </c>
      <c r="CA58">
        <f>'[15]Template '!$B$98</f>
        <v>0</v>
      </c>
      <c r="CB58">
        <f>'[15]Template '!$B$99</f>
        <v>0.55555555555555547</v>
      </c>
      <c r="CC58">
        <f>'[15]Template '!$B$100</f>
        <v>0.90476190476190477</v>
      </c>
      <c r="CF58">
        <f>'[15]Template '!$Z$30</f>
        <v>0</v>
      </c>
      <c r="CG58">
        <f>'[15]Template '!$AB$75</f>
        <v>0</v>
      </c>
      <c r="CH58">
        <f>'[15]Template '!$C$89</f>
        <v>0</v>
      </c>
      <c r="CI58">
        <f>'[15]Template '!$AF$75</f>
        <v>0</v>
      </c>
      <c r="CJ58">
        <f>'[15]Template '!$AR$97</f>
        <v>0</v>
      </c>
      <c r="CK58">
        <f>'[15]Template '!$AS$97</f>
        <v>0</v>
      </c>
      <c r="CL58">
        <f>'[15]Template '!$AZ$97</f>
        <v>0</v>
      </c>
      <c r="CM58">
        <f>'[15]Template '!$BB$97</f>
        <v>0</v>
      </c>
      <c r="CN58">
        <f>'[15]Template '!$AU$53</f>
        <v>0</v>
      </c>
      <c r="CO58">
        <f>'[15]Template '!$AV$53</f>
        <v>0</v>
      </c>
      <c r="CP58">
        <f>'[15]Template '!$AY$53</f>
        <v>0</v>
      </c>
      <c r="CQ58">
        <f>'[15]Template '!$AX$53</f>
        <v>0</v>
      </c>
      <c r="CR58">
        <f>'[15]Template '!$AZ$53</f>
        <v>1</v>
      </c>
      <c r="CS58">
        <f>'[15]Template '!$BF$53</f>
        <v>0</v>
      </c>
      <c r="CT58">
        <f t="shared" si="9"/>
        <v>0</v>
      </c>
      <c r="CU58">
        <f t="shared" si="10"/>
        <v>1</v>
      </c>
      <c r="CV58">
        <f t="shared" si="11"/>
        <v>1</v>
      </c>
      <c r="CY58" t="str">
        <f>'[15]Template '!$E$2</f>
        <v>A</v>
      </c>
      <c r="CZ58">
        <f>'[15]Template '!$B$13</f>
        <v>1</v>
      </c>
      <c r="DA58">
        <f>'[15]Template '!$D$2</f>
        <v>2</v>
      </c>
      <c r="DB58">
        <f>'[15]Template '!$D$3</f>
        <v>45013</v>
      </c>
      <c r="DC58">
        <f>'[15]Template '!$F$2</f>
        <v>45146</v>
      </c>
      <c r="DE58">
        <f>'[15]Template '!$B$12</f>
        <v>29</v>
      </c>
      <c r="DF58" t="str">
        <f>'[15]Template '!$B$14</f>
        <v>2/14</v>
      </c>
      <c r="DG58" t="str">
        <f>'[15]Template '!$B$15</f>
        <v>3/18</v>
      </c>
      <c r="DH58">
        <f>'[15]Template '!$B$16</f>
        <v>108</v>
      </c>
      <c r="DI58">
        <f>'[15]Template '!$B$17</f>
        <v>1</v>
      </c>
      <c r="DJ58">
        <f>'[15]Template '!$B$18</f>
        <v>6</v>
      </c>
      <c r="DK58">
        <f>'[15]Template '!$B$19</f>
        <v>1</v>
      </c>
      <c r="DL58">
        <f>'[15]Template '!$B$20</f>
        <v>1</v>
      </c>
      <c r="DM58">
        <f>'[15]Template '!$B$21</f>
        <v>1</v>
      </c>
      <c r="DN58">
        <f>'[15]Template '!$B$22</f>
        <v>1</v>
      </c>
      <c r="DP58">
        <f>'[15]Template '!$I$13</f>
        <v>4</v>
      </c>
      <c r="DQ58">
        <f>'[15]Template '!$I$14</f>
        <v>4</v>
      </c>
      <c r="DR58">
        <f>'[15]Template '!$I$15</f>
        <v>4</v>
      </c>
      <c r="DS58">
        <f>'[15]Template '!$I$16</f>
        <v>4</v>
      </c>
      <c r="DT58">
        <f>'[15]Template '!$I$17</f>
        <v>4</v>
      </c>
      <c r="DU58">
        <f>'[15]Template '!$I$18</f>
        <v>4</v>
      </c>
      <c r="DV58">
        <f>'[15]Template '!$I$19</f>
        <v>4</v>
      </c>
      <c r="DW58">
        <f>'[15]Template '!$I$20</f>
        <v>4</v>
      </c>
      <c r="DX58">
        <f>'[15]Template '!$I$21</f>
        <v>4</v>
      </c>
      <c r="DY58">
        <f>'[15]Template '!$I$22</f>
        <v>4</v>
      </c>
      <c r="DZ58">
        <f>'[15]Template '!$I$23</f>
        <v>4</v>
      </c>
      <c r="EA58">
        <f>'[15]Template '!$I$24</f>
        <v>1</v>
      </c>
      <c r="ED58">
        <f>'[15]Template '!$L$13</f>
        <v>4</v>
      </c>
      <c r="EE58">
        <f>'[15]Template '!$L$14</f>
        <v>4</v>
      </c>
      <c r="EF58">
        <f>'[15]Template '!$L$15</f>
        <v>4</v>
      </c>
      <c r="EG58">
        <f>'[15]Template '!$L$16</f>
        <v>4</v>
      </c>
      <c r="EH58">
        <f>'[15]Template '!$L$17</f>
        <v>4</v>
      </c>
      <c r="EI58">
        <f>'[15]Template '!$L$18</f>
        <v>4</v>
      </c>
      <c r="EJ58">
        <f>'[15]Template '!$L$19</f>
        <v>4</v>
      </c>
      <c r="EK58">
        <f>'[15]Template '!$L$20</f>
        <v>3</v>
      </c>
      <c r="EL58">
        <f>'[15]Template '!$L$21</f>
        <v>4</v>
      </c>
      <c r="EM58">
        <f>'[15]Template '!$L$22</f>
        <v>4</v>
      </c>
      <c r="EN58">
        <f>'[15]Template '!$L$23</f>
        <v>4</v>
      </c>
      <c r="EQ58">
        <f>'[15]Template '!$O$13</f>
        <v>4</v>
      </c>
      <c r="ER58">
        <f>'[15]Template '!$O$14</f>
        <v>3</v>
      </c>
      <c r="ES58">
        <f>'[15]Template '!$O$15</f>
        <v>3</v>
      </c>
      <c r="ET58">
        <f>'[15]Template '!$O$16</f>
        <v>3</v>
      </c>
      <c r="EU58">
        <f>'[15]Template '!$O$17</f>
        <v>4</v>
      </c>
      <c r="EV58">
        <f>'[15]Template '!$O$18</f>
        <v>3</v>
      </c>
      <c r="EW58">
        <f>'[15]Template '!$O$19</f>
        <v>2</v>
      </c>
      <c r="EX58">
        <f>'[15]Template '!$O$20</f>
        <v>4</v>
      </c>
      <c r="EY58">
        <f>'[15]Template '!$O$21</f>
        <v>2</v>
      </c>
      <c r="EZ58">
        <f>'[15]Template '!$O$22</f>
        <v>3</v>
      </c>
      <c r="FA58">
        <f>'[15]Template '!$O$23</f>
        <v>3</v>
      </c>
      <c r="FL58">
        <f>'[15]Template '!$D$5</f>
        <v>0.57862103174603174</v>
      </c>
      <c r="FM58">
        <f>'[15]Template '!$D$6</f>
        <v>0.60970418470418464</v>
      </c>
      <c r="FN58">
        <f>'[15]Template '!$D$7</f>
        <v>0.49751322751322757</v>
      </c>
      <c r="FO58">
        <f>'[15]Template '!$D$8</f>
        <v>0.49326719576719569</v>
      </c>
      <c r="FP58">
        <f>'[15]Template '!$D$9</f>
        <v>0.54477640993265986</v>
      </c>
      <c r="FR58">
        <f>'[15]Template '!$E$5</f>
        <v>0.55748132586367882</v>
      </c>
      <c r="FS58">
        <f>'[15]Template '!$E$6</f>
        <v>0.58887085137085138</v>
      </c>
      <c r="FT58">
        <f>'[15]Template '!$E$7</f>
        <v>0.45802910052910056</v>
      </c>
      <c r="FU58">
        <f>'[15]Template '!$E$8</f>
        <v>0.44956971677559909</v>
      </c>
      <c r="FV58">
        <f>'[15]Template '!$E$9</f>
        <v>0.51348774863480751</v>
      </c>
    </row>
    <row r="59" spans="1:178" x14ac:dyDescent="0.2">
      <c r="A59" t="str">
        <f>'[19]Template '!$A$2</f>
        <v>M_045</v>
      </c>
      <c r="C59" t="str">
        <f t="shared" si="8"/>
        <v>M_045.xlsx</v>
      </c>
      <c r="E59" t="str">
        <f>'[19]Template '!$C$2</f>
        <v>D+M</v>
      </c>
      <c r="G59">
        <f>'[19]Template '!$C$29</f>
        <v>0.3888888888888889</v>
      </c>
      <c r="H59" t="str">
        <f>'[19]Template '!$C$30</f>
        <v>n/a</v>
      </c>
      <c r="I59">
        <f>'[19]Template '!$C$31</f>
        <v>0.66666666666666663</v>
      </c>
      <c r="J59">
        <f>'[19]Template '!$C$32</f>
        <v>0.54411764705882359</v>
      </c>
      <c r="K59">
        <f>'[19]Template '!$C$33</f>
        <v>0.79960317460317454</v>
      </c>
      <c r="M59">
        <f>'[19]Template '!$C$80</f>
        <v>568</v>
      </c>
      <c r="N59">
        <f>'[19]Template '!$C$81</f>
        <v>38.5</v>
      </c>
      <c r="O59">
        <f>'[19]Template '!$C$82</f>
        <v>2.5</v>
      </c>
      <c r="P59">
        <f>'[19]Template '!$C$83</f>
        <v>1</v>
      </c>
      <c r="Q59">
        <f>'[19]Template '!$C$84</f>
        <v>3</v>
      </c>
      <c r="R59">
        <f>'[19]Template '!$C$85</f>
        <v>1.5</v>
      </c>
      <c r="T59">
        <f>'[19]Template '!$C$74</f>
        <v>0.54090909090909101</v>
      </c>
      <c r="U59" t="str">
        <f>'[19]Template '!$C$75</f>
        <v>n/a</v>
      </c>
      <c r="V59">
        <f>'[19]Template '!$C$76</f>
        <v>0.39285714285714285</v>
      </c>
      <c r="W59">
        <f>'[19]Template '!$C$77</f>
        <v>0.47619047619047616</v>
      </c>
      <c r="X59">
        <f>'[19]Template '!$C$78</f>
        <v>0.75595238095238093</v>
      </c>
      <c r="Z59">
        <f>'[19]Template '!$C$80</f>
        <v>568</v>
      </c>
      <c r="AA59">
        <f>'[19]Template '!$C$81</f>
        <v>38.5</v>
      </c>
      <c r="AB59">
        <f>'[19]Template '!$C$82</f>
        <v>2.5</v>
      </c>
      <c r="AC59">
        <f>'[19]Template '!$C$83</f>
        <v>1</v>
      </c>
      <c r="AD59">
        <f>'[19]Template '!$C$84</f>
        <v>3</v>
      </c>
      <c r="AE59">
        <f>'[19]Template '!$C$85</f>
        <v>1.5</v>
      </c>
      <c r="AG59">
        <f>'[19]Template '!$C$96</f>
        <v>0.75</v>
      </c>
      <c r="AH59">
        <f>'[19]Template '!$C$97</f>
        <v>0.44444444444444442</v>
      </c>
      <c r="AI59">
        <f>'[19]Template '!$C$98</f>
        <v>0.5</v>
      </c>
      <c r="AJ59">
        <f>'[19]Template '!$C$99</f>
        <v>0.70274170274170267</v>
      </c>
      <c r="AK59">
        <f>'[19]Template '!$C$100</f>
        <v>0.84523809523809523</v>
      </c>
      <c r="AM59">
        <f>'[19]Template '!$C$102</f>
        <v>962</v>
      </c>
      <c r="AN59">
        <f>'[19]Template '!$C$103</f>
        <v>66.5</v>
      </c>
      <c r="AO59">
        <f>'[19]Template '!$C$104</f>
        <v>3</v>
      </c>
      <c r="AP59">
        <f>'[19]Template '!$C$105</f>
        <v>3.5</v>
      </c>
      <c r="AQ59">
        <f>'[19]Template '!$C$106</f>
        <v>3</v>
      </c>
      <c r="AR59">
        <f>'[19]Template '!$C$107</f>
        <v>4</v>
      </c>
      <c r="AT59">
        <f>'[19]Template '!$C$52</f>
        <v>0.66666666666666663</v>
      </c>
      <c r="AU59">
        <f>'[19]Template '!$C$53</f>
        <v>0.44444444444444442</v>
      </c>
      <c r="AV59">
        <f>'[19]Template '!$C$54</f>
        <v>0.5</v>
      </c>
      <c r="AW59">
        <f>'[19]Template '!$C$55</f>
        <v>0.33333333333333331</v>
      </c>
      <c r="AX59">
        <f>'[19]Template '!$C$56</f>
        <v>0.88293650793650791</v>
      </c>
      <c r="AZ59">
        <f>'[19]Template '!$C$58</f>
        <v>1200</v>
      </c>
      <c r="BA59">
        <f>'[19]Template '!$C$59</f>
        <v>69</v>
      </c>
      <c r="BB59">
        <f>'[19]Template '!$C$60</f>
        <v>3</v>
      </c>
      <c r="BC59">
        <f>'[19]Template '!$C$61</f>
        <v>4</v>
      </c>
      <c r="BD59">
        <f>'[19]Template '!$C$62</f>
        <v>4</v>
      </c>
      <c r="BE59">
        <f>'[19]Template '!$C$63</f>
        <v>3.5</v>
      </c>
      <c r="BG59">
        <f>'[19]Template '!$B$29</f>
        <v>0.3888888888888889</v>
      </c>
      <c r="BH59" t="str">
        <f>'[19]Template '!$B$30</f>
        <v>n/a</v>
      </c>
      <c r="BI59">
        <f>'[19]Template '!$B$31</f>
        <v>0.66666666666666663</v>
      </c>
      <c r="BJ59">
        <f>'[19]Template '!$B$32</f>
        <v>0.6875</v>
      </c>
      <c r="BK59">
        <f>'[19]Template '!$B$33</f>
        <v>0.79960317460317454</v>
      </c>
      <c r="BM59">
        <f>'[19]Template '!$B$52</f>
        <v>0.75</v>
      </c>
      <c r="BN59">
        <f>'[19]Template '!$B$53</f>
        <v>0.44444444444444442</v>
      </c>
      <c r="BO59">
        <f>'[19]Template '!$B$54</f>
        <v>0.5</v>
      </c>
      <c r="BP59">
        <f>'[19]Template '!$B$55</f>
        <v>0.41666666666666669</v>
      </c>
      <c r="BQ59">
        <f>'[19]Template '!$B$56</f>
        <v>0.88293650793650791</v>
      </c>
      <c r="BS59">
        <f>'[19]Template '!$B$74</f>
        <v>0.54090909090909101</v>
      </c>
      <c r="BT59" t="str">
        <f>'[19]Template '!$B$75</f>
        <v>n/a</v>
      </c>
      <c r="BU59">
        <f>'[19]Template '!$B$76</f>
        <v>0.39285714285714285</v>
      </c>
      <c r="BV59">
        <f>'[19]Template '!$B$77</f>
        <v>0.45833333333333331</v>
      </c>
      <c r="BW59">
        <f>'[19]Template '!$B$78</f>
        <v>0.75595238095238093</v>
      </c>
      <c r="BY59">
        <f>'[19]Template '!$B$96</f>
        <v>0.75</v>
      </c>
      <c r="BZ59">
        <f>'[19]Template '!$B$97</f>
        <v>0.44444444444444442</v>
      </c>
      <c r="CA59">
        <f>'[19]Template '!$B$98</f>
        <v>0.5</v>
      </c>
      <c r="CB59">
        <f>'[19]Template '!$B$99</f>
        <v>0.88888888888888884</v>
      </c>
      <c r="CC59">
        <f>'[19]Template '!$B$100</f>
        <v>0.84523809523809523</v>
      </c>
      <c r="CF59">
        <f>'[19]Template '!$Z$30</f>
        <v>0</v>
      </c>
      <c r="CG59">
        <f>'[19]Template '!$AB$75</f>
        <v>0</v>
      </c>
      <c r="CH59">
        <f>'[19]Template '!$C$89</f>
        <v>0</v>
      </c>
      <c r="CI59">
        <f>'[19]Template '!$AF$75</f>
        <v>0</v>
      </c>
      <c r="CJ59">
        <f>'[19]Template '!$AR$97</f>
        <v>0.5</v>
      </c>
      <c r="CK59">
        <f>'[19]Template '!$AS$97</f>
        <v>0</v>
      </c>
      <c r="CL59">
        <f>'[19]Template '!$AZ$97</f>
        <v>0.5</v>
      </c>
      <c r="CM59">
        <f>'[19]Template '!$BB$97</f>
        <v>1</v>
      </c>
      <c r="CN59">
        <f>'[19]Template '!$AU$53</f>
        <v>1</v>
      </c>
      <c r="CO59">
        <f>'[19]Template '!$AV$53</f>
        <v>1</v>
      </c>
      <c r="CP59">
        <f>'[19]Template '!$AY$53</f>
        <v>1</v>
      </c>
      <c r="CQ59">
        <f>'[19]Template '!$AX$53</f>
        <v>0</v>
      </c>
      <c r="CR59">
        <f>'[19]Template '!$AZ$53</f>
        <v>0</v>
      </c>
      <c r="CS59">
        <f>'[19]Template '!$BF$53</f>
        <v>0</v>
      </c>
      <c r="CT59">
        <f t="shared" si="9"/>
        <v>0</v>
      </c>
      <c r="CU59">
        <f t="shared" si="10"/>
        <v>5</v>
      </c>
      <c r="CV59">
        <f t="shared" si="11"/>
        <v>5</v>
      </c>
      <c r="CY59" t="str">
        <f>'[19]Template '!$E$2</f>
        <v>A</v>
      </c>
      <c r="CZ59">
        <f>'[19]Template '!$B$13</f>
        <v>1</v>
      </c>
      <c r="DA59">
        <f>'[19]Template '!$D$2</f>
        <v>2</v>
      </c>
      <c r="DB59">
        <f>'[19]Template '!$D$3</f>
        <v>45013</v>
      </c>
      <c r="DC59">
        <f>'[19]Template '!$F$2</f>
        <v>45093</v>
      </c>
      <c r="DE59">
        <f>'[19]Template '!$B$12</f>
        <v>23</v>
      </c>
      <c r="DF59" t="str">
        <f>'[19]Template '!$B$14</f>
        <v>5/20</v>
      </c>
      <c r="DG59" t="str">
        <f>'[19]Template '!$B$15</f>
        <v>3/21</v>
      </c>
      <c r="DH59">
        <f>'[19]Template '!$B$16</f>
        <v>36</v>
      </c>
      <c r="DI59">
        <f>'[19]Template '!$B$17</f>
        <v>0</v>
      </c>
      <c r="DJ59">
        <f>'[19]Template '!$B$18</f>
        <v>0</v>
      </c>
      <c r="DK59">
        <f>'[19]Template '!$B$19</f>
        <v>0</v>
      </c>
      <c r="DL59">
        <f>'[19]Template '!$B$20</f>
        <v>0</v>
      </c>
      <c r="DM59">
        <f>'[19]Template '!$B$21</f>
        <v>0</v>
      </c>
      <c r="DN59">
        <f>'[19]Template '!$B$22</f>
        <v>1</v>
      </c>
      <c r="DP59">
        <f>'[19]Template '!$I$13</f>
        <v>4</v>
      </c>
      <c r="DQ59">
        <f>'[19]Template '!$I$14</f>
        <v>4</v>
      </c>
      <c r="DR59">
        <f>'[19]Template '!$I$15</f>
        <v>4</v>
      </c>
      <c r="DS59">
        <f>'[19]Template '!$I$16</f>
        <v>4</v>
      </c>
      <c r="DT59">
        <f>'[19]Template '!$I$17</f>
        <v>4</v>
      </c>
      <c r="DU59">
        <f>'[19]Template '!$I$18</f>
        <v>3</v>
      </c>
      <c r="DV59">
        <f>'[19]Template '!$I$19</f>
        <v>4</v>
      </c>
      <c r="DW59">
        <f>'[19]Template '!$I$20</f>
        <v>4</v>
      </c>
      <c r="DX59">
        <f>'[19]Template '!$I$21</f>
        <v>3</v>
      </c>
      <c r="DY59">
        <f>'[19]Template '!$I$22</f>
        <v>3</v>
      </c>
      <c r="DZ59">
        <f>'[19]Template '!$I$23</f>
        <v>4</v>
      </c>
      <c r="EA59">
        <f>'[19]Template '!$I$24</f>
        <v>1</v>
      </c>
      <c r="ED59">
        <f>'[19]Template '!$L$13</f>
        <v>4</v>
      </c>
      <c r="EE59">
        <f>'[19]Template '!$L$14</f>
        <v>4</v>
      </c>
      <c r="EF59">
        <f>'[19]Template '!$L$15</f>
        <v>2</v>
      </c>
      <c r="EG59">
        <f>'[19]Template '!$L$16</f>
        <v>4</v>
      </c>
      <c r="EH59">
        <f>'[19]Template '!$L$17</f>
        <v>4</v>
      </c>
      <c r="EI59">
        <f>'[19]Template '!$L$18</f>
        <v>3</v>
      </c>
      <c r="EJ59">
        <f>'[19]Template '!$L$19</f>
        <v>5</v>
      </c>
      <c r="EK59">
        <f>'[19]Template '!$L$20</f>
        <v>4</v>
      </c>
      <c r="EL59">
        <f>'[19]Template '!$L$21</f>
        <v>4</v>
      </c>
      <c r="EM59">
        <f>'[19]Template '!$L$22</f>
        <v>4</v>
      </c>
      <c r="EN59">
        <f>'[19]Template '!$L$23</f>
        <v>5</v>
      </c>
      <c r="EQ59">
        <f>'[19]Template '!$O$13</f>
        <v>0</v>
      </c>
      <c r="ER59">
        <f>'[19]Template '!$O$14</f>
        <v>3</v>
      </c>
      <c r="ES59">
        <f>'[19]Template '!$O$15</f>
        <v>2</v>
      </c>
      <c r="ET59">
        <f>'[19]Template '!$O$16</f>
        <v>4</v>
      </c>
      <c r="EU59">
        <f>'[19]Template '!$O$17</f>
        <v>5</v>
      </c>
      <c r="EV59">
        <f>'[19]Template '!$O$18</f>
        <v>3</v>
      </c>
      <c r="EW59">
        <f>'[19]Template '!$O$19</f>
        <v>1</v>
      </c>
      <c r="EX59">
        <f>'[19]Template '!$O$20</f>
        <v>2</v>
      </c>
      <c r="EY59">
        <f>'[19]Template '!$O$21</f>
        <v>4</v>
      </c>
      <c r="EZ59">
        <f>'[19]Template '!$O$22</f>
        <v>4</v>
      </c>
      <c r="FA59">
        <f>'[19]Template '!$O$23</f>
        <v>4</v>
      </c>
      <c r="FL59">
        <f>'[19]Template '!$D$5</f>
        <v>0.63566468253968256</v>
      </c>
      <c r="FM59">
        <f>'[19]Template '!$D$6</f>
        <v>0.53701298701298694</v>
      </c>
      <c r="FN59">
        <f>'[19]Template '!$D$7</f>
        <v>0.59880952380952379</v>
      </c>
      <c r="FO59">
        <f>'[19]Template '!$D$8</f>
        <v>0.68571428571428572</v>
      </c>
      <c r="FP59">
        <f>'[19]Template '!$D$9</f>
        <v>0.61430036976911984</v>
      </c>
      <c r="FR59">
        <f>'[19]Template '!$E$5</f>
        <v>0.5998190943043884</v>
      </c>
      <c r="FS59">
        <f>'[19]Template '!$E$6</f>
        <v>0.54147727272727275</v>
      </c>
      <c r="FT59">
        <f>'[19]Template '!$E$7</f>
        <v>0.56547619047619047</v>
      </c>
      <c r="FU59">
        <f>'[19]Template '!$E$8</f>
        <v>0.64848484848484855</v>
      </c>
      <c r="FV59">
        <f>'[19]Template '!$E$9</f>
        <v>0.58881435149817507</v>
      </c>
    </row>
    <row r="60" spans="1:178" x14ac:dyDescent="0.2">
      <c r="A60" t="str">
        <f>'[20]Template '!$A$2</f>
        <v>M_046</v>
      </c>
      <c r="C60" t="str">
        <f t="shared" si="8"/>
        <v>M_046.xlsx</v>
      </c>
      <c r="E60" t="str">
        <f>'[20]Template '!$C$2</f>
        <v>D+M</v>
      </c>
      <c r="G60">
        <f>'[20]Template '!$C$29</f>
        <v>0.3888888888888889</v>
      </c>
      <c r="H60" t="str">
        <f>'[20]Template '!$C$30</f>
        <v>n/a</v>
      </c>
      <c r="I60">
        <f>'[20]Template '!$C$31</f>
        <v>0.66666666666666663</v>
      </c>
      <c r="J60">
        <f>'[20]Template '!$C$32</f>
        <v>0.72794117647058831</v>
      </c>
      <c r="K60">
        <f>'[20]Template '!$C$33</f>
        <v>0.77777777777777768</v>
      </c>
      <c r="M60">
        <f>'[20]Template '!$C$80</f>
        <v>1042</v>
      </c>
      <c r="N60">
        <f>'[20]Template '!$C$81</f>
        <v>47.5</v>
      </c>
      <c r="O60">
        <f>'[20]Template '!$C$82</f>
        <v>3</v>
      </c>
      <c r="P60">
        <f>'[20]Template '!$C$83</f>
        <v>3</v>
      </c>
      <c r="Q60">
        <f>'[20]Template '!$C$84</f>
        <v>4</v>
      </c>
      <c r="R60">
        <f>'[20]Template '!$C$85</f>
        <v>2.5</v>
      </c>
      <c r="T60">
        <f>'[20]Template '!$C$74</f>
        <v>0.7</v>
      </c>
      <c r="U60" t="str">
        <f>'[20]Template '!$C$75</f>
        <v>n/a</v>
      </c>
      <c r="V60">
        <f>'[20]Template '!$C$76</f>
        <v>0.5357142857142857</v>
      </c>
      <c r="W60">
        <f>'[20]Template '!$C$77</f>
        <v>0.61904761904761907</v>
      </c>
      <c r="X60">
        <f>'[20]Template '!$C$78</f>
        <v>0.85119047619047616</v>
      </c>
      <c r="Z60">
        <f>'[20]Template '!$C$80</f>
        <v>1042</v>
      </c>
      <c r="AA60">
        <f>'[20]Template '!$C$81</f>
        <v>47.5</v>
      </c>
      <c r="AB60">
        <f>'[20]Template '!$C$82</f>
        <v>3</v>
      </c>
      <c r="AC60">
        <f>'[20]Template '!$C$83</f>
        <v>3</v>
      </c>
      <c r="AD60">
        <f>'[20]Template '!$C$84</f>
        <v>4</v>
      </c>
      <c r="AE60">
        <f>'[20]Template '!$C$85</f>
        <v>2.5</v>
      </c>
      <c r="AG60">
        <f>'[20]Template '!$C$96</f>
        <v>0.75</v>
      </c>
      <c r="AH60">
        <f>'[20]Template '!$C$97</f>
        <v>0.31111111111111112</v>
      </c>
      <c r="AI60">
        <f>'[20]Template '!$C$98</f>
        <v>0.5</v>
      </c>
      <c r="AJ60">
        <f>'[20]Template '!$C$99</f>
        <v>0.88888888888888884</v>
      </c>
      <c r="AK60">
        <f>'[20]Template '!$C$100</f>
        <v>0.97023809523809523</v>
      </c>
      <c r="AM60">
        <f>'[20]Template '!$C$102</f>
        <v>878</v>
      </c>
      <c r="AN60">
        <f>'[20]Template '!$C$103</f>
        <v>72.5</v>
      </c>
      <c r="AO60">
        <f>'[20]Template '!$C$104</f>
        <v>3</v>
      </c>
      <c r="AP60">
        <f>'[20]Template '!$C$105</f>
        <v>4.5</v>
      </c>
      <c r="AQ60">
        <f>'[20]Template '!$C$106</f>
        <v>4.5</v>
      </c>
      <c r="AR60">
        <f>'[20]Template '!$C$107</f>
        <v>4.5</v>
      </c>
      <c r="AT60">
        <f>'[20]Template '!$C$52</f>
        <v>0.75</v>
      </c>
      <c r="AU60">
        <f>'[20]Template '!$C$53</f>
        <v>0.31111111111111112</v>
      </c>
      <c r="AV60">
        <f>'[20]Template '!$C$54</f>
        <v>0.5</v>
      </c>
      <c r="AW60">
        <f>'[20]Template '!$C$55</f>
        <v>0.70238095238095244</v>
      </c>
      <c r="AX60">
        <f>'[20]Template '!$C$56</f>
        <v>0.9007936507936507</v>
      </c>
      <c r="AZ60">
        <f>'[20]Template '!$C$58</f>
        <v>1098</v>
      </c>
      <c r="BA60">
        <f>'[20]Template '!$C$59</f>
        <v>60</v>
      </c>
      <c r="BB60">
        <f>'[20]Template '!$C$60</f>
        <v>3</v>
      </c>
      <c r="BC60">
        <f>'[20]Template '!$C$61</f>
        <v>3</v>
      </c>
      <c r="BD60">
        <f>'[20]Template '!$C$62</f>
        <v>4.5</v>
      </c>
      <c r="BE60">
        <f>'[20]Template '!$C$63</f>
        <v>3.5</v>
      </c>
      <c r="BG60">
        <f>'[20]Template '!$B$29</f>
        <v>0.3888888888888889</v>
      </c>
      <c r="BH60" t="str">
        <f>'[20]Template '!$B$30</f>
        <v>n/a</v>
      </c>
      <c r="BI60">
        <f>'[20]Template '!$B$31</f>
        <v>0.66666666666666663</v>
      </c>
      <c r="BJ60">
        <f>'[20]Template '!$B$32</f>
        <v>0.8125</v>
      </c>
      <c r="BK60">
        <f>'[20]Template '!$B$33</f>
        <v>0.77777777777777768</v>
      </c>
      <c r="BM60">
        <f>'[20]Template '!$B$52</f>
        <v>0.75</v>
      </c>
      <c r="BN60">
        <f>'[20]Template '!$B$53</f>
        <v>0.31111111111111112</v>
      </c>
      <c r="BO60">
        <f>'[20]Template '!$B$54</f>
        <v>0.5</v>
      </c>
      <c r="BP60">
        <f>'[20]Template '!$B$55</f>
        <v>0.84259259259259256</v>
      </c>
      <c r="BQ60">
        <f>'[20]Template '!$B$56</f>
        <v>0.9007936507936507</v>
      </c>
      <c r="BS60">
        <f>'[20]Template '!$B$74</f>
        <v>0.7</v>
      </c>
      <c r="BT60" t="str">
        <f>'[20]Template '!$B$75</f>
        <v>n/a</v>
      </c>
      <c r="BU60">
        <f>'[20]Template '!$B$76</f>
        <v>0.5357142857142857</v>
      </c>
      <c r="BV60">
        <f>'[20]Template '!$B$77</f>
        <v>0.83333333333333326</v>
      </c>
      <c r="BW60">
        <f>'[20]Template '!$B$78</f>
        <v>0.85119047619047616</v>
      </c>
      <c r="BY60">
        <f>'[20]Template '!$B$96</f>
        <v>0.75</v>
      </c>
      <c r="BZ60">
        <f>'[20]Template '!$B$97</f>
        <v>0.31111111111111112</v>
      </c>
      <c r="CA60">
        <f>'[20]Template '!$B$98</f>
        <v>0.5</v>
      </c>
      <c r="CB60">
        <f>'[20]Template '!$B$99</f>
        <v>0.88888888888888884</v>
      </c>
      <c r="CC60">
        <f>'[20]Template '!$B$100</f>
        <v>0.97023809523809523</v>
      </c>
      <c r="CF60">
        <f>'[20]Template '!$Z$30</f>
        <v>0</v>
      </c>
      <c r="CG60">
        <f>'[20]Template '!$AB$75</f>
        <v>0</v>
      </c>
      <c r="CH60">
        <f>'[20]Template '!$C$89</f>
        <v>1</v>
      </c>
      <c r="CI60">
        <f>'[20]Template '!$AF$75</f>
        <v>0</v>
      </c>
      <c r="CJ60">
        <f>'[20]Template '!$AR$97</f>
        <v>1</v>
      </c>
      <c r="CK60">
        <f>'[20]Template '!$AS$97</f>
        <v>1</v>
      </c>
      <c r="CL60">
        <f>'[20]Template '!$AZ$97</f>
        <v>1</v>
      </c>
      <c r="CM60">
        <f>'[20]Template '!$BB$97</f>
        <v>1</v>
      </c>
      <c r="CN60">
        <f>'[20]Template '!$AU$53</f>
        <v>1</v>
      </c>
      <c r="CO60">
        <f>'[20]Template '!$AV$53</f>
        <v>1</v>
      </c>
      <c r="CP60">
        <f>'[20]Template '!$AY$53</f>
        <v>0</v>
      </c>
      <c r="CQ60">
        <f>'[20]Template '!$AX$53</f>
        <v>0</v>
      </c>
      <c r="CR60">
        <f>'[20]Template '!$AZ$53</f>
        <v>0</v>
      </c>
      <c r="CS60">
        <f>'[20]Template '!$BF$53</f>
        <v>1</v>
      </c>
      <c r="CT60">
        <f t="shared" si="9"/>
        <v>1</v>
      </c>
      <c r="CU60">
        <f t="shared" si="10"/>
        <v>7</v>
      </c>
      <c r="CV60">
        <f t="shared" si="11"/>
        <v>8</v>
      </c>
      <c r="CY60" t="str">
        <f>'[20]Template '!$E$2</f>
        <v>B</v>
      </c>
      <c r="CZ60">
        <f>'[20]Template '!$B$13</f>
        <v>1</v>
      </c>
      <c r="DA60">
        <f>'[20]Template '!$D$2</f>
        <v>2</v>
      </c>
      <c r="DB60">
        <f>'[20]Template '!$D$3</f>
        <v>45013</v>
      </c>
      <c r="DC60">
        <f>'[20]Template '!$F$2</f>
        <v>45093</v>
      </c>
      <c r="DE60">
        <f>'[20]Template '!$B$12</f>
        <v>26</v>
      </c>
      <c r="DF60" t="str">
        <f>'[20]Template '!$B$14</f>
        <v>8/16</v>
      </c>
      <c r="DG60" t="str">
        <f>'[20]Template '!$B$15</f>
        <v>12/20</v>
      </c>
      <c r="DH60">
        <f>'[20]Template '!$B$16</f>
        <v>36</v>
      </c>
      <c r="DI60">
        <f>'[20]Template '!$B$17</f>
        <v>0</v>
      </c>
      <c r="DJ60">
        <f>'[20]Template '!$B$18</f>
        <v>0</v>
      </c>
      <c r="DK60">
        <f>'[20]Template '!$B$19</f>
        <v>1</v>
      </c>
      <c r="DL60">
        <f>'[20]Template '!$B$20</f>
        <v>3</v>
      </c>
      <c r="DM60">
        <f>'[20]Template '!$B$21</f>
        <v>1</v>
      </c>
      <c r="DN60">
        <f>'[20]Template '!$B$22</f>
        <v>0</v>
      </c>
      <c r="DP60">
        <f>'[20]Template '!$I$13</f>
        <v>4</v>
      </c>
      <c r="DQ60">
        <f>'[20]Template '!$I$14</f>
        <v>4</v>
      </c>
      <c r="DR60">
        <f>'[20]Template '!$I$15</f>
        <v>4</v>
      </c>
      <c r="DS60">
        <f>'[20]Template '!$I$16</f>
        <v>4</v>
      </c>
      <c r="DT60">
        <f>'[20]Template '!$I$17</f>
        <v>4</v>
      </c>
      <c r="DU60">
        <f>'[20]Template '!$I$18</f>
        <v>4</v>
      </c>
      <c r="DV60">
        <f>'[20]Template '!$I$19</f>
        <v>4</v>
      </c>
      <c r="DW60">
        <f>'[20]Template '!$I$20</f>
        <v>4</v>
      </c>
      <c r="DX60">
        <f>'[20]Template '!$I$21</f>
        <v>4</v>
      </c>
      <c r="DY60">
        <f>'[20]Template '!$I$22</f>
        <v>4</v>
      </c>
      <c r="DZ60">
        <f>'[20]Template '!$I$23</f>
        <v>4</v>
      </c>
      <c r="EA60">
        <f>'[20]Template '!$I$24</f>
        <v>0</v>
      </c>
      <c r="ED60">
        <f>'[20]Template '!$L$13</f>
        <v>4</v>
      </c>
      <c r="EE60">
        <f>'[20]Template '!$L$14</f>
        <v>4</v>
      </c>
      <c r="EF60">
        <f>'[20]Template '!$L$15</f>
        <v>4</v>
      </c>
      <c r="EG60">
        <f>'[20]Template '!$L$16</f>
        <v>3</v>
      </c>
      <c r="EH60">
        <f>'[20]Template '!$L$17</f>
        <v>4</v>
      </c>
      <c r="EI60">
        <f>'[20]Template '!$L$18</f>
        <v>3</v>
      </c>
      <c r="EJ60">
        <f>'[20]Template '!$L$19</f>
        <v>4</v>
      </c>
      <c r="EK60">
        <f>'[20]Template '!$L$20</f>
        <v>3</v>
      </c>
      <c r="EL60">
        <f>'[20]Template '!$L$21</f>
        <v>3</v>
      </c>
      <c r="EM60">
        <f>'[20]Template '!$L$22</f>
        <v>4</v>
      </c>
      <c r="EN60">
        <f>'[20]Template '!$L$23</f>
        <v>4</v>
      </c>
      <c r="EQ60">
        <f>'[20]Template '!$O$13</f>
        <v>3</v>
      </c>
      <c r="ER60">
        <f>'[20]Template '!$O$14</f>
        <v>2</v>
      </c>
      <c r="ES60">
        <f>'[20]Template '!$O$15</f>
        <v>2</v>
      </c>
      <c r="ET60">
        <f>'[20]Template '!$O$16</f>
        <v>3</v>
      </c>
      <c r="EU60">
        <f>'[20]Template '!$O$17</f>
        <v>4</v>
      </c>
      <c r="EV60">
        <f>'[20]Template '!$O$18</f>
        <v>2</v>
      </c>
      <c r="EW60">
        <f>'[20]Template '!$O$19</f>
        <v>2</v>
      </c>
      <c r="EX60">
        <f>'[20]Template '!$O$20</f>
        <v>3</v>
      </c>
      <c r="EY60">
        <f>'[20]Template '!$O$21</f>
        <v>2</v>
      </c>
      <c r="EZ60">
        <f>'[20]Template '!$O$22</f>
        <v>2</v>
      </c>
      <c r="FA60">
        <f>'[20]Template '!$O$23</f>
        <v>2</v>
      </c>
      <c r="FL60">
        <f>'[20]Template '!$D$5</f>
        <v>0.66145833333333326</v>
      </c>
      <c r="FM60">
        <f>'[20]Template '!$D$6</f>
        <v>0.73005952380952377</v>
      </c>
      <c r="FN60">
        <f>'[20]Template '!$D$7</f>
        <v>0.66089947089947088</v>
      </c>
      <c r="FO60">
        <f>'[20]Template '!$D$8</f>
        <v>0.68404761904761913</v>
      </c>
      <c r="FP60">
        <f>'[20]Template '!$D$9</f>
        <v>0.68411623677248667</v>
      </c>
      <c r="FR60">
        <f>'[20]Template '!$E$5</f>
        <v>0.64031862745098045</v>
      </c>
      <c r="FS60">
        <f>'[20]Template '!$E$6</f>
        <v>0.67648809523809528</v>
      </c>
      <c r="FT60">
        <f>'[20]Template '!$E$7</f>
        <v>0.63285714285714278</v>
      </c>
      <c r="FU60">
        <f>'[20]Template '!$E$8</f>
        <v>0.68404761904761913</v>
      </c>
      <c r="FV60">
        <f>'[20]Template '!$E$9</f>
        <v>0.65842787114845946</v>
      </c>
    </row>
    <row r="61" spans="1:178" x14ac:dyDescent="0.2">
      <c r="A61" t="str">
        <f>'[21]Template '!$A$2</f>
        <v>M_047</v>
      </c>
      <c r="C61" t="str">
        <f t="shared" si="8"/>
        <v>M_047.xlsx</v>
      </c>
      <c r="E61" t="str">
        <f>'[21]Template '!$C$2</f>
        <v>D+M</v>
      </c>
      <c r="G61">
        <f>'[21]Template '!$C$29</f>
        <v>0.88888888888888884</v>
      </c>
      <c r="H61" t="str">
        <f>'[21]Template '!$C$30</f>
        <v>n/a</v>
      </c>
      <c r="I61">
        <f>'[21]Template '!$C$31</f>
        <v>0.33333333333333331</v>
      </c>
      <c r="J61">
        <f>'[21]Template '!$C$32</f>
        <v>0.72794117647058831</v>
      </c>
      <c r="K61">
        <f>'[21]Template '!$C$33</f>
        <v>0.81746031746031733</v>
      </c>
      <c r="M61">
        <f>'[21]Template '!$C$80</f>
        <v>1034</v>
      </c>
      <c r="N61">
        <f>'[21]Template '!$C$81</f>
        <v>40.5</v>
      </c>
      <c r="O61">
        <f>'[21]Template '!$C$82</f>
        <v>3.5</v>
      </c>
      <c r="P61">
        <f>'[21]Template '!$C$83</f>
        <v>2.5</v>
      </c>
      <c r="Q61">
        <f>'[21]Template '!$C$84</f>
        <v>3</v>
      </c>
      <c r="R61">
        <f>'[21]Template '!$C$85</f>
        <v>2</v>
      </c>
      <c r="T61">
        <f>'[21]Template '!$C$74</f>
        <v>0.51818181818181819</v>
      </c>
      <c r="U61" t="str">
        <f>'[21]Template '!$C$75</f>
        <v>n/a</v>
      </c>
      <c r="V61">
        <f>'[21]Template '!$C$76</f>
        <v>0.2857142857142857</v>
      </c>
      <c r="W61">
        <f>'[21]Template '!$C$77</f>
        <v>0.5</v>
      </c>
      <c r="X61">
        <f>'[21]Template '!$C$78</f>
        <v>0.72619047619047616</v>
      </c>
      <c r="Z61">
        <f>'[21]Template '!$C$80</f>
        <v>1034</v>
      </c>
      <c r="AA61">
        <f>'[21]Template '!$C$81</f>
        <v>40.5</v>
      </c>
      <c r="AB61">
        <f>'[21]Template '!$C$82</f>
        <v>3.5</v>
      </c>
      <c r="AC61">
        <f>'[21]Template '!$C$83</f>
        <v>2.5</v>
      </c>
      <c r="AD61">
        <f>'[21]Template '!$C$84</f>
        <v>3</v>
      </c>
      <c r="AE61">
        <f>'[21]Template '!$C$85</f>
        <v>2</v>
      </c>
      <c r="AG61">
        <f>'[21]Template '!$C$96</f>
        <v>0.46874999999999994</v>
      </c>
      <c r="AH61">
        <f>'[21]Template '!$C$97</f>
        <v>0.31111111111111112</v>
      </c>
      <c r="AI61">
        <f>'[21]Template '!$C$98</f>
        <v>0</v>
      </c>
      <c r="AJ61">
        <f>'[21]Template '!$C$99</f>
        <v>0.61832611832611828</v>
      </c>
      <c r="AK61">
        <f>'[21]Template '!$C$100</f>
        <v>0.87142857142857133</v>
      </c>
      <c r="AM61">
        <f>'[21]Template '!$C$102</f>
        <v>816</v>
      </c>
      <c r="AN61">
        <f>'[21]Template '!$C$103</f>
        <v>73.5</v>
      </c>
      <c r="AO61">
        <f>'[21]Template '!$C$104</f>
        <v>3</v>
      </c>
      <c r="AP61">
        <f>'[21]Template '!$C$105</f>
        <v>3.5</v>
      </c>
      <c r="AQ61">
        <f>'[21]Template '!$C$106</f>
        <v>3</v>
      </c>
      <c r="AR61">
        <f>'[21]Template '!$C$107</f>
        <v>3</v>
      </c>
      <c r="AT61">
        <f>'[21]Template '!$C$52</f>
        <v>0.75</v>
      </c>
      <c r="AU61">
        <f>'[21]Template '!$C$53</f>
        <v>0.31111111111111112</v>
      </c>
      <c r="AV61">
        <f>'[21]Template '!$C$54</f>
        <v>0</v>
      </c>
      <c r="AW61">
        <f>'[21]Template '!$C$55</f>
        <v>0.52380952380952384</v>
      </c>
      <c r="AX61">
        <f>'[21]Template '!$C$56</f>
        <v>0.94047619047619035</v>
      </c>
      <c r="AZ61">
        <f>'[21]Template '!$C$58</f>
        <v>1159</v>
      </c>
      <c r="BA61">
        <f>'[21]Template '!$C$59</f>
        <v>51</v>
      </c>
      <c r="BB61">
        <f>'[21]Template '!$C$60</f>
        <v>3</v>
      </c>
      <c r="BC61">
        <f>'[21]Template '!$C$61</f>
        <v>3</v>
      </c>
      <c r="BD61">
        <f>'[21]Template '!$C$62</f>
        <v>3.5</v>
      </c>
      <c r="BE61">
        <f>'[21]Template '!$C$63</f>
        <v>2.5</v>
      </c>
      <c r="BG61">
        <f>'[21]Template '!$B$29</f>
        <v>0.88888888888888884</v>
      </c>
      <c r="BH61" t="str">
        <f>'[21]Template '!$B$30</f>
        <v>n/a</v>
      </c>
      <c r="BI61">
        <f>'[21]Template '!$B$31</f>
        <v>0.33333333333333331</v>
      </c>
      <c r="BJ61">
        <f>'[21]Template '!$B$32</f>
        <v>0.8125</v>
      </c>
      <c r="BK61">
        <f>'[21]Template '!$B$33</f>
        <v>0.81746031746031733</v>
      </c>
      <c r="BM61">
        <f>'[21]Template '!$B$52</f>
        <v>0.75</v>
      </c>
      <c r="BN61">
        <f>'[21]Template '!$B$53</f>
        <v>0.31111111111111112</v>
      </c>
      <c r="BO61">
        <f>'[21]Template '!$B$54</f>
        <v>0</v>
      </c>
      <c r="BP61">
        <f>'[21]Template '!$B$55</f>
        <v>0.73148148148148151</v>
      </c>
      <c r="BQ61">
        <f>'[21]Template '!$B$56</f>
        <v>0.94047619047619035</v>
      </c>
      <c r="BS61">
        <f>'[21]Template '!$B$74</f>
        <v>0.51818181818181819</v>
      </c>
      <c r="BT61" t="str">
        <f>'[21]Template '!$B$75</f>
        <v>n/a</v>
      </c>
      <c r="BU61">
        <f>'[21]Template '!$B$76</f>
        <v>0.2857142857142857</v>
      </c>
      <c r="BV61">
        <f>'[21]Template '!$B$77</f>
        <v>0.58333333333333326</v>
      </c>
      <c r="BW61">
        <f>'[21]Template '!$B$78</f>
        <v>0.72619047619047616</v>
      </c>
      <c r="BY61">
        <f>'[21]Template '!$B$96</f>
        <v>0.46874999999999994</v>
      </c>
      <c r="BZ61">
        <f>'[21]Template '!$B$97</f>
        <v>0.31111111111111112</v>
      </c>
      <c r="CA61">
        <f>'[21]Template '!$B$98</f>
        <v>0</v>
      </c>
      <c r="CB61">
        <f>'[21]Template '!$B$99</f>
        <v>0.80555555555555547</v>
      </c>
      <c r="CC61">
        <f>'[21]Template '!$B$100</f>
        <v>0.87142857142857133</v>
      </c>
      <c r="CF61">
        <f>'[21]Template '!$Z$30</f>
        <v>0</v>
      </c>
      <c r="CG61">
        <f>'[21]Template '!$AB$75</f>
        <v>0</v>
      </c>
      <c r="CH61">
        <f>'[21]Template '!$C$89</f>
        <v>0</v>
      </c>
      <c r="CI61">
        <f>'[21]Template '!$AF$75</f>
        <v>0</v>
      </c>
      <c r="CJ61">
        <f>'[21]Template '!$AR$97</f>
        <v>1</v>
      </c>
      <c r="CK61">
        <f>'[21]Template '!$AS$97</f>
        <v>1</v>
      </c>
      <c r="CL61">
        <f>'[21]Template '!$AZ$97</f>
        <v>0.5</v>
      </c>
      <c r="CM61">
        <f>'[21]Template '!$BB$97</f>
        <v>1</v>
      </c>
      <c r="CN61">
        <f>'[21]Template '!$AU$53</f>
        <v>0.5</v>
      </c>
      <c r="CO61">
        <f>'[21]Template '!$AV$53</f>
        <v>0</v>
      </c>
      <c r="CP61">
        <f>'[21]Template '!$AY$53</f>
        <v>0</v>
      </c>
      <c r="CQ61">
        <f>'[21]Template '!$AX$53</f>
        <v>0</v>
      </c>
      <c r="CR61">
        <f>'[21]Template '!$AZ$53</f>
        <v>0</v>
      </c>
      <c r="CS61">
        <f>'[21]Template '!$BF$53</f>
        <v>0.5</v>
      </c>
      <c r="CT61">
        <f t="shared" si="9"/>
        <v>0</v>
      </c>
      <c r="CU61">
        <f t="shared" si="10"/>
        <v>4.5</v>
      </c>
      <c r="CV61">
        <f t="shared" si="11"/>
        <v>4.5</v>
      </c>
      <c r="CY61" t="str">
        <f>'[21]Template '!$E$2</f>
        <v>A</v>
      </c>
      <c r="CZ61">
        <f>'[21]Template '!$B$13</f>
        <v>1</v>
      </c>
      <c r="DA61">
        <f>'[21]Template '!$D$2</f>
        <v>2</v>
      </c>
      <c r="DB61">
        <f>'[21]Template '!$D$3</f>
        <v>45013</v>
      </c>
      <c r="DC61">
        <f>'[21]Template '!$F$2</f>
        <v>45160</v>
      </c>
      <c r="DE61">
        <f>'[21]Template '!$B$12</f>
        <v>21</v>
      </c>
      <c r="DF61" t="str">
        <f>'[21]Template '!$B$14</f>
        <v>1/21</v>
      </c>
      <c r="DG61" t="str">
        <f>'[21]Template '!$B$15</f>
        <v>5/21</v>
      </c>
      <c r="DH61">
        <f>'[21]Template '!$B$16</f>
        <v>36</v>
      </c>
      <c r="DI61">
        <f>'[21]Template '!$B$17</f>
        <v>0</v>
      </c>
      <c r="DJ61">
        <f>'[21]Template '!$B$18</f>
        <v>0</v>
      </c>
      <c r="DK61">
        <f>'[21]Template '!$B$19</f>
        <v>1</v>
      </c>
      <c r="DL61">
        <f>'[21]Template '!$B$20</f>
        <v>1</v>
      </c>
      <c r="DM61">
        <f>'[21]Template '!$B$21</f>
        <v>0</v>
      </c>
      <c r="DN61">
        <f>'[21]Template '!$B$22</f>
        <v>0</v>
      </c>
      <c r="DP61">
        <f>'[21]Template '!$I$13</f>
        <v>4</v>
      </c>
      <c r="DQ61">
        <f>'[21]Template '!$I$14</f>
        <v>4</v>
      </c>
      <c r="DR61">
        <f>'[21]Template '!$I$15</f>
        <v>4</v>
      </c>
      <c r="DS61">
        <f>'[21]Template '!$I$16</f>
        <v>3</v>
      </c>
      <c r="DT61">
        <f>'[21]Template '!$I$17</f>
        <v>4</v>
      </c>
      <c r="DU61">
        <f>'[21]Template '!$I$18</f>
        <v>3</v>
      </c>
      <c r="DV61">
        <f>'[21]Template '!$I$19</f>
        <v>5</v>
      </c>
      <c r="DW61">
        <f>'[21]Template '!$I$20</f>
        <v>4</v>
      </c>
      <c r="DX61">
        <f>'[21]Template '!$I$21</f>
        <v>3</v>
      </c>
      <c r="DY61">
        <f>'[21]Template '!$I$22</f>
        <v>2</v>
      </c>
      <c r="DZ61">
        <f>'[21]Template '!$I$23</f>
        <v>5</v>
      </c>
      <c r="EA61">
        <f>'[21]Template '!$I$24</f>
        <v>2</v>
      </c>
      <c r="ED61">
        <f>'[21]Template '!$L$13</f>
        <v>4</v>
      </c>
      <c r="EE61">
        <f>'[21]Template '!$L$14</f>
        <v>4</v>
      </c>
      <c r="EF61">
        <f>'[21]Template '!$L$15</f>
        <v>4</v>
      </c>
      <c r="EG61">
        <f>'[21]Template '!$L$16</f>
        <v>2</v>
      </c>
      <c r="EH61">
        <f>'[21]Template '!$L$17</f>
        <v>4</v>
      </c>
      <c r="EI61">
        <f>'[21]Template '!$L$18</f>
        <v>2</v>
      </c>
      <c r="EJ61">
        <f>'[21]Template '!$L$19</f>
        <v>5</v>
      </c>
      <c r="EK61">
        <f>'[21]Template '!$L$20</f>
        <v>2</v>
      </c>
      <c r="EL61">
        <f>'[21]Template '!$L$21</f>
        <v>1</v>
      </c>
      <c r="EM61">
        <f>'[21]Template '!$L$22</f>
        <v>2</v>
      </c>
      <c r="EN61">
        <f>'[21]Template '!$L$23</f>
        <v>5</v>
      </c>
      <c r="EQ61">
        <f>'[21]Template '!$O$13</f>
        <v>4</v>
      </c>
      <c r="ER61">
        <f>'[21]Template '!$O$14</f>
        <v>1</v>
      </c>
      <c r="ES61">
        <f>'[21]Template '!$O$15</f>
        <v>1</v>
      </c>
      <c r="ET61">
        <f>'[21]Template '!$O$16</f>
        <v>3</v>
      </c>
      <c r="EU61">
        <f>'[21]Template '!$O$17</f>
        <v>4</v>
      </c>
      <c r="EV61">
        <f>'[21]Template '!$O$18</f>
        <v>3</v>
      </c>
      <c r="EW61">
        <f>'[21]Template '!$O$19</f>
        <v>1</v>
      </c>
      <c r="EX61">
        <f>'[21]Template '!$O$20</f>
        <v>2</v>
      </c>
      <c r="EY61">
        <f>'[21]Template '!$O$21</f>
        <v>2</v>
      </c>
      <c r="EZ61">
        <f>'[21]Template '!$O$22</f>
        <v>1</v>
      </c>
      <c r="FA61">
        <f>'[21]Template '!$O$23</f>
        <v>1</v>
      </c>
      <c r="FL61">
        <f>'[21]Template '!$D$5</f>
        <v>0.71304563492063489</v>
      </c>
      <c r="FM61">
        <f>'[21]Template '!$D$6</f>
        <v>0.52835497835497836</v>
      </c>
      <c r="FN61">
        <f>'[21]Template '!$D$7</f>
        <v>0.54661375661375655</v>
      </c>
      <c r="FO61">
        <f>'[21]Template '!$D$8</f>
        <v>0.49136904761904765</v>
      </c>
      <c r="FP61">
        <f>'[21]Template '!$D$9</f>
        <v>0.56984585437710433</v>
      </c>
      <c r="FR61">
        <f>'[21]Template '!$E$5</f>
        <v>0.69190592903828196</v>
      </c>
      <c r="FS61">
        <f>'[21]Template '!$E$6</f>
        <v>0.50752164502164498</v>
      </c>
      <c r="FT61">
        <f>'[21]Template '!$E$7</f>
        <v>0.50507936507936502</v>
      </c>
      <c r="FU61">
        <f>'[21]Template '!$E$8</f>
        <v>0.45392316017316015</v>
      </c>
      <c r="FV61">
        <f>'[21]Template '!$E$9</f>
        <v>0.53960752482811303</v>
      </c>
    </row>
    <row r="62" spans="1:178" x14ac:dyDescent="0.2">
      <c r="A62" t="str">
        <f>'[35]Template '!$A$2</f>
        <v>M_098</v>
      </c>
      <c r="C62" t="str">
        <f t="shared" si="8"/>
        <v>M_098.xlsx</v>
      </c>
      <c r="E62" t="str">
        <f>'[35]Template '!$C$2</f>
        <v>D+M</v>
      </c>
      <c r="G62">
        <f>'[35]Template '!$C$29</f>
        <v>0.44444444444444448</v>
      </c>
      <c r="H62" t="str">
        <f>'[35]Template '!$C$30</f>
        <v>n/a</v>
      </c>
      <c r="I62">
        <f>'[35]Template '!$C$31</f>
        <v>0.33333333333333331</v>
      </c>
      <c r="J62">
        <f>'[35]Template '!$C$32</f>
        <v>0.72794117647058831</v>
      </c>
      <c r="K62">
        <f>'[35]Template '!$C$33</f>
        <v>0.78174603174603163</v>
      </c>
      <c r="M62">
        <f>'[35]Template '!$C$80</f>
        <v>477</v>
      </c>
      <c r="N62">
        <f>'[35]Template '!$C$81</f>
        <v>40</v>
      </c>
      <c r="O62">
        <f>'[35]Template '!$C$82</f>
        <v>4</v>
      </c>
      <c r="P62">
        <f>'[35]Template '!$C$83</f>
        <v>2</v>
      </c>
      <c r="Q62">
        <f>'[35]Template '!$C$84</f>
        <v>3</v>
      </c>
      <c r="R62">
        <f>'[35]Template '!$C$85</f>
        <v>2</v>
      </c>
      <c r="T62">
        <f>'[35]Template '!$C$74</f>
        <v>0.60909090909090913</v>
      </c>
      <c r="U62" t="str">
        <f>'[35]Template '!$C$75</f>
        <v>n/a</v>
      </c>
      <c r="V62">
        <f>'[35]Template '!$C$76</f>
        <v>0.21428571428571427</v>
      </c>
      <c r="W62">
        <f>'[35]Template '!$C$77</f>
        <v>0.52380952380952372</v>
      </c>
      <c r="X62">
        <f>'[35]Template '!$C$78</f>
        <v>0.87301587301587291</v>
      </c>
      <c r="Z62">
        <f>'[35]Template '!$C$80</f>
        <v>477</v>
      </c>
      <c r="AA62">
        <f>'[35]Template '!$C$81</f>
        <v>40</v>
      </c>
      <c r="AB62">
        <f>'[35]Template '!$C$82</f>
        <v>4</v>
      </c>
      <c r="AC62">
        <f>'[35]Template '!$C$83</f>
        <v>2</v>
      </c>
      <c r="AD62">
        <f>'[35]Template '!$C$84</f>
        <v>3</v>
      </c>
      <c r="AE62">
        <f>'[35]Template '!$C$85</f>
        <v>2</v>
      </c>
      <c r="AG62">
        <f>'[35]Template '!$C$96</f>
        <v>0.8</v>
      </c>
      <c r="AH62">
        <f>'[35]Template '!$C$97</f>
        <v>0.37777777777777777</v>
      </c>
      <c r="AI62">
        <f>'[35]Template '!$C$98</f>
        <v>0.5</v>
      </c>
      <c r="AJ62">
        <f>'[35]Template '!$C$99</f>
        <v>0.76767676767676762</v>
      </c>
      <c r="AK62">
        <f>'[35]Template '!$C$100</f>
        <v>0.97619047619047616</v>
      </c>
      <c r="AM62">
        <f>'[35]Template '!$C$102</f>
        <v>1200</v>
      </c>
      <c r="AN62">
        <f>'[35]Template '!$C$103</f>
        <v>80</v>
      </c>
      <c r="AO62">
        <f>'[35]Template '!$C$104</f>
        <v>3</v>
      </c>
      <c r="AP62">
        <f>'[35]Template '!$C$105</f>
        <v>4</v>
      </c>
      <c r="AQ62">
        <f>'[35]Template '!$C$106</f>
        <v>4</v>
      </c>
      <c r="AR62">
        <f>'[35]Template '!$C$107</f>
        <v>3</v>
      </c>
      <c r="AT62">
        <f>'[35]Template '!$C$52</f>
        <v>0.75</v>
      </c>
      <c r="AU62">
        <f>'[35]Template '!$C$53</f>
        <v>0.37777777777777777</v>
      </c>
      <c r="AV62">
        <f>'[35]Template '!$C$54</f>
        <v>0.5</v>
      </c>
      <c r="AW62">
        <f>'[35]Template '!$C$55</f>
        <v>0.35416666666666669</v>
      </c>
      <c r="AX62">
        <f>'[35]Template '!$C$56</f>
        <v>0.92857142857142849</v>
      </c>
      <c r="AZ62">
        <f>'[35]Template '!$C$58</f>
        <v>1200</v>
      </c>
      <c r="BA62">
        <f>'[35]Template '!$C$59</f>
        <v>75</v>
      </c>
      <c r="BB62">
        <f>'[35]Template '!$C$60</f>
        <v>3</v>
      </c>
      <c r="BC62">
        <f>'[35]Template '!$C$61</f>
        <v>2</v>
      </c>
      <c r="BD62">
        <f>'[35]Template '!$C$62</f>
        <v>4</v>
      </c>
      <c r="BE62">
        <f>'[35]Template '!$C$63</f>
        <v>3</v>
      </c>
      <c r="BG62">
        <f>'[35]Template '!$B$29</f>
        <v>0.44444444444444448</v>
      </c>
      <c r="BH62" t="str">
        <f>'[35]Template '!$B$30</f>
        <v>n/a</v>
      </c>
      <c r="BI62">
        <f>'[35]Template '!$B$31</f>
        <v>0.33333333333333331</v>
      </c>
      <c r="BJ62">
        <f>'[35]Template '!$B$32</f>
        <v>0.8125</v>
      </c>
      <c r="BK62">
        <f>'[35]Template '!$B$33</f>
        <v>0.78174603174603163</v>
      </c>
      <c r="BM62">
        <f>'[35]Template '!$B$52</f>
        <v>0.75</v>
      </c>
      <c r="BN62">
        <f>'[35]Template '!$B$53</f>
        <v>0.37777777777777777</v>
      </c>
      <c r="BO62">
        <f>'[35]Template '!$B$54</f>
        <v>0.5</v>
      </c>
      <c r="BP62">
        <f>'[35]Template '!$B$55</f>
        <v>0.43518518518518517</v>
      </c>
      <c r="BQ62">
        <f>'[35]Template '!$B$56</f>
        <v>0.92857142857142849</v>
      </c>
      <c r="BS62">
        <f>'[35]Template '!$B$74</f>
        <v>0.60909090909090913</v>
      </c>
      <c r="BT62" t="str">
        <f>'[35]Template '!$B$75</f>
        <v>n/a</v>
      </c>
      <c r="BU62">
        <f>'[35]Template '!$B$76</f>
        <v>0.21428571428571427</v>
      </c>
      <c r="BV62">
        <f>'[35]Template '!$B$77</f>
        <v>0.70833333333333326</v>
      </c>
      <c r="BW62">
        <f>'[35]Template '!$B$78</f>
        <v>0.87301587301587291</v>
      </c>
      <c r="BY62">
        <f>'[35]Template '!$B$96</f>
        <v>0.8</v>
      </c>
      <c r="BZ62">
        <f>'[35]Template '!$B$97</f>
        <v>0.37777777777777777</v>
      </c>
      <c r="CA62">
        <f>'[35]Template '!$B$98</f>
        <v>0.5</v>
      </c>
      <c r="CB62">
        <f>'[35]Template '!$B$99</f>
        <v>0.88888888888888884</v>
      </c>
      <c r="CC62">
        <f>'[35]Template '!$B$100</f>
        <v>0.97619047619047616</v>
      </c>
      <c r="CF62">
        <f>'[35]Template '!$Z$30</f>
        <v>0</v>
      </c>
      <c r="CG62">
        <f>'[35]Template '!$AB$75</f>
        <v>0</v>
      </c>
      <c r="CH62">
        <f>'[35]Template '!$C$89</f>
        <v>0</v>
      </c>
      <c r="CI62">
        <f>'[35]Template '!$AF$75</f>
        <v>0</v>
      </c>
      <c r="CJ62">
        <f>'[35]Template '!$AR$97</f>
        <v>1</v>
      </c>
      <c r="CK62">
        <f>'[35]Template '!$AS$97</f>
        <v>1</v>
      </c>
      <c r="CL62">
        <f>'[35]Template '!$AZ$97</f>
        <v>1</v>
      </c>
      <c r="CM62">
        <f>'[35]Template '!$BB$97</f>
        <v>0</v>
      </c>
      <c r="CN62">
        <f>'[35]Template '!$AU$53</f>
        <v>1</v>
      </c>
      <c r="CO62">
        <f>'[35]Template '!$AV$53</f>
        <v>0</v>
      </c>
      <c r="CP62">
        <f>'[35]Template '!$AY$53</f>
        <v>0</v>
      </c>
      <c r="CQ62">
        <f>'[35]Template '!$AX$53</f>
        <v>0</v>
      </c>
      <c r="CR62">
        <f>'[35]Template '!$AZ$53</f>
        <v>0</v>
      </c>
      <c r="CS62">
        <f>'[35]Template '!$BF$53</f>
        <v>0</v>
      </c>
      <c r="CT62">
        <f t="shared" si="9"/>
        <v>0</v>
      </c>
      <c r="CU62">
        <f t="shared" si="10"/>
        <v>4</v>
      </c>
      <c r="CV62">
        <f t="shared" si="11"/>
        <v>4</v>
      </c>
      <c r="CY62" t="str">
        <f>'[35]Template '!$E$2</f>
        <v>A</v>
      </c>
      <c r="CZ62">
        <f>'[35]Template '!$B$13</f>
        <v>1</v>
      </c>
      <c r="DA62">
        <f>'[35]Template '!$D$2</f>
        <v>3</v>
      </c>
      <c r="DB62">
        <f>'[35]Template '!$D$3</f>
        <v>45104</v>
      </c>
      <c r="DC62">
        <f>'[35]Template '!$F$2</f>
        <v>45244</v>
      </c>
      <c r="DE62">
        <f>'[35]Template '!$B$12</f>
        <v>19</v>
      </c>
      <c r="DF62" t="str">
        <f>'[35]Template '!$B$14</f>
        <v>10/22</v>
      </c>
      <c r="DG62" t="str">
        <f>'[35]Template '!$B$15</f>
        <v>2/23</v>
      </c>
      <c r="DH62">
        <f>'[35]Template '!$B$16</f>
        <v>12</v>
      </c>
      <c r="DI62">
        <f>'[35]Template '!$B$17</f>
        <v>0</v>
      </c>
      <c r="DJ62">
        <f>'[35]Template '!$B$18</f>
        <v>0</v>
      </c>
      <c r="DK62">
        <f>'[35]Template '!$B$19</f>
        <v>0</v>
      </c>
      <c r="DL62">
        <f>'[35]Template '!$B$20</f>
        <v>0</v>
      </c>
      <c r="DM62">
        <f>'[35]Template '!$B$21</f>
        <v>0</v>
      </c>
      <c r="DN62">
        <f>'[35]Template '!$B$22</f>
        <v>0</v>
      </c>
      <c r="DP62">
        <f>'[35]Template '!$I$13</f>
        <v>4</v>
      </c>
      <c r="DQ62">
        <f>'[35]Template '!$I$14</f>
        <v>3</v>
      </c>
      <c r="DR62">
        <f>'[35]Template '!$I$15</f>
        <v>3</v>
      </c>
      <c r="DS62">
        <f>'[35]Template '!$I$16</f>
        <v>4</v>
      </c>
      <c r="DT62">
        <f>'[35]Template '!$I$17</f>
        <v>4</v>
      </c>
      <c r="DU62">
        <f>'[35]Template '!$I$18</f>
        <v>3</v>
      </c>
      <c r="DV62">
        <f>'[35]Template '!$I$19</f>
        <v>4</v>
      </c>
      <c r="DW62">
        <f>'[35]Template '!$I$20</f>
        <v>2</v>
      </c>
      <c r="DX62">
        <f>'[35]Template '!$I$21</f>
        <v>4</v>
      </c>
      <c r="DY62">
        <f>'[35]Template '!$I$22</f>
        <v>3</v>
      </c>
      <c r="DZ62">
        <f>'[35]Template '!$I$23</f>
        <v>4</v>
      </c>
      <c r="EA62">
        <f>'[35]Template '!$I$24</f>
        <v>0</v>
      </c>
      <c r="ED62">
        <f>'[35]Template '!$L$13</f>
        <v>4</v>
      </c>
      <c r="EE62">
        <f>'[35]Template '!$L$14</f>
        <v>3</v>
      </c>
      <c r="EF62">
        <f>'[35]Template '!$L$15</f>
        <v>4</v>
      </c>
      <c r="EG62">
        <f>'[35]Template '!$L$16</f>
        <v>4</v>
      </c>
      <c r="EH62">
        <f>'[35]Template '!$L$17</f>
        <v>3</v>
      </c>
      <c r="EI62">
        <f>'[35]Template '!$L$18</f>
        <v>3</v>
      </c>
      <c r="EJ62">
        <f>'[35]Template '!$L$19</f>
        <v>4</v>
      </c>
      <c r="EK62">
        <f>'[35]Template '!$L$20</f>
        <v>3</v>
      </c>
      <c r="EL62">
        <f>'[35]Template '!$L$21</f>
        <v>4</v>
      </c>
      <c r="EM62">
        <f>'[35]Template '!$L$22</f>
        <v>3</v>
      </c>
      <c r="EN62">
        <f>'[35]Template '!$L$23</f>
        <v>4</v>
      </c>
      <c r="EQ62">
        <f>'[35]Template '!$O$13</f>
        <v>3</v>
      </c>
      <c r="ER62">
        <f>'[35]Template '!$O$14</f>
        <v>2</v>
      </c>
      <c r="ES62">
        <f>'[35]Template '!$O$15</f>
        <v>3</v>
      </c>
      <c r="ET62">
        <f>'[35]Template '!$O$16</f>
        <v>2</v>
      </c>
      <c r="EU62">
        <f>'[35]Template '!$O$17</f>
        <v>5</v>
      </c>
      <c r="EV62">
        <f>'[35]Template '!$O$18</f>
        <v>2</v>
      </c>
      <c r="EW62">
        <f>'[35]Template '!$O$19</f>
        <v>3</v>
      </c>
      <c r="EX62">
        <f>'[35]Template '!$O$20</f>
        <v>4</v>
      </c>
      <c r="EY62">
        <f>'[35]Template '!$O$21</f>
        <v>2</v>
      </c>
      <c r="EZ62">
        <f>'[35]Template '!$O$22</f>
        <v>3</v>
      </c>
      <c r="FA62">
        <f>'[35]Template '!$O$23</f>
        <v>4</v>
      </c>
      <c r="FL62">
        <f>'[35]Template '!$D$5</f>
        <v>0.59300595238095233</v>
      </c>
      <c r="FM62">
        <f>'[35]Template '!$D$6</f>
        <v>0.60118145743145746</v>
      </c>
      <c r="FN62">
        <f>'[35]Template '!$D$7</f>
        <v>0.59830687830687823</v>
      </c>
      <c r="FO62">
        <f>'[35]Template '!$D$8</f>
        <v>0.70857142857142852</v>
      </c>
      <c r="FP62">
        <f>'[35]Template '!$D$9</f>
        <v>0.62526642917267916</v>
      </c>
      <c r="FR62">
        <f>'[35]Template '!$E$5</f>
        <v>0.57186624649859941</v>
      </c>
      <c r="FS62">
        <f>'[35]Template '!$E$6</f>
        <v>0.55505050505050502</v>
      </c>
      <c r="FT62">
        <f>'[35]Template '!$E$7</f>
        <v>0.58210317460317462</v>
      </c>
      <c r="FU62">
        <f>'[35]Template '!$E$8</f>
        <v>0.68432900432900434</v>
      </c>
      <c r="FV62">
        <f>'[35]Template '!$E$9</f>
        <v>0.59833723262032079</v>
      </c>
    </row>
    <row r="63" spans="1:178" x14ac:dyDescent="0.2">
      <c r="A63" t="str">
        <f>'[34]Template '!$A$2</f>
        <v>M_096</v>
      </c>
      <c r="C63" t="str">
        <f t="shared" si="8"/>
        <v>M_096.xlsx</v>
      </c>
      <c r="E63" t="str">
        <f>'[34]Template '!$C$2</f>
        <v>D+M</v>
      </c>
      <c r="G63">
        <f>'[34]Template '!$C$29</f>
        <v>0.3888888888888889</v>
      </c>
      <c r="H63" t="str">
        <f>'[34]Template '!$C$30</f>
        <v>n/a</v>
      </c>
      <c r="I63">
        <f>'[34]Template '!$C$31</f>
        <v>0.33333333333333331</v>
      </c>
      <c r="J63">
        <f>'[34]Template '!$C$32</f>
        <v>0.81617647058823528</v>
      </c>
      <c r="K63">
        <f>'[34]Template '!$C$33</f>
        <v>0.70238095238095222</v>
      </c>
      <c r="M63">
        <f>'[34]Template '!$C$80</f>
        <v>683</v>
      </c>
      <c r="N63">
        <f>'[34]Template '!$C$81</f>
        <v>28</v>
      </c>
      <c r="O63">
        <f>'[34]Template '!$C$82</f>
        <v>3</v>
      </c>
      <c r="P63">
        <f>'[34]Template '!$C$83</f>
        <v>2</v>
      </c>
      <c r="Q63">
        <f>'[34]Template '!$C$84</f>
        <v>2</v>
      </c>
      <c r="R63">
        <f>'[34]Template '!$C$85</f>
        <v>2</v>
      </c>
      <c r="T63">
        <f>'[34]Template '!$C$74</f>
        <v>0.47272727272727272</v>
      </c>
      <c r="U63" t="str">
        <f>'[34]Template '!$C$75</f>
        <v>n/a</v>
      </c>
      <c r="V63">
        <f>'[34]Template '!$C$76</f>
        <v>0.4642857142857143</v>
      </c>
      <c r="W63">
        <f>'[34]Template '!$C$77</f>
        <v>0.52380952380952372</v>
      </c>
      <c r="X63">
        <f>'[34]Template '!$C$78</f>
        <v>0.70238095238095222</v>
      </c>
      <c r="Z63">
        <f>'[34]Template '!$C$80</f>
        <v>683</v>
      </c>
      <c r="AA63">
        <f>'[34]Template '!$C$81</f>
        <v>28</v>
      </c>
      <c r="AB63">
        <f>'[34]Template '!$C$82</f>
        <v>3</v>
      </c>
      <c r="AC63">
        <f>'[34]Template '!$C$83</f>
        <v>2</v>
      </c>
      <c r="AD63">
        <f>'[34]Template '!$C$84</f>
        <v>2</v>
      </c>
      <c r="AE63">
        <f>'[34]Template '!$C$85</f>
        <v>2</v>
      </c>
      <c r="AG63">
        <f>'[34]Template '!$C$96</f>
        <v>0.75</v>
      </c>
      <c r="AH63">
        <f>'[34]Template '!$C$97</f>
        <v>0.2074074074074074</v>
      </c>
      <c r="AI63">
        <f>'[34]Template '!$C$98</f>
        <v>0</v>
      </c>
      <c r="AJ63">
        <f>'[34]Template '!$C$99</f>
        <v>0.51659451659451661</v>
      </c>
      <c r="AK63">
        <f>'[34]Template '!$C$100</f>
        <v>0.94047619047619035</v>
      </c>
      <c r="AM63">
        <f>'[34]Template '!$C$102</f>
        <v>650</v>
      </c>
      <c r="AN63">
        <f>'[34]Template '!$C$103</f>
        <v>58</v>
      </c>
      <c r="AO63">
        <f>'[34]Template '!$C$104</f>
        <v>2</v>
      </c>
      <c r="AP63">
        <f>'[34]Template '!$C$105</f>
        <v>4</v>
      </c>
      <c r="AQ63">
        <f>'[34]Template '!$C$106</f>
        <v>2</v>
      </c>
      <c r="AR63">
        <f>'[34]Template '!$C$107</f>
        <v>3</v>
      </c>
      <c r="AT63">
        <f>'[34]Template '!$C$52</f>
        <v>0.69444444444444442</v>
      </c>
      <c r="AU63">
        <f>'[34]Template '!$C$53</f>
        <v>0.2074074074074074</v>
      </c>
      <c r="AV63">
        <f>'[34]Template '!$C$54</f>
        <v>0.5</v>
      </c>
      <c r="AW63">
        <f>'[34]Template '!$C$55</f>
        <v>0.33035714285714285</v>
      </c>
      <c r="AX63">
        <f>'[34]Template '!$C$56</f>
        <v>0.70238095238095244</v>
      </c>
      <c r="AZ63">
        <f>'[34]Template '!$C$58</f>
        <v>1191</v>
      </c>
      <c r="BA63">
        <f>'[34]Template '!$C$59</f>
        <v>42</v>
      </c>
      <c r="BB63">
        <f>'[34]Template '!$C$60</f>
        <v>2</v>
      </c>
      <c r="BC63">
        <f>'[34]Template '!$C$61</f>
        <v>2</v>
      </c>
      <c r="BD63">
        <f>'[34]Template '!$C$62</f>
        <v>2</v>
      </c>
      <c r="BE63">
        <f>'[34]Template '!$C$63</f>
        <v>2</v>
      </c>
      <c r="BG63">
        <f>'[34]Template '!$B$29</f>
        <v>0.3888888888888889</v>
      </c>
      <c r="BH63" t="str">
        <f>'[34]Template '!$B$30</f>
        <v>n/a</v>
      </c>
      <c r="BI63">
        <f>'[34]Template '!$B$31</f>
        <v>0.33333333333333331</v>
      </c>
      <c r="BJ63">
        <f>'[34]Template '!$B$32</f>
        <v>0.75</v>
      </c>
      <c r="BK63">
        <f>'[34]Template '!$B$33</f>
        <v>0.70238095238095222</v>
      </c>
      <c r="BM63">
        <f>'[34]Template '!$B$52</f>
        <v>0.69444444444444442</v>
      </c>
      <c r="BN63">
        <f>'[34]Template '!$B$53</f>
        <v>0.2074074074074074</v>
      </c>
      <c r="BO63">
        <f>'[34]Template '!$B$54</f>
        <v>0.5</v>
      </c>
      <c r="BP63">
        <f>'[34]Template '!$B$55</f>
        <v>0.52777777777777779</v>
      </c>
      <c r="BQ63">
        <f>'[34]Template '!$B$56</f>
        <v>0.70238095238095244</v>
      </c>
      <c r="BS63">
        <f>'[34]Template '!$B$74</f>
        <v>0.47272727272727272</v>
      </c>
      <c r="BT63" t="str">
        <f>'[34]Template '!$B$75</f>
        <v>n/a</v>
      </c>
      <c r="BU63">
        <f>'[34]Template '!$B$76</f>
        <v>0.4642857142857143</v>
      </c>
      <c r="BV63">
        <f>'[34]Template '!$B$77</f>
        <v>0.70833333333333326</v>
      </c>
      <c r="BW63">
        <f>'[34]Template '!$B$78</f>
        <v>0.70238095238095222</v>
      </c>
      <c r="BY63">
        <f>'[34]Template '!$B$96</f>
        <v>0.75</v>
      </c>
      <c r="BZ63">
        <f>'[34]Template '!$B$97</f>
        <v>0.2074074074074074</v>
      </c>
      <c r="CA63">
        <f>'[34]Template '!$B$98</f>
        <v>0</v>
      </c>
      <c r="CB63">
        <f>'[34]Template '!$B$99</f>
        <v>0.88888888888888884</v>
      </c>
      <c r="CC63">
        <f>'[34]Template '!$B$100</f>
        <v>0.94047619047619035</v>
      </c>
      <c r="CF63">
        <f>'[34]Template '!$Z$30</f>
        <v>1</v>
      </c>
      <c r="CG63">
        <f>'[34]Template '!$AB$75</f>
        <v>0</v>
      </c>
      <c r="CH63">
        <f>'[34]Template '!$C$89</f>
        <v>0</v>
      </c>
      <c r="CI63">
        <f>'[34]Template '!$AF$75</f>
        <v>0</v>
      </c>
      <c r="CJ63">
        <f>'[34]Template '!$AR$97</f>
        <v>0</v>
      </c>
      <c r="CK63">
        <f>'[34]Template '!$AS$97</f>
        <v>0</v>
      </c>
      <c r="CL63">
        <f>'[34]Template '!$AZ$97</f>
        <v>0</v>
      </c>
      <c r="CM63">
        <f>'[34]Template '!$BB$97</f>
        <v>1</v>
      </c>
      <c r="CN63">
        <f>'[34]Template '!$AU$53</f>
        <v>0</v>
      </c>
      <c r="CO63">
        <f>'[34]Template '!$AV$53</f>
        <v>0</v>
      </c>
      <c r="CP63">
        <f>'[34]Template '!$AY$53</f>
        <v>0</v>
      </c>
      <c r="CQ63">
        <f>'[34]Template '!$AX$53</f>
        <v>0</v>
      </c>
      <c r="CR63">
        <f>'[34]Template '!$AZ$53</f>
        <v>1</v>
      </c>
      <c r="CS63">
        <f>'[34]Template '!$BF$53</f>
        <v>0</v>
      </c>
      <c r="CT63">
        <f t="shared" si="9"/>
        <v>1</v>
      </c>
      <c r="CU63">
        <f t="shared" si="10"/>
        <v>2</v>
      </c>
      <c r="CV63">
        <f t="shared" si="11"/>
        <v>3</v>
      </c>
      <c r="CY63" t="str">
        <f>'[34]Template '!$E$2</f>
        <v>A</v>
      </c>
      <c r="CZ63">
        <f>'[34]Template '!$B$13</f>
        <v>1</v>
      </c>
      <c r="DA63">
        <f>'[34]Template '!$D$2</f>
        <v>3</v>
      </c>
      <c r="DB63">
        <f>'[34]Template '!$D$3</f>
        <v>45104</v>
      </c>
      <c r="DC63">
        <f>'[34]Template '!$F$2</f>
        <v>45184</v>
      </c>
      <c r="DE63">
        <f>'[34]Template '!$B$12</f>
        <v>30</v>
      </c>
      <c r="DF63" t="str">
        <f>'[34]Template '!$B$14</f>
        <v>2/21</v>
      </c>
      <c r="DG63" t="str">
        <f>'[34]Template '!$B$15</f>
        <v>6/21</v>
      </c>
      <c r="DH63">
        <f>'[34]Template '!$B$16</f>
        <v>24</v>
      </c>
      <c r="DI63">
        <f>'[34]Template '!$B$17</f>
        <v>0</v>
      </c>
      <c r="DJ63">
        <f>'[34]Template '!$B$18</f>
        <v>0</v>
      </c>
      <c r="DK63">
        <f>'[34]Template '!$B$19</f>
        <v>0</v>
      </c>
      <c r="DL63">
        <f>'[34]Template '!$B$20</f>
        <v>0</v>
      </c>
      <c r="DM63">
        <f>'[34]Template '!$B$21</f>
        <v>0</v>
      </c>
      <c r="DN63">
        <f>'[34]Template '!$B$22</f>
        <v>0</v>
      </c>
      <c r="DP63">
        <f>'[34]Template '!$I$13</f>
        <v>5</v>
      </c>
      <c r="DQ63">
        <f>'[34]Template '!$I$14</f>
        <v>5</v>
      </c>
      <c r="DR63">
        <f>'[34]Template '!$I$15</f>
        <v>4</v>
      </c>
      <c r="DS63">
        <f>'[34]Template '!$I$16</f>
        <v>5</v>
      </c>
      <c r="DT63">
        <f>'[34]Template '!$I$17</f>
        <v>4</v>
      </c>
      <c r="DU63">
        <f>'[34]Template '!$I$18</f>
        <v>4</v>
      </c>
      <c r="DV63">
        <f>'[34]Template '!$I$19</f>
        <v>5</v>
      </c>
      <c r="DW63">
        <f>'[34]Template '!$I$20</f>
        <v>3</v>
      </c>
      <c r="DX63">
        <f>'[34]Template '!$I$21</f>
        <v>4</v>
      </c>
      <c r="DY63">
        <f>'[34]Template '!$I$22</f>
        <v>3</v>
      </c>
      <c r="DZ63">
        <f>'[34]Template '!$I$23</f>
        <v>5</v>
      </c>
      <c r="EA63">
        <f>'[34]Template '!$I$24</f>
        <v>2</v>
      </c>
      <c r="ED63">
        <f>'[34]Template '!$L$13</f>
        <v>5</v>
      </c>
      <c r="EE63">
        <f>'[34]Template '!$L$14</f>
        <v>5</v>
      </c>
      <c r="EF63">
        <f>'[34]Template '!$L$15</f>
        <v>4</v>
      </c>
      <c r="EG63">
        <f>'[34]Template '!$L$16</f>
        <v>4</v>
      </c>
      <c r="EH63">
        <f>'[34]Template '!$L$17</f>
        <v>4</v>
      </c>
      <c r="EI63">
        <f>'[34]Template '!$L$18</f>
        <v>3</v>
      </c>
      <c r="EJ63">
        <f>'[34]Template '!$L$19</f>
        <v>5</v>
      </c>
      <c r="EK63">
        <f>'[34]Template '!$L$20</f>
        <v>4</v>
      </c>
      <c r="EL63">
        <f>'[34]Template '!$L$21</f>
        <v>3</v>
      </c>
      <c r="EM63">
        <f>'[34]Template '!$L$22</f>
        <v>4</v>
      </c>
      <c r="EN63">
        <f>'[34]Template '!$L$23</f>
        <v>5</v>
      </c>
      <c r="EQ63">
        <f>'[34]Template '!$O$13</f>
        <v>5</v>
      </c>
      <c r="ER63">
        <f>'[34]Template '!$O$14</f>
        <v>4</v>
      </c>
      <c r="ES63">
        <f>'[34]Template '!$O$15</f>
        <v>3</v>
      </c>
      <c r="ET63">
        <f>'[34]Template '!$O$16</f>
        <v>4</v>
      </c>
      <c r="EU63">
        <f>'[34]Template '!$O$17</f>
        <v>5</v>
      </c>
      <c r="EV63">
        <f>'[34]Template '!$O$18</f>
        <v>4</v>
      </c>
      <c r="EW63">
        <f>'[34]Template '!$O$19</f>
        <v>1</v>
      </c>
      <c r="EX63">
        <f>'[34]Template '!$O$20</f>
        <v>2</v>
      </c>
      <c r="EY63">
        <f>'[34]Template '!$O$21</f>
        <v>3</v>
      </c>
      <c r="EZ63">
        <f>'[34]Template '!$O$22</f>
        <v>4</v>
      </c>
      <c r="FA63">
        <f>'[34]Template '!$O$23</f>
        <v>4</v>
      </c>
      <c r="FL63">
        <f>'[34]Template '!$D$5</f>
        <v>0.54365079365079361</v>
      </c>
      <c r="FM63">
        <f>'[34]Template '!$D$6</f>
        <v>0.58693181818181817</v>
      </c>
      <c r="FN63">
        <f>'[34]Template '!$D$7</f>
        <v>0.52640211640211643</v>
      </c>
      <c r="FO63">
        <f>'[34]Template '!$D$8</f>
        <v>0.55735449735449727</v>
      </c>
      <c r="FP63">
        <f>'[34]Template '!$D$9</f>
        <v>0.55358480639730634</v>
      </c>
      <c r="FR63">
        <f>'[34]Template '!$E$5</f>
        <v>0.56019491129785237</v>
      </c>
      <c r="FS63">
        <f>'[34]Template '!$E$6</f>
        <v>0.54080086580086573</v>
      </c>
      <c r="FT63">
        <f>'[34]Template '!$E$7</f>
        <v>0.48691798941798947</v>
      </c>
      <c r="FU63">
        <f>'[34]Template '!$E$8</f>
        <v>0.48289562289562288</v>
      </c>
      <c r="FV63">
        <f>'[34]Template '!$E$9</f>
        <v>0.51770234735308251</v>
      </c>
    </row>
    <row r="64" spans="1:178" x14ac:dyDescent="0.2">
      <c r="A64" t="str">
        <f>'[29]Template '!$A$2</f>
        <v>M_091</v>
      </c>
      <c r="C64" t="str">
        <f t="shared" si="8"/>
        <v>M_091.xlsx</v>
      </c>
      <c r="E64" t="str">
        <f>'[29]Template '!$C$2</f>
        <v>D+M</v>
      </c>
      <c r="G64">
        <f>'[29]Template '!$C$29</f>
        <v>0.27777777777777779</v>
      </c>
      <c r="H64" t="str">
        <f>'[29]Template '!$C$30</f>
        <v>n/a</v>
      </c>
      <c r="I64">
        <f>'[29]Template '!$C$31</f>
        <v>0.58333333333333326</v>
      </c>
      <c r="J64">
        <f>'[29]Template '!$C$32</f>
        <v>0.54411764705882359</v>
      </c>
      <c r="K64">
        <f>'[29]Template '!$C$33</f>
        <v>0.80952380952380942</v>
      </c>
      <c r="M64">
        <f>'[29]Template '!$C$80</f>
        <v>1200</v>
      </c>
      <c r="N64">
        <f>'[29]Template '!$C$81</f>
        <v>95</v>
      </c>
      <c r="O64">
        <f>'[29]Template '!$C$82</f>
        <v>5</v>
      </c>
      <c r="P64">
        <f>'[29]Template '!$C$83</f>
        <v>5</v>
      </c>
      <c r="Q64">
        <f>'[29]Template '!$C$84</f>
        <v>5</v>
      </c>
      <c r="R64">
        <f>'[29]Template '!$C$85</f>
        <v>5</v>
      </c>
      <c r="T64">
        <f>'[29]Template '!$C$74</f>
        <v>0.7</v>
      </c>
      <c r="U64" t="str">
        <f>'[29]Template '!$C$75</f>
        <v>n/a</v>
      </c>
      <c r="V64">
        <f>'[29]Template '!$C$76</f>
        <v>0.4642857142857143</v>
      </c>
      <c r="W64">
        <f>'[29]Template '!$C$77</f>
        <v>0.64285714285714279</v>
      </c>
      <c r="X64">
        <f>'[29]Template '!$C$78</f>
        <v>0.93253968253968245</v>
      </c>
      <c r="Z64">
        <f>'[29]Template '!$C$80</f>
        <v>1200</v>
      </c>
      <c r="AA64">
        <f>'[29]Template '!$C$81</f>
        <v>95</v>
      </c>
      <c r="AB64">
        <f>'[29]Template '!$C$82</f>
        <v>5</v>
      </c>
      <c r="AC64">
        <f>'[29]Template '!$C$83</f>
        <v>5</v>
      </c>
      <c r="AD64">
        <f>'[29]Template '!$C$84</f>
        <v>5</v>
      </c>
      <c r="AE64">
        <f>'[29]Template '!$C$85</f>
        <v>5</v>
      </c>
      <c r="AG64">
        <f>'[29]Template '!$C$96</f>
        <v>0.75</v>
      </c>
      <c r="AH64">
        <f>'[29]Template '!$C$97</f>
        <v>0.58518518518518514</v>
      </c>
      <c r="AI64">
        <f>'[29]Template '!$C$98</f>
        <v>0.5</v>
      </c>
      <c r="AJ64">
        <f>'[29]Template '!$C$99</f>
        <v>0.74603174603174605</v>
      </c>
      <c r="AK64">
        <f>'[29]Template '!$C$100</f>
        <v>0.98809523809523814</v>
      </c>
      <c r="AM64">
        <f>'[29]Template '!$C$102</f>
        <v>1008</v>
      </c>
      <c r="AN64">
        <f>'[29]Template '!$C$103</f>
        <v>100</v>
      </c>
      <c r="AO64">
        <f>'[29]Template '!$C$104</f>
        <v>4</v>
      </c>
      <c r="AP64">
        <f>'[29]Template '!$C$105</f>
        <v>5</v>
      </c>
      <c r="AQ64">
        <f>'[29]Template '!$C$106</f>
        <v>5</v>
      </c>
      <c r="AR64">
        <f>'[29]Template '!$C$107</f>
        <v>5</v>
      </c>
      <c r="AT64">
        <f>'[29]Template '!$C$52</f>
        <v>0.7</v>
      </c>
      <c r="AU64">
        <f>'[29]Template '!$C$53</f>
        <v>0.58518518518518514</v>
      </c>
      <c r="AV64">
        <f>'[29]Template '!$C$54</f>
        <v>0.5</v>
      </c>
      <c r="AW64">
        <f>'[29]Template '!$C$55</f>
        <v>0.45833333333333331</v>
      </c>
      <c r="AX64">
        <f>'[29]Template '!$C$56</f>
        <v>0.90952380952380951</v>
      </c>
      <c r="AZ64">
        <f>'[29]Template '!$C$58</f>
        <v>1200</v>
      </c>
      <c r="BA64">
        <f>'[29]Template '!$C$59</f>
        <v>100</v>
      </c>
      <c r="BB64">
        <f>'[29]Template '!$C$60</f>
        <v>4</v>
      </c>
      <c r="BC64">
        <f>'[29]Template '!$C$61</f>
        <v>5</v>
      </c>
      <c r="BD64">
        <f>'[29]Template '!$C$62</f>
        <v>5</v>
      </c>
      <c r="BE64">
        <f>'[29]Template '!$C$63</f>
        <v>5</v>
      </c>
      <c r="BG64">
        <f>'[29]Template '!$B$29</f>
        <v>0.27777777777777779</v>
      </c>
      <c r="BH64" t="str">
        <f>'[29]Template '!$B$30</f>
        <v>n/a</v>
      </c>
      <c r="BI64">
        <f>'[29]Template '!$B$31</f>
        <v>0.58333333333333326</v>
      </c>
      <c r="BJ64">
        <f>'[29]Template '!$B$32</f>
        <v>0.5625</v>
      </c>
      <c r="BK64">
        <f>'[29]Template '!$B$33</f>
        <v>0.80952380952380942</v>
      </c>
      <c r="BM64">
        <f>'[29]Template '!$B$52</f>
        <v>0.7</v>
      </c>
      <c r="BN64">
        <f>'[29]Template '!$B$53</f>
        <v>0.58518518518518514</v>
      </c>
      <c r="BO64">
        <f>'[29]Template '!$B$54</f>
        <v>0.5</v>
      </c>
      <c r="BP64">
        <f>'[29]Template '!$B$55</f>
        <v>0.50925925925925919</v>
      </c>
      <c r="BQ64">
        <f>'[29]Template '!$B$56</f>
        <v>0.90952380952380951</v>
      </c>
      <c r="BS64">
        <f>'[29]Template '!$B$74</f>
        <v>0.7</v>
      </c>
      <c r="BT64" t="str">
        <f>'[29]Template '!$B$75</f>
        <v>n/a</v>
      </c>
      <c r="BU64">
        <f>'[29]Template '!$B$76</f>
        <v>0.4642857142857143</v>
      </c>
      <c r="BV64">
        <f>'[29]Template '!$B$77</f>
        <v>0.83333333333333326</v>
      </c>
      <c r="BW64">
        <f>'[29]Template '!$B$78</f>
        <v>0.93253968253968245</v>
      </c>
      <c r="BY64">
        <f>'[29]Template '!$B$96</f>
        <v>0.75</v>
      </c>
      <c r="BZ64">
        <f>'[29]Template '!$B$97</f>
        <v>0.58518518518518514</v>
      </c>
      <c r="CA64">
        <f>'[29]Template '!$B$98</f>
        <v>0.5</v>
      </c>
      <c r="CB64">
        <f>'[29]Template '!$B$99</f>
        <v>0.88888888888888884</v>
      </c>
      <c r="CC64">
        <f>'[29]Template '!$B$100</f>
        <v>0.98809523809523814</v>
      </c>
      <c r="CF64">
        <f>'[29]Template '!$Z$30</f>
        <v>0</v>
      </c>
      <c r="CG64">
        <f>'[29]Template '!$AB$75</f>
        <v>0</v>
      </c>
      <c r="CH64">
        <f>'[29]Template '!$C$89</f>
        <v>1</v>
      </c>
      <c r="CI64">
        <f>'[29]Template '!$AF$75</f>
        <v>0</v>
      </c>
      <c r="CJ64">
        <f>'[29]Template '!$AR$97</f>
        <v>1</v>
      </c>
      <c r="CK64">
        <f>'[29]Template '!$AS$97</f>
        <v>1</v>
      </c>
      <c r="CL64">
        <f>'[29]Template '!$AZ$97</f>
        <v>1</v>
      </c>
      <c r="CM64">
        <f>'[29]Template '!$BB$97</f>
        <v>1</v>
      </c>
      <c r="CN64">
        <f>'[29]Template '!$AU$53</f>
        <v>1</v>
      </c>
      <c r="CO64">
        <f>'[29]Template '!$AV$53</f>
        <v>1</v>
      </c>
      <c r="CP64">
        <f>'[29]Template '!$AY$53</f>
        <v>1</v>
      </c>
      <c r="CQ64">
        <f>'[29]Template '!$AX$53</f>
        <v>0</v>
      </c>
      <c r="CR64">
        <f>'[29]Template '!$AZ$53</f>
        <v>0</v>
      </c>
      <c r="CS64">
        <f>'[29]Template '!$BF$53</f>
        <v>0</v>
      </c>
      <c r="CT64">
        <f t="shared" si="9"/>
        <v>1</v>
      </c>
      <c r="CU64">
        <f t="shared" si="10"/>
        <v>7</v>
      </c>
      <c r="CV64">
        <f t="shared" si="11"/>
        <v>8</v>
      </c>
      <c r="CY64" t="str">
        <f>'[29]Template '!$E$2</f>
        <v>A</v>
      </c>
      <c r="CZ64">
        <f>'[29]Template '!$B$13</f>
        <v>1</v>
      </c>
      <c r="DA64">
        <f>'[29]Template '!$D$2</f>
        <v>3</v>
      </c>
      <c r="DB64">
        <f>'[29]Template '!$D$3</f>
        <v>45104</v>
      </c>
      <c r="DC64">
        <f>'[29]Template '!$F$2</f>
        <v>45223</v>
      </c>
      <c r="DE64">
        <f>'[29]Template '!$B$12</f>
        <v>29</v>
      </c>
      <c r="DF64" t="str">
        <f>'[29]Template '!$B$14</f>
        <v>5/12</v>
      </c>
      <c r="DG64" t="str">
        <f>'[29]Template '!$B$15</f>
        <v>9/12</v>
      </c>
      <c r="DH64">
        <f>'[29]Template '!$B$16</f>
        <v>132</v>
      </c>
      <c r="DI64">
        <f>'[29]Template '!$B$17</f>
        <v>0</v>
      </c>
      <c r="DJ64">
        <f>'[29]Template '!$B$18</f>
        <v>0</v>
      </c>
      <c r="DK64">
        <f>'[29]Template '!$B$19</f>
        <v>1</v>
      </c>
      <c r="DL64">
        <f>'[29]Template '!$B$20</f>
        <v>1</v>
      </c>
      <c r="DM64">
        <f>'[29]Template '!$B$21</f>
        <v>0</v>
      </c>
      <c r="DN64">
        <f>'[29]Template '!$B$22</f>
        <v>1</v>
      </c>
      <c r="DP64">
        <f>'[29]Template '!$I$13</f>
        <v>4</v>
      </c>
      <c r="DQ64">
        <f>'[29]Template '!$I$14</f>
        <v>4</v>
      </c>
      <c r="DR64">
        <f>'[29]Template '!$I$15</f>
        <v>4</v>
      </c>
      <c r="DS64">
        <f>'[29]Template '!$I$16</f>
        <v>3</v>
      </c>
      <c r="DT64">
        <f>'[29]Template '!$I$17</f>
        <v>4</v>
      </c>
      <c r="DU64">
        <f>'[29]Template '!$I$18</f>
        <v>2</v>
      </c>
      <c r="DV64">
        <f>'[29]Template '!$I$19</f>
        <v>5</v>
      </c>
      <c r="DW64">
        <f>'[29]Template '!$I$20</f>
        <v>3</v>
      </c>
      <c r="DX64">
        <f>'[29]Template '!$I$21</f>
        <v>4</v>
      </c>
      <c r="DY64">
        <f>'[29]Template '!$I$22</f>
        <v>4</v>
      </c>
      <c r="DZ64">
        <f>'[29]Template '!$I$23</f>
        <v>4</v>
      </c>
      <c r="EA64">
        <f>'[29]Template '!$I$24</f>
        <v>0</v>
      </c>
      <c r="ED64">
        <f>'[29]Template '!$L$13</f>
        <v>4</v>
      </c>
      <c r="EE64">
        <f>'[29]Template '!$L$14</f>
        <v>4</v>
      </c>
      <c r="EF64">
        <f>'[29]Template '!$L$15</f>
        <v>3</v>
      </c>
      <c r="EG64">
        <f>'[29]Template '!$L$16</f>
        <v>3</v>
      </c>
      <c r="EH64">
        <f>'[29]Template '!$L$17</f>
        <v>4</v>
      </c>
      <c r="EI64">
        <f>'[29]Template '!$L$18</f>
        <v>3</v>
      </c>
      <c r="EJ64">
        <f>'[29]Template '!$L$19</f>
        <v>5</v>
      </c>
      <c r="EK64">
        <f>'[29]Template '!$L$20</f>
        <v>3</v>
      </c>
      <c r="EL64">
        <f>'[29]Template '!$L$21</f>
        <v>3</v>
      </c>
      <c r="EM64">
        <f>'[29]Template '!$L$22</f>
        <v>3</v>
      </c>
      <c r="EN64">
        <f>'[29]Template '!$L$23</f>
        <v>5</v>
      </c>
      <c r="EQ64">
        <f>'[29]Template '!$O$13</f>
        <v>3</v>
      </c>
      <c r="ER64">
        <f>'[29]Template '!$O$14</f>
        <v>2</v>
      </c>
      <c r="ES64">
        <f>'[29]Template '!$O$15</f>
        <v>2</v>
      </c>
      <c r="ET64">
        <f>'[29]Template '!$O$16</f>
        <v>3</v>
      </c>
      <c r="EU64">
        <f>'[29]Template '!$O$17</f>
        <v>4</v>
      </c>
      <c r="EV64">
        <f>'[29]Template '!$O$18</f>
        <v>3</v>
      </c>
      <c r="EW64">
        <f>'[29]Template '!$O$19</f>
        <v>1</v>
      </c>
      <c r="EX64">
        <f>'[29]Template '!$O$20</f>
        <v>2</v>
      </c>
      <c r="EY64">
        <f>'[29]Template '!$O$21</f>
        <v>1</v>
      </c>
      <c r="EZ64">
        <f>'[29]Template '!$O$22</f>
        <v>2</v>
      </c>
      <c r="FA64">
        <f>'[29]Template '!$O$23</f>
        <v>2</v>
      </c>
      <c r="FL64">
        <f>'[29]Template '!$D$5</f>
        <v>0.55828373015873012</v>
      </c>
      <c r="FM64">
        <f>'[29]Template '!$D$6</f>
        <v>0.73253968253968249</v>
      </c>
      <c r="FN64">
        <f>'[29]Template '!$D$7</f>
        <v>0.64079365079365069</v>
      </c>
      <c r="FO64">
        <f>'[29]Template '!$D$8</f>
        <v>0.74243386243386245</v>
      </c>
      <c r="FP64">
        <f>'[29]Template '!$D$9</f>
        <v>0.66851273148148138</v>
      </c>
      <c r="FR64">
        <f>'[29]Template '!$E$5</f>
        <v>0.55368814192343596</v>
      </c>
      <c r="FS64">
        <f>'[29]Template '!$E$6</f>
        <v>0.68492063492063482</v>
      </c>
      <c r="FT64">
        <f>'[29]Template '!$E$7</f>
        <v>0.63060846560846562</v>
      </c>
      <c r="FU64">
        <f>'[29]Template '!$E$8</f>
        <v>0.71386243386243386</v>
      </c>
      <c r="FV64">
        <f>'[29]Template '!$E$9</f>
        <v>0.64576991907874259</v>
      </c>
    </row>
    <row r="65" spans="1:178" x14ac:dyDescent="0.2">
      <c r="A65" t="str">
        <f>'[28]Template '!$A$2</f>
        <v>M_090</v>
      </c>
      <c r="C65" t="str">
        <f t="shared" si="8"/>
        <v>M_090.xlsx</v>
      </c>
      <c r="E65" t="str">
        <f>'[28]Template '!$C$2</f>
        <v>D+M</v>
      </c>
      <c r="G65">
        <f>'[28]Template '!$C$29</f>
        <v>0.3888888888888889</v>
      </c>
      <c r="H65" t="str">
        <f>'[28]Template '!$C$30</f>
        <v>n/a</v>
      </c>
      <c r="I65">
        <f>'[28]Template '!$C$31</f>
        <v>0.58333333333333326</v>
      </c>
      <c r="J65">
        <f>'[28]Template '!$C$32</f>
        <v>0.54411764705882359</v>
      </c>
      <c r="K65">
        <f>'[28]Template '!$C$33</f>
        <v>0.54761904761904756</v>
      </c>
      <c r="M65">
        <f>'[28]Template '!$C$80</f>
        <v>943</v>
      </c>
      <c r="N65">
        <f>'[28]Template '!$C$81</f>
        <v>72.5</v>
      </c>
      <c r="O65">
        <f>'[28]Template '!$C$82</f>
        <v>4</v>
      </c>
      <c r="P65">
        <f>'[28]Template '!$C$83</f>
        <v>3.5</v>
      </c>
      <c r="Q65">
        <f>'[28]Template '!$C$84</f>
        <v>3.5</v>
      </c>
      <c r="R65">
        <f>'[28]Template '!$C$85</f>
        <v>3.5</v>
      </c>
      <c r="T65">
        <f>'[28]Template '!$C$74</f>
        <v>0.7</v>
      </c>
      <c r="U65" t="str">
        <f>'[28]Template '!$C$75</f>
        <v>n/a</v>
      </c>
      <c r="V65">
        <f>'[28]Template '!$C$76</f>
        <v>0.4642857142857143</v>
      </c>
      <c r="W65">
        <f>'[28]Template '!$C$77</f>
        <v>0.61904761904761907</v>
      </c>
      <c r="X65">
        <f>'[28]Template '!$C$78</f>
        <v>0.78571428571428559</v>
      </c>
      <c r="Z65">
        <f>'[28]Template '!$C$80</f>
        <v>943</v>
      </c>
      <c r="AA65">
        <f>'[28]Template '!$C$81</f>
        <v>72.5</v>
      </c>
      <c r="AB65">
        <f>'[28]Template '!$C$82</f>
        <v>4</v>
      </c>
      <c r="AC65">
        <f>'[28]Template '!$C$83</f>
        <v>3.5</v>
      </c>
      <c r="AD65">
        <f>'[28]Template '!$C$84</f>
        <v>3.5</v>
      </c>
      <c r="AE65">
        <f>'[28]Template '!$C$85</f>
        <v>3.5</v>
      </c>
      <c r="AG65">
        <f>'[28]Template '!$C$96</f>
        <v>0.66666666666666663</v>
      </c>
      <c r="AH65">
        <f>'[28]Template '!$C$97</f>
        <v>0.24444444444444446</v>
      </c>
      <c r="AI65">
        <f>'[28]Template '!$C$98</f>
        <v>0.5</v>
      </c>
      <c r="AJ65">
        <f>'[28]Template '!$C$99</f>
        <v>0.50360750360750361</v>
      </c>
      <c r="AK65">
        <f>'[28]Template '!$C$100</f>
        <v>0.56666666666666665</v>
      </c>
      <c r="AM65">
        <f>'[28]Template '!$C$102</f>
        <v>1200</v>
      </c>
      <c r="AN65">
        <f>'[28]Template '!$C$103</f>
        <v>55</v>
      </c>
      <c r="AO65">
        <f>'[28]Template '!$C$104</f>
        <v>1</v>
      </c>
      <c r="AP65">
        <f>'[28]Template '!$C$105</f>
        <v>2</v>
      </c>
      <c r="AQ65">
        <f>'[28]Template '!$C$106</f>
        <v>2</v>
      </c>
      <c r="AR65">
        <f>'[28]Template '!$C$107</f>
        <v>3</v>
      </c>
      <c r="AT65">
        <f>'[28]Template '!$C$52</f>
        <v>0.64444444444444438</v>
      </c>
      <c r="AU65">
        <f>'[28]Template '!$C$53</f>
        <v>0.24444444444444446</v>
      </c>
      <c r="AV65">
        <f>'[28]Template '!$C$54</f>
        <v>0.5</v>
      </c>
      <c r="AW65">
        <f>'[28]Template '!$C$55</f>
        <v>0.1875</v>
      </c>
      <c r="AX65">
        <f>'[28]Template '!$C$56</f>
        <v>0.70198412698412704</v>
      </c>
      <c r="AZ65">
        <f>'[28]Template '!$C$58</f>
        <v>1200</v>
      </c>
      <c r="BA65">
        <f>'[28]Template '!$C$59</f>
        <v>50</v>
      </c>
      <c r="BB65">
        <f>'[28]Template '!$C$60</f>
        <v>1</v>
      </c>
      <c r="BC65">
        <f>'[28]Template '!$C$61</f>
        <v>2</v>
      </c>
      <c r="BD65">
        <f>'[28]Template '!$C$62</f>
        <v>3</v>
      </c>
      <c r="BE65">
        <f>'[28]Template '!$C$63</f>
        <v>2</v>
      </c>
      <c r="BG65">
        <f>'[28]Template '!$B$29</f>
        <v>0.3888888888888889</v>
      </c>
      <c r="BH65" t="str">
        <f>'[28]Template '!$B$30</f>
        <v>n/a</v>
      </c>
      <c r="BI65">
        <f>'[28]Template '!$B$31</f>
        <v>0.58333333333333326</v>
      </c>
      <c r="BJ65">
        <f>'[28]Template '!$B$32</f>
        <v>0.5625</v>
      </c>
      <c r="BK65">
        <f>'[28]Template '!$B$33</f>
        <v>0.54761904761904756</v>
      </c>
      <c r="BM65">
        <f>'[28]Template '!$B$52</f>
        <v>0.64444444444444438</v>
      </c>
      <c r="BN65">
        <f>'[28]Template '!$B$53</f>
        <v>0.24444444444444446</v>
      </c>
      <c r="BO65">
        <f>'[28]Template '!$B$54</f>
        <v>0.5</v>
      </c>
      <c r="BP65">
        <f>'[28]Template '!$B$55</f>
        <v>0.20370370370370372</v>
      </c>
      <c r="BQ65">
        <f>'[28]Template '!$B$56</f>
        <v>0.70198412698412704</v>
      </c>
      <c r="BS65">
        <f>'[28]Template '!$B$74</f>
        <v>0.7</v>
      </c>
      <c r="BT65" t="str">
        <f>'[28]Template '!$B$75</f>
        <v>n/a</v>
      </c>
      <c r="BU65">
        <f>'[28]Template '!$B$76</f>
        <v>0.4642857142857143</v>
      </c>
      <c r="BV65">
        <f>'[28]Template '!$B$77</f>
        <v>0.83333333333333326</v>
      </c>
      <c r="BW65">
        <f>'[28]Template '!$B$78</f>
        <v>0.78571428571428559</v>
      </c>
      <c r="BY65">
        <f>'[28]Template '!$B$96</f>
        <v>0.66666666666666663</v>
      </c>
      <c r="BZ65">
        <f>'[28]Template '!$B$97</f>
        <v>0.24444444444444446</v>
      </c>
      <c r="CA65">
        <f>'[28]Template '!$B$98</f>
        <v>0.5</v>
      </c>
      <c r="CB65">
        <f>'[28]Template '!$B$99</f>
        <v>0.88888888888888884</v>
      </c>
      <c r="CC65">
        <f>'[28]Template '!$B$100</f>
        <v>0.56666666666666665</v>
      </c>
      <c r="CF65">
        <f>'[28]Template '!$Z$30</f>
        <v>0</v>
      </c>
      <c r="CG65">
        <f>'[28]Template '!$AB$75</f>
        <v>0.5</v>
      </c>
      <c r="CH65">
        <f>'[28]Template '!$C$89</f>
        <v>0.5</v>
      </c>
      <c r="CI65">
        <f>'[28]Template '!$AF$75</f>
        <v>0</v>
      </c>
      <c r="CJ65">
        <f>'[28]Template '!$AR$97</f>
        <v>1</v>
      </c>
      <c r="CK65">
        <f>'[28]Template '!$AS$97</f>
        <v>1</v>
      </c>
      <c r="CL65">
        <f>'[28]Template '!$AZ$97</f>
        <v>0</v>
      </c>
      <c r="CM65">
        <f>'[28]Template '!$BB$97</f>
        <v>0</v>
      </c>
      <c r="CN65">
        <f>'[28]Template '!$AU$53</f>
        <v>0</v>
      </c>
      <c r="CO65">
        <f>'[28]Template '!$AV$53</f>
        <v>0</v>
      </c>
      <c r="CP65">
        <f>'[28]Template '!$AY$53</f>
        <v>0</v>
      </c>
      <c r="CQ65">
        <f>'[28]Template '!$AX$53</f>
        <v>0</v>
      </c>
      <c r="CR65">
        <f>'[28]Template '!$AZ$53</f>
        <v>0</v>
      </c>
      <c r="CS65">
        <f>'[28]Template '!$BF$53</f>
        <v>0</v>
      </c>
      <c r="CT65">
        <f t="shared" si="9"/>
        <v>1</v>
      </c>
      <c r="CU65">
        <f t="shared" si="10"/>
        <v>2</v>
      </c>
      <c r="CV65">
        <f t="shared" si="11"/>
        <v>3</v>
      </c>
      <c r="CY65" t="str">
        <f>'[28]Template '!$E$2</f>
        <v>B</v>
      </c>
      <c r="CZ65">
        <f>'[28]Template '!$B$13</f>
        <v>1</v>
      </c>
      <c r="DA65">
        <f>'[28]Template '!$D$2</f>
        <v>3</v>
      </c>
      <c r="DB65">
        <f>'[28]Template '!$D$3</f>
        <v>45104</v>
      </c>
      <c r="DC65">
        <f>'[28]Template '!$F$2</f>
        <v>45219</v>
      </c>
      <c r="DE65">
        <f>'[28]Template '!$B$12</f>
        <v>25</v>
      </c>
      <c r="DF65" t="str">
        <f>'[28]Template '!$B$14</f>
        <v>4/18</v>
      </c>
      <c r="DG65" t="str">
        <f>'[28]Template '!$B$15</f>
        <v>7/18</v>
      </c>
      <c r="DH65">
        <f>'[28]Template '!$B$16</f>
        <v>60</v>
      </c>
      <c r="DI65">
        <f>'[28]Template '!$B$17</f>
        <v>0</v>
      </c>
      <c r="DJ65">
        <f>'[28]Template '!$B$18</f>
        <v>0</v>
      </c>
      <c r="DK65">
        <f>'[28]Template '!$B$19</f>
        <v>0</v>
      </c>
      <c r="DL65">
        <f>'[28]Template '!$B$20</f>
        <v>0</v>
      </c>
      <c r="DM65">
        <f>'[28]Template '!$B$21</f>
        <v>0</v>
      </c>
      <c r="DN65">
        <f>'[28]Template '!$B$22</f>
        <v>1</v>
      </c>
      <c r="DP65">
        <f>'[28]Template '!$I$13</f>
        <v>4</v>
      </c>
      <c r="DQ65">
        <f>'[28]Template '!$I$14</f>
        <v>4</v>
      </c>
      <c r="DR65">
        <f>'[28]Template '!$I$15</f>
        <v>3</v>
      </c>
      <c r="DS65">
        <f>'[28]Template '!$I$16</f>
        <v>4</v>
      </c>
      <c r="DT65">
        <f>'[28]Template '!$I$17</f>
        <v>3</v>
      </c>
      <c r="DU65">
        <f>'[28]Template '!$I$18</f>
        <v>4</v>
      </c>
      <c r="DV65">
        <f>'[28]Template '!$I$19</f>
        <v>5</v>
      </c>
      <c r="DW65">
        <f>'[28]Template '!$I$20</f>
        <v>2</v>
      </c>
      <c r="DX65">
        <f>'[28]Template '!$I$21</f>
        <v>4</v>
      </c>
      <c r="DY65">
        <f>'[28]Template '!$I$22</f>
        <v>3</v>
      </c>
      <c r="DZ65">
        <f>'[28]Template '!$I$23</f>
        <v>5</v>
      </c>
      <c r="EA65">
        <f>'[28]Template '!$I$24</f>
        <v>1</v>
      </c>
      <c r="ED65">
        <f>'[28]Template '!$L$13</f>
        <v>4</v>
      </c>
      <c r="EE65">
        <f>'[28]Template '!$L$14</f>
        <v>4</v>
      </c>
      <c r="EF65">
        <f>'[28]Template '!$L$15</f>
        <v>3</v>
      </c>
      <c r="EG65">
        <f>'[28]Template '!$L$16</f>
        <v>4</v>
      </c>
      <c r="EH65">
        <f>'[28]Template '!$L$17</f>
        <v>4</v>
      </c>
      <c r="EI65">
        <f>'[28]Template '!$L$18</f>
        <v>4</v>
      </c>
      <c r="EJ65">
        <f>'[28]Template '!$L$19</f>
        <v>5</v>
      </c>
      <c r="EK65">
        <f>'[28]Template '!$L$20</f>
        <v>4</v>
      </c>
      <c r="EL65">
        <f>'[28]Template '!$L$21</f>
        <v>3</v>
      </c>
      <c r="EM65">
        <f>'[28]Template '!$L$22</f>
        <v>4</v>
      </c>
      <c r="EN65">
        <f>'[28]Template '!$L$23</f>
        <v>5</v>
      </c>
      <c r="EQ65">
        <f>'[28]Template '!$O$13</f>
        <v>4</v>
      </c>
      <c r="ER65">
        <f>'[28]Template '!$O$14</f>
        <v>2</v>
      </c>
      <c r="ES65">
        <f>'[28]Template '!$O$15</f>
        <v>2</v>
      </c>
      <c r="ET65">
        <f>'[28]Template '!$O$16</f>
        <v>4</v>
      </c>
      <c r="EU65">
        <f>'[28]Template '!$O$17</f>
        <v>5</v>
      </c>
      <c r="EV65">
        <f>'[28]Template '!$O$18</f>
        <v>4</v>
      </c>
      <c r="EW65">
        <f>'[28]Template '!$O$19</f>
        <v>1</v>
      </c>
      <c r="EX65">
        <f>'[28]Template '!$O$20</f>
        <v>3</v>
      </c>
      <c r="EY65">
        <f>'[28]Template '!$O$21</f>
        <v>4</v>
      </c>
      <c r="EZ65">
        <f>'[28]Template '!$O$22</f>
        <v>4</v>
      </c>
      <c r="FA65">
        <f>'[28]Template '!$O$23</f>
        <v>4</v>
      </c>
      <c r="FL65">
        <f>'[28]Template '!$D$5</f>
        <v>0.52058531746031744</v>
      </c>
      <c r="FM65">
        <f>'[28]Template '!$D$6</f>
        <v>0.6958333333333333</v>
      </c>
      <c r="FN65">
        <f>'[28]Template '!$D$7</f>
        <v>0.45891534391534394</v>
      </c>
      <c r="FO65">
        <f>'[28]Template '!$D$8</f>
        <v>0.57333333333333325</v>
      </c>
      <c r="FP65">
        <f>'[28]Template '!$D$9</f>
        <v>0.56216683201058193</v>
      </c>
      <c r="FR65">
        <f>'[28]Template '!$E$5</f>
        <v>0.51598972922502329</v>
      </c>
      <c r="FS65">
        <f>'[28]Template '!$E$6</f>
        <v>0.6422619047619047</v>
      </c>
      <c r="FT65">
        <f>'[28]Template '!$E$7</f>
        <v>0.45567460317460318</v>
      </c>
      <c r="FU65">
        <f>'[28]Template '!$E$8</f>
        <v>0.49627705627705626</v>
      </c>
      <c r="FV65">
        <f>'[28]Template '!$E$9</f>
        <v>0.52755082335964687</v>
      </c>
    </row>
    <row r="66" spans="1:178" x14ac:dyDescent="0.2">
      <c r="A66" t="str">
        <f>'[24]Template '!$A$2</f>
        <v>M_083</v>
      </c>
      <c r="C66" t="str">
        <f t="shared" si="8"/>
        <v>M_083.xlsx</v>
      </c>
      <c r="E66" t="str">
        <f>'[24]Template '!$C$2</f>
        <v>D+M</v>
      </c>
      <c r="G66">
        <f>'[24]Template '!$C$29</f>
        <v>0.22222222222222221</v>
      </c>
      <c r="H66" t="str">
        <f>'[24]Template '!$C$30</f>
        <v>n/a</v>
      </c>
      <c r="I66">
        <f>'[24]Template '!$C$31</f>
        <v>0</v>
      </c>
      <c r="J66">
        <f>'[24]Template '!$C$32</f>
        <v>0.60294117647058831</v>
      </c>
      <c r="K66">
        <f>'[24]Template '!$C$33</f>
        <v>0.88492063492063477</v>
      </c>
      <c r="M66">
        <f>'[24]Template '!$C$80</f>
        <v>200</v>
      </c>
      <c r="N66">
        <f>'[24]Template '!$C$81</f>
        <v>60</v>
      </c>
      <c r="O66">
        <f>'[24]Template '!$C$82</f>
        <v>4</v>
      </c>
      <c r="P66">
        <f>'[24]Template '!$C$83</f>
        <v>3</v>
      </c>
      <c r="Q66">
        <f>'[24]Template '!$C$84</f>
        <v>4</v>
      </c>
      <c r="R66">
        <f>'[24]Template '!$C$85</f>
        <v>3</v>
      </c>
      <c r="T66">
        <f>'[24]Template '!$C$74</f>
        <v>0.60909090909090913</v>
      </c>
      <c r="U66" t="str">
        <f>'[24]Template '!$C$75</f>
        <v>n/a</v>
      </c>
      <c r="V66">
        <f>'[24]Template '!$C$76</f>
        <v>0.21428571428571427</v>
      </c>
      <c r="W66">
        <f>'[24]Template '!$C$77</f>
        <v>0.52380952380952372</v>
      </c>
      <c r="X66">
        <f>'[24]Template '!$C$78</f>
        <v>0.77380952380952372</v>
      </c>
      <c r="Z66">
        <f>'[24]Template '!$C$80</f>
        <v>200</v>
      </c>
      <c r="AA66">
        <f>'[24]Template '!$C$81</f>
        <v>60</v>
      </c>
      <c r="AB66">
        <f>'[24]Template '!$C$82</f>
        <v>4</v>
      </c>
      <c r="AC66">
        <f>'[24]Template '!$C$83</f>
        <v>3</v>
      </c>
      <c r="AD66">
        <f>'[24]Template '!$C$84</f>
        <v>4</v>
      </c>
      <c r="AE66">
        <f>'[24]Template '!$C$85</f>
        <v>3</v>
      </c>
      <c r="AG66">
        <f>'[24]Template '!$C$96</f>
        <v>0.4375</v>
      </c>
      <c r="AH66">
        <f>'[24]Template '!$C$97</f>
        <v>0.51111111111111107</v>
      </c>
      <c r="AI66">
        <f>'[24]Template '!$C$98</f>
        <v>0.5</v>
      </c>
      <c r="AJ66">
        <f>'[24]Template '!$C$99</f>
        <v>0.64646464646464641</v>
      </c>
      <c r="AK66">
        <f>'[24]Template '!$C$100</f>
        <v>0.97619047619047616</v>
      </c>
      <c r="AM66">
        <f>'[24]Template '!$C$102</f>
        <v>1200</v>
      </c>
      <c r="AN66">
        <f>'[24]Template '!$C$103</f>
        <v>70</v>
      </c>
      <c r="AO66">
        <f>'[24]Template '!$C$104</f>
        <v>4</v>
      </c>
      <c r="AP66">
        <f>'[24]Template '!$C$105</f>
        <v>3</v>
      </c>
      <c r="AQ66">
        <f>'[24]Template '!$C$106</f>
        <v>4</v>
      </c>
      <c r="AR66">
        <f>'[24]Template '!$C$107</f>
        <v>3</v>
      </c>
      <c r="AT66">
        <f>'[24]Template '!$C$52</f>
        <v>0.20555555555555557</v>
      </c>
      <c r="AU66">
        <f>'[24]Template '!$C$53</f>
        <v>0.51111111111111107</v>
      </c>
      <c r="AV66">
        <f>'[24]Template '!$C$54</f>
        <v>0</v>
      </c>
      <c r="AW66">
        <f>'[24]Template '!$C$55</f>
        <v>0.41666666666666669</v>
      </c>
      <c r="AX66">
        <f>'[24]Template '!$C$56</f>
        <v>0.90873015873015872</v>
      </c>
      <c r="AZ66">
        <f>'[24]Template '!$C$58</f>
        <v>1200</v>
      </c>
      <c r="BA66">
        <f>'[24]Template '!$C$59</f>
        <v>65</v>
      </c>
      <c r="BB66">
        <f>'[24]Template '!$C$60</f>
        <v>4</v>
      </c>
      <c r="BC66">
        <f>'[24]Template '!$C$61</f>
        <v>3</v>
      </c>
      <c r="BD66">
        <f>'[24]Template '!$C$62</f>
        <v>5</v>
      </c>
      <c r="BE66">
        <f>'[24]Template '!$C$63</f>
        <v>3</v>
      </c>
      <c r="BG66">
        <f>'[24]Template '!$B$29</f>
        <v>0.22222222222222221</v>
      </c>
      <c r="BH66" t="str">
        <f>'[24]Template '!$B$30</f>
        <v>n/a</v>
      </c>
      <c r="BI66">
        <f>'[24]Template '!$B$31</f>
        <v>0</v>
      </c>
      <c r="BJ66">
        <f>'[24]Template '!$B$32</f>
        <v>0.6875</v>
      </c>
      <c r="BK66">
        <f>'[24]Template '!$B$33</f>
        <v>0.88492063492063477</v>
      </c>
      <c r="BM66">
        <f>'[24]Template '!$B$52</f>
        <v>0.20555555555555557</v>
      </c>
      <c r="BN66">
        <f>'[24]Template '!$B$53</f>
        <v>0.51111111111111107</v>
      </c>
      <c r="BO66">
        <f>'[24]Template '!$B$54</f>
        <v>0</v>
      </c>
      <c r="BP66">
        <f>'[24]Template '!$B$55</f>
        <v>0.43518518518518517</v>
      </c>
      <c r="BQ66">
        <f>'[24]Template '!$B$56</f>
        <v>0.90873015873015872</v>
      </c>
      <c r="BS66">
        <f>'[24]Template '!$B$74</f>
        <v>0.60909090909090913</v>
      </c>
      <c r="BT66" t="str">
        <f>'[24]Template '!$B$75</f>
        <v>n/a</v>
      </c>
      <c r="BU66">
        <f>'[24]Template '!$B$76</f>
        <v>0.21428571428571427</v>
      </c>
      <c r="BV66">
        <f>'[24]Template '!$B$77</f>
        <v>0.70833333333333326</v>
      </c>
      <c r="BW66">
        <f>'[24]Template '!$B$78</f>
        <v>0.77380952380952372</v>
      </c>
      <c r="BY66">
        <f>'[24]Template '!$B$96</f>
        <v>0.4375</v>
      </c>
      <c r="BZ66">
        <f>'[24]Template '!$B$97</f>
        <v>0.51111111111111107</v>
      </c>
      <c r="CA66">
        <f>'[24]Template '!$B$98</f>
        <v>0.5</v>
      </c>
      <c r="CB66">
        <f>'[24]Template '!$B$99</f>
        <v>0.88888888888888884</v>
      </c>
      <c r="CC66">
        <f>'[24]Template '!$B$100</f>
        <v>0.97619047619047616</v>
      </c>
      <c r="CF66">
        <f>'[24]Template '!$Z$30</f>
        <v>0</v>
      </c>
      <c r="CG66">
        <f>'[24]Template '!$AB$75</f>
        <v>0</v>
      </c>
      <c r="CH66">
        <f>'[24]Template '!$C$89</f>
        <v>0</v>
      </c>
      <c r="CI66">
        <f>'[24]Template '!$AF$75</f>
        <v>0</v>
      </c>
      <c r="CJ66">
        <f>'[24]Template '!$AR$97</f>
        <v>1</v>
      </c>
      <c r="CK66">
        <f>'[24]Template '!$AS$97</f>
        <v>1</v>
      </c>
      <c r="CL66">
        <f>'[24]Template '!$AZ$97</f>
        <v>0</v>
      </c>
      <c r="CM66">
        <f>'[24]Template '!$BB$97</f>
        <v>0</v>
      </c>
      <c r="CN66">
        <f>'[24]Template '!$AU$53</f>
        <v>1</v>
      </c>
      <c r="CO66">
        <f>'[24]Template '!$AV$53</f>
        <v>1</v>
      </c>
      <c r="CP66">
        <f>'[24]Template '!$AY$53</f>
        <v>0</v>
      </c>
      <c r="CQ66">
        <f>'[24]Template '!$AX$53</f>
        <v>1</v>
      </c>
      <c r="CR66">
        <f>'[24]Template '!$AZ$53</f>
        <v>0</v>
      </c>
      <c r="CS66">
        <f>'[24]Template '!$BF$53</f>
        <v>0</v>
      </c>
      <c r="CT66">
        <f t="shared" si="9"/>
        <v>0</v>
      </c>
      <c r="CU66">
        <f t="shared" si="10"/>
        <v>5</v>
      </c>
      <c r="CV66">
        <f t="shared" si="11"/>
        <v>5</v>
      </c>
      <c r="CY66" t="str">
        <f>'[24]Template '!$E$2</f>
        <v>A</v>
      </c>
      <c r="CZ66">
        <f>'[24]Template '!$B$13</f>
        <v>1</v>
      </c>
      <c r="DA66">
        <f>'[24]Template '!$D$2</f>
        <v>3</v>
      </c>
      <c r="DB66">
        <f>'[24]Template '!$D$3</f>
        <v>45104</v>
      </c>
      <c r="DC66">
        <f>'[24]Template '!$F$2</f>
        <v>45226</v>
      </c>
      <c r="DE66">
        <f>'[24]Template '!$B$12</f>
        <v>22</v>
      </c>
      <c r="DF66" t="str">
        <f>'[24]Template '!$B$14</f>
        <v>3/21</v>
      </c>
      <c r="DG66" t="str">
        <f>'[24]Template '!$B$15</f>
        <v>8/21</v>
      </c>
      <c r="DH66">
        <f>'[24]Template '!$B$16</f>
        <v>12</v>
      </c>
      <c r="DI66">
        <f>'[24]Template '!$B$17</f>
        <v>0</v>
      </c>
      <c r="DJ66">
        <f>'[24]Template '!$B$18</f>
        <v>0</v>
      </c>
      <c r="DK66">
        <f>'[24]Template '!$B$19</f>
        <v>1</v>
      </c>
      <c r="DL66">
        <f>'[24]Template '!$B$20</f>
        <v>1</v>
      </c>
      <c r="DM66">
        <f>'[24]Template '!$B$21</f>
        <v>0</v>
      </c>
      <c r="DN66">
        <f>'[24]Template '!$B$22</f>
        <v>0</v>
      </c>
      <c r="DP66">
        <f>'[24]Template '!$I$13</f>
        <v>4</v>
      </c>
      <c r="DQ66">
        <f>'[24]Template '!$I$14</f>
        <v>4</v>
      </c>
      <c r="DR66">
        <f>'[24]Template '!$I$15</f>
        <v>4</v>
      </c>
      <c r="DS66">
        <f>'[24]Template '!$I$16</f>
        <v>4</v>
      </c>
      <c r="DT66">
        <f>'[24]Template '!$I$17</f>
        <v>5</v>
      </c>
      <c r="DU66">
        <f>'[24]Template '!$I$18</f>
        <v>5</v>
      </c>
      <c r="DV66">
        <f>'[24]Template '!$I$19</f>
        <v>5</v>
      </c>
      <c r="DW66">
        <f>'[24]Template '!$I$20</f>
        <v>1</v>
      </c>
      <c r="DX66">
        <f>'[24]Template '!$I$21</f>
        <v>5</v>
      </c>
      <c r="DY66">
        <f>'[24]Template '!$I$22</f>
        <v>3</v>
      </c>
      <c r="DZ66">
        <f>'[24]Template '!$I$23</f>
        <v>5</v>
      </c>
      <c r="EA66">
        <f>'[24]Template '!$I$24</f>
        <v>0</v>
      </c>
      <c r="ED66">
        <f>'[24]Template '!$L$13</f>
        <v>4</v>
      </c>
      <c r="EE66">
        <f>'[24]Template '!$L$14</f>
        <v>4</v>
      </c>
      <c r="EF66">
        <f>'[24]Template '!$L$15</f>
        <v>4</v>
      </c>
      <c r="EG66">
        <f>'[24]Template '!$L$16</f>
        <v>4</v>
      </c>
      <c r="EH66">
        <f>'[24]Template '!$L$17</f>
        <v>1</v>
      </c>
      <c r="EI66">
        <f>'[24]Template '!$L$18</f>
        <v>2</v>
      </c>
      <c r="EJ66">
        <f>'[24]Template '!$L$19</f>
        <v>5</v>
      </c>
      <c r="EK66">
        <f>'[24]Template '!$L$20</f>
        <v>3</v>
      </c>
      <c r="EL66">
        <f>'[24]Template '!$L$21</f>
        <v>3</v>
      </c>
      <c r="EM66">
        <f>'[24]Template '!$L$22</f>
        <v>4</v>
      </c>
      <c r="EN66">
        <f>'[24]Template '!$L$23</f>
        <v>5</v>
      </c>
      <c r="EQ66">
        <f>'[24]Template '!$O$13</f>
        <v>5</v>
      </c>
      <c r="ER66">
        <f>'[24]Template '!$O$14</f>
        <v>1</v>
      </c>
      <c r="ES66">
        <f>'[24]Template '!$O$15</f>
        <v>1</v>
      </c>
      <c r="ET66">
        <f>'[24]Template '!$O$16</f>
        <v>2</v>
      </c>
      <c r="EU66">
        <f>'[24]Template '!$O$17</f>
        <v>5</v>
      </c>
      <c r="EV66">
        <f>'[24]Template '!$O$18</f>
        <v>1</v>
      </c>
      <c r="EW66">
        <f>'[24]Template '!$O$19</f>
        <v>1</v>
      </c>
      <c r="EX66">
        <f>'[24]Template '!$O$20</f>
        <v>3</v>
      </c>
      <c r="EY66">
        <f>'[24]Template '!$O$21</f>
        <v>1</v>
      </c>
      <c r="EZ66">
        <f>'[24]Template '!$O$22</f>
        <v>1</v>
      </c>
      <c r="FA66">
        <f>'[24]Template '!$O$23</f>
        <v>1</v>
      </c>
      <c r="FL66">
        <f>'[24]Template '!$D$5</f>
        <v>0.44866071428571425</v>
      </c>
      <c r="FM66">
        <f>'[24]Template '!$D$6</f>
        <v>0.57637987012987013</v>
      </c>
      <c r="FN66">
        <f>'[24]Template '!$D$7</f>
        <v>0.4121164021164021</v>
      </c>
      <c r="FO66">
        <f>'[24]Template '!$D$8</f>
        <v>0.66273809523809524</v>
      </c>
      <c r="FP66">
        <f>'[24]Template '!$D$9</f>
        <v>0.52497377044252036</v>
      </c>
      <c r="FR66">
        <f>'[24]Template '!$E$5</f>
        <v>0.42752100840336132</v>
      </c>
      <c r="FS66">
        <f>'[24]Template '!$E$6</f>
        <v>0.53024891774891769</v>
      </c>
      <c r="FT66">
        <f>'[24]Template '!$E$7</f>
        <v>0.40841269841269839</v>
      </c>
      <c r="FU66">
        <f>'[24]Template '!$E$8</f>
        <v>0.61425324675324666</v>
      </c>
      <c r="FV66">
        <f>'[24]Template '!$E$9</f>
        <v>0.49510896782955599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AA88-6D0E-4640-ADD6-27FE4740AEC5}">
  <sheetPr>
    <tabColor rgb="FF00B050"/>
  </sheetPr>
  <dimension ref="A1:FV66"/>
  <sheetViews>
    <sheetView tabSelected="1" topLeftCell="A9" workbookViewId="0">
      <pane xSplit="1" topLeftCell="BW1" activePane="topRight" state="frozen"/>
      <selection pane="topRight" activeCell="CF4" sqref="CF4"/>
    </sheetView>
  </sheetViews>
  <sheetFormatPr baseColWidth="10" defaultColWidth="8.83203125" defaultRowHeight="15" x14ac:dyDescent="0.2"/>
  <cols>
    <col min="12" max="12" width="4.1640625" customWidth="1"/>
    <col min="17" max="17" width="9.1640625" customWidth="1"/>
    <col min="19" max="19" width="4" customWidth="1"/>
    <col min="25" max="25" width="4" customWidth="1"/>
    <col min="32" max="32" width="3.1640625" customWidth="1"/>
    <col min="38" max="38" width="4.33203125" customWidth="1"/>
    <col min="45" max="45" width="3.33203125" customWidth="1"/>
    <col min="110" max="110" width="16.33203125" customWidth="1"/>
    <col min="111" max="111" width="13.83203125" customWidth="1"/>
    <col min="112" max="112" width="16.1640625" customWidth="1"/>
    <col min="113" max="113" width="16" customWidth="1"/>
    <col min="114" max="114" width="11.33203125" customWidth="1"/>
    <col min="115" max="115" width="15.6640625" customWidth="1"/>
    <col min="132" max="132" width="4.83203125" customWidth="1"/>
    <col min="164" max="164" width="22.83203125" customWidth="1"/>
    <col min="165" max="165" width="14.83203125" customWidth="1"/>
  </cols>
  <sheetData>
    <row r="1" spans="1:178" x14ac:dyDescent="0.2">
      <c r="A1" s="1" t="s">
        <v>0</v>
      </c>
      <c r="G1" s="1" t="s">
        <v>1</v>
      </c>
      <c r="M1" t="s">
        <v>160</v>
      </c>
      <c r="Z1" t="s">
        <v>160</v>
      </c>
      <c r="AM1" t="s">
        <v>160</v>
      </c>
      <c r="AZ1" t="s">
        <v>160</v>
      </c>
      <c r="CF1" t="s">
        <v>2</v>
      </c>
      <c r="DP1" t="s">
        <v>9</v>
      </c>
      <c r="DW1" t="s">
        <v>3</v>
      </c>
      <c r="ED1" t="s">
        <v>10</v>
      </c>
    </row>
    <row r="2" spans="1:178" x14ac:dyDescent="0.2">
      <c r="BG2" s="1" t="s">
        <v>161</v>
      </c>
      <c r="DF2" t="s">
        <v>6</v>
      </c>
      <c r="DG2" t="s">
        <v>149</v>
      </c>
      <c r="DI2" t="s">
        <v>7</v>
      </c>
      <c r="DM2" t="s">
        <v>8</v>
      </c>
      <c r="DP2" t="s">
        <v>162</v>
      </c>
      <c r="DQ2" t="s">
        <v>163</v>
      </c>
      <c r="DR2" t="s">
        <v>164</v>
      </c>
      <c r="DS2" t="s">
        <v>165</v>
      </c>
      <c r="DT2" t="s">
        <v>166</v>
      </c>
      <c r="DU2" t="s">
        <v>167</v>
      </c>
      <c r="DV2" t="s">
        <v>168</v>
      </c>
      <c r="DW2" t="s">
        <v>169</v>
      </c>
      <c r="DX2" t="s">
        <v>170</v>
      </c>
      <c r="DY2" t="s">
        <v>171</v>
      </c>
      <c r="DZ2" t="s">
        <v>172</v>
      </c>
      <c r="EA2" t="s">
        <v>173</v>
      </c>
      <c r="ED2" t="s">
        <v>174</v>
      </c>
      <c r="EE2" t="s">
        <v>175</v>
      </c>
      <c r="EF2" t="s">
        <v>176</v>
      </c>
      <c r="EG2" t="s">
        <v>177</v>
      </c>
      <c r="EH2" t="s">
        <v>178</v>
      </c>
      <c r="EI2" t="s">
        <v>179</v>
      </c>
      <c r="EJ2" t="s">
        <v>180</v>
      </c>
      <c r="EK2" t="s">
        <v>181</v>
      </c>
      <c r="EL2" t="s">
        <v>182</v>
      </c>
      <c r="EM2" t="s">
        <v>183</v>
      </c>
      <c r="EN2" t="s">
        <v>184</v>
      </c>
      <c r="EQ2" t="s">
        <v>11</v>
      </c>
      <c r="FC2" t="s">
        <v>12</v>
      </c>
      <c r="FE2" t="s">
        <v>13</v>
      </c>
      <c r="FF2" t="s">
        <v>1</v>
      </c>
      <c r="FH2" t="s">
        <v>2</v>
      </c>
      <c r="FI2" t="s">
        <v>2</v>
      </c>
      <c r="FJ2" t="s">
        <v>14</v>
      </c>
    </row>
    <row r="3" spans="1:178" x14ac:dyDescent="0.2">
      <c r="E3" t="s">
        <v>15</v>
      </c>
      <c r="G3" t="s">
        <v>16</v>
      </c>
      <c r="N3" t="s">
        <v>185</v>
      </c>
      <c r="O3" t="s">
        <v>186</v>
      </c>
      <c r="T3" t="s">
        <v>17</v>
      </c>
      <c r="AA3" t="s">
        <v>185</v>
      </c>
      <c r="AB3" t="s">
        <v>186</v>
      </c>
      <c r="AG3" t="s">
        <v>18</v>
      </c>
      <c r="AN3" t="s">
        <v>185</v>
      </c>
      <c r="AO3" t="s">
        <v>186</v>
      </c>
      <c r="AT3" t="s">
        <v>19</v>
      </c>
      <c r="BA3" t="s">
        <v>185</v>
      </c>
      <c r="BB3" t="s">
        <v>186</v>
      </c>
      <c r="BG3" t="s">
        <v>16</v>
      </c>
      <c r="BM3" t="s">
        <v>19</v>
      </c>
      <c r="BS3" t="s">
        <v>17</v>
      </c>
      <c r="BY3" t="s">
        <v>187</v>
      </c>
      <c r="CF3" s="1" t="s">
        <v>16</v>
      </c>
      <c r="CG3" s="1" t="s">
        <v>17</v>
      </c>
      <c r="CH3" s="1"/>
      <c r="CI3" s="1"/>
      <c r="CJ3" s="1" t="s">
        <v>18</v>
      </c>
      <c r="CK3" s="1"/>
      <c r="CL3" s="1"/>
      <c r="CM3" s="1"/>
      <c r="CN3" s="1" t="s">
        <v>19</v>
      </c>
      <c r="CT3" t="s">
        <v>146</v>
      </c>
      <c r="CU3" t="s">
        <v>147</v>
      </c>
      <c r="CV3" t="s">
        <v>148</v>
      </c>
      <c r="CX3" t="s">
        <v>20</v>
      </c>
      <c r="DA3" t="s">
        <v>21</v>
      </c>
      <c r="DB3" t="s">
        <v>21</v>
      </c>
      <c r="DC3" t="s">
        <v>22</v>
      </c>
      <c r="DF3" t="s">
        <v>24</v>
      </c>
      <c r="DG3" t="s">
        <v>150</v>
      </c>
      <c r="DH3" t="s">
        <v>25</v>
      </c>
      <c r="DI3" t="s">
        <v>26</v>
      </c>
      <c r="DJ3" t="s">
        <v>8</v>
      </c>
      <c r="DK3" t="s">
        <v>27</v>
      </c>
      <c r="DL3" t="s">
        <v>8</v>
      </c>
      <c r="DM3" t="s">
        <v>28</v>
      </c>
      <c r="DN3" t="s">
        <v>29</v>
      </c>
      <c r="DP3" t="s">
        <v>30</v>
      </c>
      <c r="DQ3" t="s">
        <v>31</v>
      </c>
      <c r="DR3" t="s">
        <v>32</v>
      </c>
      <c r="DS3" t="s">
        <v>33</v>
      </c>
      <c r="DT3" t="s">
        <v>34</v>
      </c>
      <c r="DU3" t="s">
        <v>35</v>
      </c>
      <c r="DV3" t="s">
        <v>36</v>
      </c>
      <c r="DW3" t="s">
        <v>37</v>
      </c>
      <c r="DX3" t="s">
        <v>38</v>
      </c>
      <c r="DY3" t="s">
        <v>39</v>
      </c>
      <c r="DZ3" t="s">
        <v>40</v>
      </c>
      <c r="EA3" t="s">
        <v>41</v>
      </c>
      <c r="ED3" t="s">
        <v>30</v>
      </c>
      <c r="EE3" t="s">
        <v>31</v>
      </c>
      <c r="EF3" t="s">
        <v>32</v>
      </c>
      <c r="EG3" t="s">
        <v>33</v>
      </c>
      <c r="EH3" t="s">
        <v>34</v>
      </c>
      <c r="EI3" t="s">
        <v>35</v>
      </c>
      <c r="EJ3" t="s">
        <v>36</v>
      </c>
      <c r="EK3" t="s">
        <v>37</v>
      </c>
      <c r="EL3" t="s">
        <v>38</v>
      </c>
      <c r="EM3" t="s">
        <v>39</v>
      </c>
      <c r="EN3" t="s">
        <v>40</v>
      </c>
      <c r="FH3" t="s">
        <v>42</v>
      </c>
      <c r="FI3" t="s">
        <v>43</v>
      </c>
      <c r="FL3" t="s">
        <v>188</v>
      </c>
      <c r="FR3" t="s">
        <v>189</v>
      </c>
    </row>
    <row r="4" spans="1:178" x14ac:dyDescent="0.2">
      <c r="A4" t="s">
        <v>45</v>
      </c>
      <c r="C4" t="s">
        <v>46</v>
      </c>
      <c r="E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M4" s="25" t="s">
        <v>190</v>
      </c>
      <c r="N4" s="25" t="s">
        <v>191</v>
      </c>
      <c r="O4" s="24" t="s">
        <v>192</v>
      </c>
      <c r="P4" s="24" t="s">
        <v>193</v>
      </c>
      <c r="Q4" s="24" t="s">
        <v>194</v>
      </c>
      <c r="R4" s="24" t="s">
        <v>195</v>
      </c>
      <c r="S4" s="24"/>
      <c r="T4" t="s">
        <v>48</v>
      </c>
      <c r="U4" t="s">
        <v>49</v>
      </c>
      <c r="V4" t="s">
        <v>50</v>
      </c>
      <c r="W4" t="s">
        <v>51</v>
      </c>
      <c r="X4" t="s">
        <v>52</v>
      </c>
      <c r="Z4" t="s">
        <v>190</v>
      </c>
      <c r="AA4" t="s">
        <v>191</v>
      </c>
      <c r="AB4" t="s">
        <v>192</v>
      </c>
      <c r="AC4" t="s">
        <v>193</v>
      </c>
      <c r="AD4" t="s">
        <v>194</v>
      </c>
      <c r="AE4" t="s">
        <v>195</v>
      </c>
      <c r="AG4" t="s">
        <v>48</v>
      </c>
      <c r="AH4" t="s">
        <v>49</v>
      </c>
      <c r="AI4" t="s">
        <v>50</v>
      </c>
      <c r="AJ4" t="s">
        <v>51</v>
      </c>
      <c r="AK4" t="s">
        <v>52</v>
      </c>
      <c r="AM4" t="s">
        <v>190</v>
      </c>
      <c r="AN4" t="s">
        <v>191</v>
      </c>
      <c r="AO4" t="s">
        <v>192</v>
      </c>
      <c r="AP4" t="s">
        <v>193</v>
      </c>
      <c r="AQ4" t="s">
        <v>194</v>
      </c>
      <c r="AR4" t="s">
        <v>195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Z4" t="s">
        <v>190</v>
      </c>
      <c r="BA4" t="s">
        <v>191</v>
      </c>
      <c r="BB4" t="s">
        <v>192</v>
      </c>
      <c r="BC4" t="s">
        <v>193</v>
      </c>
      <c r="BD4" t="s">
        <v>194</v>
      </c>
      <c r="BE4" t="s">
        <v>195</v>
      </c>
      <c r="BG4" t="s">
        <v>48</v>
      </c>
      <c r="BH4" t="s">
        <v>49</v>
      </c>
      <c r="BI4" t="s">
        <v>50</v>
      </c>
      <c r="BJ4" t="s">
        <v>51</v>
      </c>
      <c r="BK4" t="s">
        <v>52</v>
      </c>
      <c r="BM4" t="s">
        <v>48</v>
      </c>
      <c r="BN4" t="s">
        <v>49</v>
      </c>
      <c r="BO4" t="s">
        <v>50</v>
      </c>
      <c r="BP4" t="s">
        <v>51</v>
      </c>
      <c r="BQ4" t="s">
        <v>52</v>
      </c>
      <c r="BS4" t="s">
        <v>48</v>
      </c>
      <c r="BT4" t="s">
        <v>49</v>
      </c>
      <c r="BU4" t="s">
        <v>50</v>
      </c>
      <c r="BV4" t="s">
        <v>51</v>
      </c>
      <c r="BW4" t="s">
        <v>52</v>
      </c>
      <c r="BY4" t="s">
        <v>48</v>
      </c>
      <c r="BZ4" t="s">
        <v>49</v>
      </c>
      <c r="CA4" t="s">
        <v>50</v>
      </c>
      <c r="CB4" t="s">
        <v>51</v>
      </c>
      <c r="CC4" t="s">
        <v>52</v>
      </c>
      <c r="CF4" t="s">
        <v>53</v>
      </c>
      <c r="CG4" t="s">
        <v>54</v>
      </c>
      <c r="CH4" t="s">
        <v>55</v>
      </c>
      <c r="CI4" t="s">
        <v>56</v>
      </c>
      <c r="CJ4" t="s">
        <v>57</v>
      </c>
      <c r="CK4" t="s">
        <v>58</v>
      </c>
      <c r="CL4" t="s">
        <v>59</v>
      </c>
      <c r="CM4" t="s">
        <v>60</v>
      </c>
      <c r="CN4" t="s">
        <v>61</v>
      </c>
      <c r="CO4" t="s">
        <v>62</v>
      </c>
      <c r="CP4" t="s">
        <v>63</v>
      </c>
      <c r="CQ4" t="s">
        <v>64</v>
      </c>
      <c r="CR4" t="s">
        <v>65</v>
      </c>
      <c r="CS4" t="s">
        <v>66</v>
      </c>
      <c r="CX4" t="s">
        <v>67</v>
      </c>
      <c r="CY4" t="s">
        <v>68</v>
      </c>
      <c r="CZ4" t="s">
        <v>69</v>
      </c>
      <c r="DA4" t="s">
        <v>70</v>
      </c>
      <c r="DB4" t="s">
        <v>71</v>
      </c>
      <c r="DC4" t="s">
        <v>71</v>
      </c>
      <c r="DE4" t="s">
        <v>73</v>
      </c>
      <c r="DF4" t="s">
        <v>74</v>
      </c>
      <c r="DG4" t="s">
        <v>74</v>
      </c>
      <c r="DH4" t="s">
        <v>75</v>
      </c>
      <c r="DI4" t="s">
        <v>76</v>
      </c>
      <c r="DJ4" t="s">
        <v>77</v>
      </c>
      <c r="DK4" t="s">
        <v>78</v>
      </c>
      <c r="DL4" t="s">
        <v>79</v>
      </c>
      <c r="DM4" t="s">
        <v>80</v>
      </c>
      <c r="DN4" t="s">
        <v>81</v>
      </c>
      <c r="DP4" t="s">
        <v>82</v>
      </c>
      <c r="DQ4" t="s">
        <v>83</v>
      </c>
      <c r="DR4" t="s">
        <v>84</v>
      </c>
      <c r="DS4" t="s">
        <v>85</v>
      </c>
      <c r="DT4" t="s">
        <v>86</v>
      </c>
      <c r="DU4" t="s">
        <v>87</v>
      </c>
      <c r="DV4" t="s">
        <v>88</v>
      </c>
      <c r="DW4" t="s">
        <v>89</v>
      </c>
      <c r="DX4" t="s">
        <v>90</v>
      </c>
      <c r="DY4" t="s">
        <v>91</v>
      </c>
      <c r="DZ4" t="s">
        <v>92</v>
      </c>
      <c r="EA4" t="s">
        <v>93</v>
      </c>
      <c r="ED4" t="s">
        <v>82</v>
      </c>
      <c r="EE4" t="s">
        <v>83</v>
      </c>
      <c r="EF4" t="s">
        <v>84</v>
      </c>
      <c r="EG4" t="s">
        <v>85</v>
      </c>
      <c r="EH4" t="s">
        <v>86</v>
      </c>
      <c r="EI4" t="s">
        <v>87</v>
      </c>
      <c r="EJ4" t="s">
        <v>88</v>
      </c>
      <c r="EK4" t="s">
        <v>89</v>
      </c>
      <c r="EL4" t="s">
        <v>90</v>
      </c>
      <c r="EM4" t="s">
        <v>91</v>
      </c>
      <c r="EN4" t="s">
        <v>92</v>
      </c>
      <c r="EQ4" t="s">
        <v>94</v>
      </c>
      <c r="ER4" t="s">
        <v>16</v>
      </c>
      <c r="ES4" t="s">
        <v>95</v>
      </c>
      <c r="ET4" t="s">
        <v>18</v>
      </c>
      <c r="EU4" t="s">
        <v>96</v>
      </c>
      <c r="EV4" t="s">
        <v>19</v>
      </c>
      <c r="EW4" t="s">
        <v>97</v>
      </c>
      <c r="EX4" t="s">
        <v>98</v>
      </c>
      <c r="EY4" t="s">
        <v>99</v>
      </c>
      <c r="EZ4" t="s">
        <v>100</v>
      </c>
      <c r="FA4" t="s">
        <v>17</v>
      </c>
      <c r="FL4" t="s">
        <v>16</v>
      </c>
      <c r="FM4" t="s">
        <v>17</v>
      </c>
      <c r="FN4" t="s">
        <v>19</v>
      </c>
      <c r="FO4" t="s">
        <v>18</v>
      </c>
      <c r="FP4" t="s">
        <v>4</v>
      </c>
      <c r="FR4" t="s">
        <v>16</v>
      </c>
      <c r="FS4" t="s">
        <v>17</v>
      </c>
      <c r="FT4" t="s">
        <v>19</v>
      </c>
      <c r="FU4" t="s">
        <v>18</v>
      </c>
      <c r="FV4" t="s">
        <v>4</v>
      </c>
    </row>
    <row r="5" spans="1:178" s="28" customFormat="1" ht="15.75" customHeight="1" x14ac:dyDescent="0.2">
      <c r="A5" s="28" t="s">
        <v>196</v>
      </c>
      <c r="C5" s="28" t="s">
        <v>197</v>
      </c>
      <c r="E5" s="28" t="s">
        <v>198</v>
      </c>
      <c r="G5" s="28">
        <v>0.3888888888888889</v>
      </c>
      <c r="H5" s="28" t="s">
        <v>111</v>
      </c>
      <c r="I5" s="28">
        <v>0.41666666666666663</v>
      </c>
      <c r="J5" s="28">
        <v>0.75735294117647056</v>
      </c>
      <c r="K5" s="28">
        <v>0.72619047619047616</v>
      </c>
      <c r="M5" s="28">
        <v>1200</v>
      </c>
      <c r="N5" s="28">
        <v>10</v>
      </c>
      <c r="O5" s="28">
        <v>2</v>
      </c>
      <c r="P5" s="28">
        <v>1</v>
      </c>
      <c r="Q5" s="28">
        <v>3</v>
      </c>
      <c r="R5" s="28">
        <v>2</v>
      </c>
      <c r="T5" s="28">
        <v>0.29090909090909089</v>
      </c>
      <c r="U5" s="28" t="s">
        <v>111</v>
      </c>
      <c r="V5" s="28">
        <v>0.4642857142857143</v>
      </c>
      <c r="W5" s="28">
        <v>0.45238095238095233</v>
      </c>
      <c r="X5" s="28">
        <v>0.20634920634920637</v>
      </c>
      <c r="Z5" s="28">
        <v>1200</v>
      </c>
      <c r="AA5" s="28">
        <v>10</v>
      </c>
      <c r="AB5" s="28">
        <v>2</v>
      </c>
      <c r="AC5" s="28">
        <v>1</v>
      </c>
      <c r="AD5" s="28">
        <v>3</v>
      </c>
      <c r="AE5" s="28">
        <v>2</v>
      </c>
      <c r="AG5" s="28">
        <v>0.66666666666666663</v>
      </c>
      <c r="AH5" s="28">
        <v>0.57777777777777783</v>
      </c>
      <c r="AI5" s="28">
        <v>0.5</v>
      </c>
      <c r="AJ5" s="28">
        <v>0.81746031746031733</v>
      </c>
      <c r="AK5" s="28">
        <v>0.7150793650793652</v>
      </c>
      <c r="AM5" s="28">
        <v>1266</v>
      </c>
      <c r="AN5" s="28">
        <v>60</v>
      </c>
      <c r="AO5" s="28">
        <v>4</v>
      </c>
      <c r="AP5" s="28">
        <v>3</v>
      </c>
      <c r="AQ5" s="28">
        <v>3</v>
      </c>
      <c r="AR5" s="28">
        <v>3</v>
      </c>
      <c r="AT5" s="28">
        <v>0.58333333333333337</v>
      </c>
      <c r="AU5" s="28">
        <v>0.57777777777777783</v>
      </c>
      <c r="AV5" s="28">
        <v>0.5</v>
      </c>
      <c r="AW5" s="28">
        <v>0.14583333333333334</v>
      </c>
      <c r="AX5" s="28">
        <v>0.56507936507936507</v>
      </c>
      <c r="AZ5" s="28">
        <v>1200</v>
      </c>
      <c r="BA5" s="28">
        <v>40</v>
      </c>
      <c r="BB5" s="28">
        <v>3</v>
      </c>
      <c r="BC5" s="28">
        <v>3</v>
      </c>
      <c r="BD5" s="28">
        <v>3</v>
      </c>
      <c r="BE5" s="28">
        <v>3</v>
      </c>
      <c r="BG5" s="28">
        <v>0.3888888888888889</v>
      </c>
      <c r="BH5" s="28" t="s">
        <v>111</v>
      </c>
      <c r="BI5" s="28">
        <v>0.41666666666666663</v>
      </c>
      <c r="BJ5" s="28">
        <v>0.875</v>
      </c>
      <c r="BK5" s="28">
        <v>0.72619047619047616</v>
      </c>
      <c r="BM5" s="28">
        <v>0.75</v>
      </c>
      <c r="BN5" s="28">
        <v>0.57777777777777783</v>
      </c>
      <c r="BO5" s="28">
        <v>0.5</v>
      </c>
      <c r="BP5" s="28">
        <v>0.19444444444444442</v>
      </c>
      <c r="BQ5" s="28">
        <v>0.56507936507936507</v>
      </c>
      <c r="BS5" s="28">
        <v>0.29090909090909089</v>
      </c>
      <c r="BT5" s="28" t="s">
        <v>111</v>
      </c>
      <c r="BU5" s="28">
        <v>0.4642857142857143</v>
      </c>
      <c r="BV5" s="28">
        <v>0.33333333333333331</v>
      </c>
      <c r="BW5" s="28">
        <v>0.20634920634920637</v>
      </c>
      <c r="BY5" s="28">
        <v>0.66666666666666663</v>
      </c>
      <c r="BZ5" s="28">
        <v>0.57777777777777783</v>
      </c>
      <c r="CA5" s="28">
        <v>0.5</v>
      </c>
      <c r="CB5" s="28">
        <v>0.80555555555555547</v>
      </c>
      <c r="CC5" s="28">
        <v>0.7150793650793652</v>
      </c>
      <c r="CF5" s="28">
        <v>1</v>
      </c>
      <c r="CG5" s="28">
        <v>0</v>
      </c>
      <c r="CH5" s="28">
        <v>0</v>
      </c>
      <c r="CI5" s="28">
        <v>0</v>
      </c>
      <c r="CJ5" s="28">
        <v>1</v>
      </c>
      <c r="CK5" s="28">
        <v>1</v>
      </c>
      <c r="CL5" s="28">
        <v>1</v>
      </c>
      <c r="CM5" s="28">
        <v>1</v>
      </c>
      <c r="CN5" s="28">
        <v>0</v>
      </c>
      <c r="CO5" s="28">
        <v>0</v>
      </c>
      <c r="CP5" s="28">
        <v>0</v>
      </c>
      <c r="CQ5" s="28">
        <v>0</v>
      </c>
      <c r="CR5" s="28">
        <v>0</v>
      </c>
      <c r="CS5" s="28">
        <v>0</v>
      </c>
      <c r="CT5" s="28">
        <v>1</v>
      </c>
      <c r="CU5" s="28">
        <v>4</v>
      </c>
      <c r="CV5" s="28">
        <v>5</v>
      </c>
      <c r="CY5" s="28" t="s">
        <v>199</v>
      </c>
      <c r="CZ5" s="28">
        <v>1</v>
      </c>
      <c r="DA5" s="28" t="s">
        <v>111</v>
      </c>
      <c r="DB5" s="28">
        <v>0</v>
      </c>
      <c r="DC5" s="29">
        <v>45419</v>
      </c>
      <c r="DE5" s="28">
        <v>27</v>
      </c>
      <c r="DF5" s="30" t="s">
        <v>200</v>
      </c>
      <c r="DG5" s="28" t="s">
        <v>201</v>
      </c>
      <c r="DH5" s="28">
        <v>72</v>
      </c>
      <c r="DI5" s="28">
        <v>0</v>
      </c>
      <c r="DJ5" s="28">
        <v>0</v>
      </c>
      <c r="DK5" s="28">
        <v>1</v>
      </c>
      <c r="DL5" s="28">
        <v>1</v>
      </c>
      <c r="DM5" s="28">
        <v>0</v>
      </c>
      <c r="DN5" s="28">
        <v>1</v>
      </c>
      <c r="DP5" s="28">
        <v>4</v>
      </c>
      <c r="DQ5" s="28">
        <v>4</v>
      </c>
      <c r="DR5" s="28">
        <v>4</v>
      </c>
      <c r="DS5" s="28">
        <v>4</v>
      </c>
      <c r="DT5" s="28">
        <v>4</v>
      </c>
      <c r="DU5" s="28">
        <v>3</v>
      </c>
      <c r="DV5" s="28">
        <v>4</v>
      </c>
      <c r="DW5" s="28">
        <v>2</v>
      </c>
      <c r="DX5" s="28">
        <v>4</v>
      </c>
      <c r="DY5" s="28">
        <v>3</v>
      </c>
      <c r="DZ5" s="28">
        <v>5</v>
      </c>
      <c r="EA5" s="28">
        <v>0</v>
      </c>
      <c r="ED5" s="28">
        <v>4</v>
      </c>
      <c r="EE5" s="28">
        <v>4</v>
      </c>
      <c r="EF5" s="28">
        <v>4</v>
      </c>
      <c r="EG5" s="28">
        <v>2</v>
      </c>
      <c r="EH5" s="28">
        <v>4</v>
      </c>
      <c r="EI5" s="28">
        <v>4</v>
      </c>
      <c r="EJ5" s="28">
        <v>5</v>
      </c>
      <c r="EK5" s="28">
        <v>2</v>
      </c>
      <c r="EL5" s="28">
        <v>3</v>
      </c>
      <c r="EM5" s="28">
        <v>3</v>
      </c>
      <c r="EN5" s="28">
        <v>5</v>
      </c>
      <c r="EQ5" s="28">
        <v>5</v>
      </c>
      <c r="ER5" s="28">
        <v>4</v>
      </c>
      <c r="ES5" s="28">
        <v>2</v>
      </c>
      <c r="ET5" s="28">
        <v>4</v>
      </c>
      <c r="EU5" s="28">
        <v>5</v>
      </c>
      <c r="EV5" s="28">
        <v>3</v>
      </c>
      <c r="EW5" s="28">
        <v>1</v>
      </c>
      <c r="EX5" s="28">
        <v>4</v>
      </c>
      <c r="EY5" s="28">
        <v>2</v>
      </c>
      <c r="EZ5" s="28">
        <v>4</v>
      </c>
      <c r="FA5" s="28">
        <v>2</v>
      </c>
      <c r="FL5" s="28">
        <v>0.60168650793650791</v>
      </c>
      <c r="FM5" s="28">
        <v>0.32371933621933618</v>
      </c>
      <c r="FN5" s="28">
        <v>0.5174603174603174</v>
      </c>
      <c r="FO5" s="28">
        <v>0.65301587301587305</v>
      </c>
      <c r="FP5" s="28">
        <v>0.52397050865800865</v>
      </c>
      <c r="FR5" s="28">
        <v>0.57227474323062555</v>
      </c>
      <c r="FS5" s="28">
        <v>0.35348124098124095</v>
      </c>
      <c r="FT5" s="28">
        <v>0.47440476190476188</v>
      </c>
      <c r="FU5" s="28">
        <v>0.65539682539682542</v>
      </c>
      <c r="FV5" s="28">
        <v>0.51388939287836344</v>
      </c>
    </row>
    <row r="6" spans="1:178" x14ac:dyDescent="0.2">
      <c r="A6" t="s">
        <v>202</v>
      </c>
      <c r="C6" t="s">
        <v>203</v>
      </c>
      <c r="E6" t="s">
        <v>198</v>
      </c>
      <c r="G6">
        <v>0.3888888888888889</v>
      </c>
      <c r="H6" t="s">
        <v>111</v>
      </c>
      <c r="I6">
        <v>0.5</v>
      </c>
      <c r="J6">
        <v>0.35294117647058826</v>
      </c>
      <c r="K6">
        <v>0.69246031746031733</v>
      </c>
      <c r="M6">
        <v>637</v>
      </c>
      <c r="N6">
        <v>27.5</v>
      </c>
      <c r="O6">
        <v>3.5</v>
      </c>
      <c r="P6">
        <v>2.5</v>
      </c>
      <c r="Q6">
        <v>3</v>
      </c>
      <c r="R6">
        <v>1.5</v>
      </c>
      <c r="T6">
        <v>0.60909090909090913</v>
      </c>
      <c r="U6" t="s">
        <v>111</v>
      </c>
      <c r="V6">
        <v>0.5357142857142857</v>
      </c>
      <c r="W6">
        <v>0.19047619047619047</v>
      </c>
      <c r="X6">
        <v>0.50595238095238093</v>
      </c>
      <c r="Z6">
        <v>637</v>
      </c>
      <c r="AA6">
        <v>27.5</v>
      </c>
      <c r="AB6">
        <v>3.5</v>
      </c>
      <c r="AC6">
        <v>2.5</v>
      </c>
      <c r="AD6">
        <v>3</v>
      </c>
      <c r="AE6">
        <v>1.5</v>
      </c>
      <c r="AG6">
        <v>0.75</v>
      </c>
      <c r="AH6">
        <v>0.57777777777777783</v>
      </c>
      <c r="AI6">
        <v>0.5</v>
      </c>
      <c r="AJ6">
        <v>0.5480434598081656</v>
      </c>
      <c r="AK6">
        <v>0.56309523809523798</v>
      </c>
      <c r="AM6">
        <v>1140</v>
      </c>
      <c r="AN6">
        <v>60</v>
      </c>
      <c r="AO6">
        <v>4</v>
      </c>
      <c r="AP6">
        <v>3</v>
      </c>
      <c r="AQ6">
        <v>4</v>
      </c>
      <c r="AR6">
        <v>3</v>
      </c>
      <c r="AT6">
        <v>0.75</v>
      </c>
      <c r="AU6">
        <v>0.57777777777777783</v>
      </c>
      <c r="AV6">
        <v>0.5</v>
      </c>
      <c r="AW6">
        <v>0.27083333333333331</v>
      </c>
      <c r="AX6">
        <v>0.7761904761904761</v>
      </c>
      <c r="AZ6">
        <v>1200</v>
      </c>
      <c r="BA6">
        <v>62.5</v>
      </c>
      <c r="BB6">
        <v>4</v>
      </c>
      <c r="BC6">
        <v>3</v>
      </c>
      <c r="BD6">
        <v>4</v>
      </c>
      <c r="BE6">
        <v>3.5</v>
      </c>
      <c r="BG6">
        <v>0.3888888888888889</v>
      </c>
      <c r="BH6" t="s">
        <v>111</v>
      </c>
      <c r="BI6">
        <v>0.5</v>
      </c>
      <c r="BJ6">
        <v>0.4375</v>
      </c>
      <c r="BK6">
        <v>0.69246031746031733</v>
      </c>
      <c r="BM6">
        <v>0.75</v>
      </c>
      <c r="BN6">
        <v>0.57777777777777783</v>
      </c>
      <c r="BO6">
        <v>0.5</v>
      </c>
      <c r="BP6">
        <v>0.33333333333333331</v>
      </c>
      <c r="BQ6">
        <v>0.7761904761904761</v>
      </c>
      <c r="BS6">
        <v>0.60909090909090913</v>
      </c>
      <c r="BT6" t="s">
        <v>111</v>
      </c>
      <c r="BU6">
        <v>0.5357142857142857</v>
      </c>
      <c r="BV6">
        <v>0.375</v>
      </c>
      <c r="BW6">
        <v>0.50595238095238093</v>
      </c>
      <c r="BY6">
        <v>0.75</v>
      </c>
      <c r="BZ6">
        <v>0.57777777777777783</v>
      </c>
      <c r="CA6">
        <v>0.5</v>
      </c>
      <c r="CB6">
        <v>0.75</v>
      </c>
      <c r="CC6">
        <v>0.56309523809523798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1</v>
      </c>
      <c r="CM6">
        <v>0</v>
      </c>
      <c r="CN6">
        <v>1</v>
      </c>
      <c r="CO6">
        <v>1</v>
      </c>
      <c r="CP6">
        <v>1</v>
      </c>
      <c r="CQ6">
        <v>0.5</v>
      </c>
      <c r="CR6">
        <v>0</v>
      </c>
      <c r="CS6">
        <v>0</v>
      </c>
      <c r="CT6">
        <v>0</v>
      </c>
      <c r="CU6">
        <v>5.5</v>
      </c>
      <c r="CV6">
        <v>5.5</v>
      </c>
      <c r="CY6" t="s">
        <v>199</v>
      </c>
      <c r="CZ6">
        <v>1</v>
      </c>
      <c r="DA6" t="s">
        <v>111</v>
      </c>
      <c r="DB6">
        <v>0</v>
      </c>
      <c r="DC6">
        <v>45387</v>
      </c>
      <c r="DE6">
        <v>37</v>
      </c>
      <c r="DF6" t="s">
        <v>204</v>
      </c>
      <c r="DG6" t="s">
        <v>204</v>
      </c>
      <c r="DH6">
        <v>36</v>
      </c>
      <c r="DI6">
        <v>0</v>
      </c>
      <c r="DJ6">
        <v>0</v>
      </c>
      <c r="DK6">
        <v>1</v>
      </c>
      <c r="DL6">
        <v>2</v>
      </c>
      <c r="DM6">
        <v>1</v>
      </c>
      <c r="DN6">
        <v>0</v>
      </c>
      <c r="DP6">
        <v>1</v>
      </c>
      <c r="DQ6">
        <v>4</v>
      </c>
      <c r="DR6">
        <v>4</v>
      </c>
      <c r="DS6">
        <v>4</v>
      </c>
      <c r="DT6">
        <v>4</v>
      </c>
      <c r="DU6">
        <v>3</v>
      </c>
      <c r="DV6">
        <v>5</v>
      </c>
      <c r="DW6">
        <v>4</v>
      </c>
      <c r="DX6">
        <v>5</v>
      </c>
      <c r="DY6">
        <v>5</v>
      </c>
      <c r="DZ6">
        <v>5</v>
      </c>
      <c r="EA6">
        <v>0</v>
      </c>
      <c r="ED6">
        <v>5</v>
      </c>
      <c r="EE6">
        <v>4</v>
      </c>
      <c r="EF6">
        <v>4</v>
      </c>
      <c r="EG6">
        <v>4</v>
      </c>
      <c r="EH6">
        <v>4</v>
      </c>
      <c r="EI6">
        <v>3</v>
      </c>
      <c r="EJ6">
        <v>5</v>
      </c>
      <c r="EK6">
        <v>4</v>
      </c>
      <c r="EL6">
        <v>4</v>
      </c>
      <c r="EM6">
        <v>4</v>
      </c>
      <c r="EN6">
        <v>5</v>
      </c>
      <c r="EQ6">
        <v>5</v>
      </c>
      <c r="ER6">
        <v>3</v>
      </c>
      <c r="ES6">
        <v>2</v>
      </c>
      <c r="ET6">
        <v>2</v>
      </c>
      <c r="EU6">
        <v>5</v>
      </c>
      <c r="EV6">
        <v>2</v>
      </c>
      <c r="EW6">
        <v>0</v>
      </c>
      <c r="EX6">
        <v>3</v>
      </c>
      <c r="EY6">
        <v>1</v>
      </c>
      <c r="EZ6">
        <v>1</v>
      </c>
      <c r="FA6">
        <v>1</v>
      </c>
      <c r="FL6">
        <v>0.50471230158730152</v>
      </c>
      <c r="FM6">
        <v>0.50643939393939397</v>
      </c>
      <c r="FN6">
        <v>0.58746031746031746</v>
      </c>
      <c r="FO6">
        <v>0.62817460317460316</v>
      </c>
      <c r="FP6">
        <v>0.55669665404040403</v>
      </c>
      <c r="FR6">
        <v>0.48357259570494859</v>
      </c>
      <c r="FS6">
        <v>0.46030844155844158</v>
      </c>
      <c r="FT6">
        <v>0.5749603174603175</v>
      </c>
      <c r="FU6">
        <v>0.58778329513623628</v>
      </c>
      <c r="FV6">
        <v>0.52665616246498592</v>
      </c>
    </row>
    <row r="7" spans="1:178" x14ac:dyDescent="0.2">
      <c r="A7" t="s">
        <v>205</v>
      </c>
      <c r="C7" t="s">
        <v>206</v>
      </c>
      <c r="E7" t="s">
        <v>198</v>
      </c>
      <c r="G7">
        <v>0.3888888888888889</v>
      </c>
      <c r="H7" t="s">
        <v>111</v>
      </c>
      <c r="I7">
        <v>0.58333333333333326</v>
      </c>
      <c r="J7">
        <v>0.60294117647058831</v>
      </c>
      <c r="K7">
        <v>0.71626984126984128</v>
      </c>
      <c r="M7">
        <v>1200</v>
      </c>
      <c r="N7">
        <v>30</v>
      </c>
      <c r="O7">
        <v>3</v>
      </c>
      <c r="P7">
        <v>3</v>
      </c>
      <c r="Q7">
        <v>2</v>
      </c>
      <c r="R7">
        <v>2</v>
      </c>
      <c r="T7">
        <v>0.51818181818181819</v>
      </c>
      <c r="U7" t="s">
        <v>111</v>
      </c>
      <c r="V7">
        <v>0.4642857142857143</v>
      </c>
      <c r="W7">
        <v>0.64285714285714279</v>
      </c>
      <c r="X7">
        <v>0.50595238095238093</v>
      </c>
      <c r="Z7">
        <v>1200</v>
      </c>
      <c r="AA7">
        <v>30</v>
      </c>
      <c r="AB7">
        <v>3</v>
      </c>
      <c r="AC7">
        <v>3</v>
      </c>
      <c r="AD7">
        <v>2</v>
      </c>
      <c r="AE7">
        <v>2</v>
      </c>
      <c r="AG7">
        <v>0.75</v>
      </c>
      <c r="AH7">
        <v>0.27777777777777779</v>
      </c>
      <c r="AI7">
        <v>0.5</v>
      </c>
      <c r="AJ7">
        <v>0.88888888888888884</v>
      </c>
      <c r="AK7">
        <v>0.89523809523809517</v>
      </c>
      <c r="AM7">
        <v>1149</v>
      </c>
      <c r="AN7">
        <v>65</v>
      </c>
      <c r="AO7">
        <v>2.5</v>
      </c>
      <c r="AP7">
        <v>3.5</v>
      </c>
      <c r="AQ7">
        <v>4.5</v>
      </c>
      <c r="AR7">
        <v>4</v>
      </c>
      <c r="AT7">
        <v>0.75</v>
      </c>
      <c r="AU7">
        <v>0.27777777777777779</v>
      </c>
      <c r="AV7">
        <v>0.5</v>
      </c>
      <c r="AW7">
        <v>0.23958333333333334</v>
      </c>
      <c r="AX7">
        <v>0.57301587301587309</v>
      </c>
      <c r="AZ7">
        <v>1200</v>
      </c>
      <c r="BA7">
        <v>42.5</v>
      </c>
      <c r="BB7">
        <v>2.5</v>
      </c>
      <c r="BC7">
        <v>2.5</v>
      </c>
      <c r="BD7">
        <v>3</v>
      </c>
      <c r="BE7">
        <v>2.5</v>
      </c>
      <c r="BG7">
        <v>0.3888888888888889</v>
      </c>
      <c r="BH7" t="s">
        <v>111</v>
      </c>
      <c r="BI7">
        <v>0.58333333333333326</v>
      </c>
      <c r="BJ7">
        <v>0.6875</v>
      </c>
      <c r="BK7">
        <v>0.71626984126984128</v>
      </c>
      <c r="BM7">
        <v>0.75</v>
      </c>
      <c r="BN7">
        <v>0.27777777777777779</v>
      </c>
      <c r="BO7">
        <v>0.5</v>
      </c>
      <c r="BP7">
        <v>0.34259259259259256</v>
      </c>
      <c r="BQ7">
        <v>0.57301587301587309</v>
      </c>
      <c r="BS7">
        <v>0.51818181818181819</v>
      </c>
      <c r="BT7" t="s">
        <v>111</v>
      </c>
      <c r="BU7">
        <v>0.4642857142857143</v>
      </c>
      <c r="BV7">
        <v>0.83333333333333326</v>
      </c>
      <c r="BW7">
        <v>0.50595238095238093</v>
      </c>
      <c r="BY7">
        <v>0.75</v>
      </c>
      <c r="BZ7">
        <v>0.27777777777777779</v>
      </c>
      <c r="CA7">
        <v>0.5</v>
      </c>
      <c r="CB7">
        <v>0.88888888888888884</v>
      </c>
      <c r="CC7">
        <v>0.89523809523809517</v>
      </c>
      <c r="CF7">
        <v>0</v>
      </c>
      <c r="CG7">
        <v>1</v>
      </c>
      <c r="CH7">
        <v>1</v>
      </c>
      <c r="CI7">
        <v>0</v>
      </c>
      <c r="CJ7">
        <v>1</v>
      </c>
      <c r="CK7">
        <v>1</v>
      </c>
      <c r="CL7">
        <v>1</v>
      </c>
      <c r="CM7">
        <v>1</v>
      </c>
      <c r="CN7">
        <v>1</v>
      </c>
      <c r="CO7">
        <v>0.5</v>
      </c>
      <c r="CP7">
        <v>0</v>
      </c>
      <c r="CQ7">
        <v>0</v>
      </c>
      <c r="CR7">
        <v>0</v>
      </c>
      <c r="CS7">
        <v>0</v>
      </c>
      <c r="CT7">
        <v>2</v>
      </c>
      <c r="CU7">
        <v>5.5</v>
      </c>
      <c r="CV7">
        <v>7.5</v>
      </c>
      <c r="CY7" t="s">
        <v>207</v>
      </c>
      <c r="CZ7">
        <v>1</v>
      </c>
      <c r="DA7" t="s">
        <v>111</v>
      </c>
      <c r="DB7">
        <v>0</v>
      </c>
      <c r="DC7">
        <v>45387</v>
      </c>
      <c r="DE7">
        <v>20</v>
      </c>
      <c r="DF7" t="s">
        <v>208</v>
      </c>
      <c r="DG7" t="s">
        <v>209</v>
      </c>
      <c r="DH7">
        <v>12</v>
      </c>
      <c r="DI7">
        <v>0</v>
      </c>
      <c r="DJ7">
        <v>0</v>
      </c>
      <c r="DK7">
        <v>0</v>
      </c>
      <c r="DL7">
        <v>0</v>
      </c>
      <c r="DM7">
        <v>0</v>
      </c>
      <c r="DN7">
        <v>1</v>
      </c>
      <c r="DP7">
        <v>4</v>
      </c>
      <c r="DQ7">
        <v>4</v>
      </c>
      <c r="DR7">
        <v>4</v>
      </c>
      <c r="DS7">
        <v>4</v>
      </c>
      <c r="DT7">
        <v>4</v>
      </c>
      <c r="DU7">
        <v>3</v>
      </c>
      <c r="DV7">
        <v>5</v>
      </c>
      <c r="DW7">
        <v>2</v>
      </c>
      <c r="DX7">
        <v>3</v>
      </c>
      <c r="DY7">
        <v>4</v>
      </c>
      <c r="DZ7">
        <v>4</v>
      </c>
      <c r="EA7">
        <v>0</v>
      </c>
      <c r="ED7">
        <v>4</v>
      </c>
      <c r="EE7">
        <v>5</v>
      </c>
      <c r="EF7">
        <v>4</v>
      </c>
      <c r="EG7">
        <v>5</v>
      </c>
      <c r="EH7">
        <v>4</v>
      </c>
      <c r="EI7">
        <v>4</v>
      </c>
      <c r="EJ7">
        <v>5</v>
      </c>
      <c r="EK7">
        <v>4</v>
      </c>
      <c r="EL7">
        <v>4</v>
      </c>
      <c r="EM7">
        <v>4</v>
      </c>
      <c r="EN7">
        <v>5</v>
      </c>
      <c r="EQ7">
        <v>4</v>
      </c>
      <c r="ER7">
        <v>4</v>
      </c>
      <c r="ES7">
        <v>1</v>
      </c>
      <c r="ET7">
        <v>3</v>
      </c>
      <c r="EU7">
        <v>4</v>
      </c>
      <c r="EV7">
        <v>2</v>
      </c>
      <c r="EW7">
        <v>1</v>
      </c>
      <c r="EX7">
        <v>3</v>
      </c>
      <c r="EY7">
        <v>1</v>
      </c>
      <c r="EZ7">
        <v>1</v>
      </c>
      <c r="FA7">
        <v>4</v>
      </c>
      <c r="FL7">
        <v>0.59399801587301582</v>
      </c>
      <c r="FM7">
        <v>0.58043831168831161</v>
      </c>
      <c r="FN7">
        <v>0.48867724867724871</v>
      </c>
      <c r="FO7">
        <v>0.66238095238095229</v>
      </c>
      <c r="FP7">
        <v>0.58137363215488214</v>
      </c>
      <c r="FR7">
        <v>0.5728583099906629</v>
      </c>
      <c r="FS7">
        <v>0.53281926406926405</v>
      </c>
      <c r="FT7">
        <v>0.46807539682539678</v>
      </c>
      <c r="FU7">
        <v>0.66238095238095229</v>
      </c>
      <c r="FV7">
        <v>0.55903348081656901</v>
      </c>
    </row>
    <row r="8" spans="1:178" x14ac:dyDescent="0.2">
      <c r="A8" t="s">
        <v>196</v>
      </c>
      <c r="C8" t="s">
        <v>197</v>
      </c>
      <c r="E8" t="s">
        <v>198</v>
      </c>
      <c r="G8">
        <v>0.3888888888888889</v>
      </c>
      <c r="H8" t="s">
        <v>111</v>
      </c>
      <c r="I8">
        <v>0.41666666666666663</v>
      </c>
      <c r="J8">
        <v>0.75735294117647056</v>
      </c>
      <c r="K8">
        <v>0.72619047619047616</v>
      </c>
      <c r="M8">
        <v>1200</v>
      </c>
      <c r="N8">
        <v>10</v>
      </c>
      <c r="O8">
        <v>2</v>
      </c>
      <c r="P8">
        <v>1</v>
      </c>
      <c r="Q8">
        <v>3</v>
      </c>
      <c r="R8">
        <v>2</v>
      </c>
      <c r="T8">
        <v>0.29090909090909089</v>
      </c>
      <c r="U8" t="s">
        <v>111</v>
      </c>
      <c r="V8">
        <v>0.4642857142857143</v>
      </c>
      <c r="W8">
        <v>0.45238095238095233</v>
      </c>
      <c r="X8">
        <v>0.20634920634920637</v>
      </c>
      <c r="Z8">
        <v>1200</v>
      </c>
      <c r="AA8">
        <v>10</v>
      </c>
      <c r="AB8">
        <v>2</v>
      </c>
      <c r="AC8">
        <v>1</v>
      </c>
      <c r="AD8">
        <v>3</v>
      </c>
      <c r="AE8">
        <v>2</v>
      </c>
      <c r="AG8">
        <v>0.66666666666666663</v>
      </c>
      <c r="AH8">
        <v>0.57777777777777783</v>
      </c>
      <c r="AI8">
        <v>0.5</v>
      </c>
      <c r="AJ8">
        <v>0.81746031746031733</v>
      </c>
      <c r="AK8">
        <v>0.7150793650793652</v>
      </c>
      <c r="AM8">
        <v>1266</v>
      </c>
      <c r="AN8">
        <v>60</v>
      </c>
      <c r="AO8">
        <v>4</v>
      </c>
      <c r="AP8">
        <v>3</v>
      </c>
      <c r="AQ8">
        <v>3</v>
      </c>
      <c r="AR8">
        <v>3</v>
      </c>
      <c r="AT8">
        <v>0.58333333333333337</v>
      </c>
      <c r="AU8">
        <v>0.57777777777777783</v>
      </c>
      <c r="AV8">
        <v>0.5</v>
      </c>
      <c r="AW8">
        <v>0.14583333333333334</v>
      </c>
      <c r="AX8">
        <v>0.56507936507936507</v>
      </c>
      <c r="AZ8">
        <v>1200</v>
      </c>
      <c r="BA8">
        <v>40</v>
      </c>
      <c r="BB8">
        <v>3</v>
      </c>
      <c r="BC8">
        <v>3</v>
      </c>
      <c r="BD8">
        <v>3</v>
      </c>
      <c r="BE8">
        <v>3</v>
      </c>
      <c r="BG8">
        <v>0.3888888888888889</v>
      </c>
      <c r="BH8" t="s">
        <v>111</v>
      </c>
      <c r="BI8">
        <v>0.41666666666666663</v>
      </c>
      <c r="BJ8">
        <v>0.875</v>
      </c>
      <c r="BK8">
        <v>0.72619047619047616</v>
      </c>
      <c r="BM8">
        <v>0.75</v>
      </c>
      <c r="BN8">
        <v>0.57777777777777783</v>
      </c>
      <c r="BO8">
        <v>0.5</v>
      </c>
      <c r="BP8">
        <v>0.19444444444444442</v>
      </c>
      <c r="BQ8">
        <v>0.56507936507936507</v>
      </c>
      <c r="BS8">
        <v>0.29090909090909089</v>
      </c>
      <c r="BT8" t="s">
        <v>111</v>
      </c>
      <c r="BU8">
        <v>0.4642857142857143</v>
      </c>
      <c r="BV8">
        <v>0.33333333333333331</v>
      </c>
      <c r="BW8">
        <v>0.20634920634920637</v>
      </c>
      <c r="BY8">
        <v>0.66666666666666663</v>
      </c>
      <c r="BZ8">
        <v>0.57777777777777783</v>
      </c>
      <c r="CA8">
        <v>0.5</v>
      </c>
      <c r="CB8">
        <v>0.80555555555555547</v>
      </c>
      <c r="CC8">
        <v>0.7150793650793652</v>
      </c>
      <c r="CF8">
        <v>1</v>
      </c>
      <c r="CG8">
        <v>0</v>
      </c>
      <c r="CH8">
        <v>0</v>
      </c>
      <c r="CI8">
        <v>0</v>
      </c>
      <c r="CJ8">
        <v>1</v>
      </c>
      <c r="CK8">
        <v>1</v>
      </c>
      <c r="CL8">
        <v>1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4</v>
      </c>
      <c r="CV8">
        <v>5</v>
      </c>
      <c r="CY8" t="s">
        <v>199</v>
      </c>
      <c r="CZ8">
        <v>1</v>
      </c>
      <c r="DA8" t="s">
        <v>111</v>
      </c>
      <c r="DB8">
        <v>0</v>
      </c>
      <c r="DC8">
        <v>45419</v>
      </c>
      <c r="DE8">
        <v>27</v>
      </c>
      <c r="DF8" t="s">
        <v>200</v>
      </c>
      <c r="DG8" t="s">
        <v>201</v>
      </c>
      <c r="DH8">
        <v>72</v>
      </c>
      <c r="DI8">
        <v>0</v>
      </c>
      <c r="DJ8">
        <v>0</v>
      </c>
      <c r="DK8">
        <v>1</v>
      </c>
      <c r="DL8">
        <v>1</v>
      </c>
      <c r="DM8">
        <v>0</v>
      </c>
      <c r="DN8">
        <v>1</v>
      </c>
      <c r="DP8">
        <v>4</v>
      </c>
      <c r="DQ8">
        <v>4</v>
      </c>
      <c r="DR8">
        <v>4</v>
      </c>
      <c r="DS8">
        <v>4</v>
      </c>
      <c r="DT8">
        <v>4</v>
      </c>
      <c r="DU8">
        <v>3</v>
      </c>
      <c r="DV8">
        <v>4</v>
      </c>
      <c r="DW8">
        <v>2</v>
      </c>
      <c r="DX8">
        <v>4</v>
      </c>
      <c r="DY8">
        <v>3</v>
      </c>
      <c r="DZ8">
        <v>5</v>
      </c>
      <c r="EA8">
        <v>0</v>
      </c>
      <c r="ED8">
        <v>4</v>
      </c>
      <c r="EE8">
        <v>4</v>
      </c>
      <c r="EF8">
        <v>4</v>
      </c>
      <c r="EG8">
        <v>2</v>
      </c>
      <c r="EH8">
        <v>4</v>
      </c>
      <c r="EI8">
        <v>4</v>
      </c>
      <c r="EJ8">
        <v>5</v>
      </c>
      <c r="EK8">
        <v>2</v>
      </c>
      <c r="EL8">
        <v>3</v>
      </c>
      <c r="EM8">
        <v>3</v>
      </c>
      <c r="EN8">
        <v>5</v>
      </c>
      <c r="EQ8">
        <v>5</v>
      </c>
      <c r="ER8">
        <v>4</v>
      </c>
      <c r="ES8">
        <v>2</v>
      </c>
      <c r="ET8">
        <v>4</v>
      </c>
      <c r="EU8">
        <v>5</v>
      </c>
      <c r="EV8">
        <v>3</v>
      </c>
      <c r="EW8">
        <v>1</v>
      </c>
      <c r="EX8">
        <v>4</v>
      </c>
      <c r="EY8">
        <v>2</v>
      </c>
      <c r="EZ8">
        <v>4</v>
      </c>
      <c r="FA8">
        <v>2</v>
      </c>
      <c r="FL8">
        <v>0.60168650793650791</v>
      </c>
      <c r="FM8">
        <v>0.32371933621933618</v>
      </c>
      <c r="FN8">
        <v>0.5174603174603174</v>
      </c>
      <c r="FO8">
        <v>0.65301587301587305</v>
      </c>
      <c r="FP8">
        <v>0.52397050865800865</v>
      </c>
      <c r="FR8">
        <v>0.57227474323062555</v>
      </c>
      <c r="FS8">
        <v>0.35348124098124095</v>
      </c>
      <c r="FT8">
        <v>0.47440476190476188</v>
      </c>
      <c r="FU8">
        <v>0.65539682539682542</v>
      </c>
      <c r="FV8">
        <v>0.51388939287836344</v>
      </c>
    </row>
    <row r="9" spans="1:178" x14ac:dyDescent="0.2">
      <c r="A9" t="s">
        <v>210</v>
      </c>
      <c r="C9" t="s">
        <v>211</v>
      </c>
      <c r="E9" t="s">
        <v>198</v>
      </c>
      <c r="G9">
        <v>0.33333333333333331</v>
      </c>
      <c r="H9" t="s">
        <v>111</v>
      </c>
      <c r="I9">
        <v>0.58333333333333326</v>
      </c>
      <c r="J9">
        <v>0.66176470588235303</v>
      </c>
      <c r="K9">
        <v>0.47619047619047611</v>
      </c>
      <c r="M9">
        <v>950</v>
      </c>
      <c r="N9">
        <v>25</v>
      </c>
      <c r="O9">
        <v>2</v>
      </c>
      <c r="P9">
        <v>1</v>
      </c>
      <c r="Q9">
        <v>2</v>
      </c>
      <c r="R9">
        <v>1</v>
      </c>
      <c r="T9">
        <v>0.38181818181818183</v>
      </c>
      <c r="U9" t="s">
        <v>111</v>
      </c>
      <c r="V9">
        <v>0.3214285714285714</v>
      </c>
      <c r="W9">
        <v>0.47619047619047616</v>
      </c>
      <c r="X9">
        <v>0.26190476190476192</v>
      </c>
      <c r="Z9">
        <v>950</v>
      </c>
      <c r="AA9">
        <v>25</v>
      </c>
      <c r="AB9">
        <v>2</v>
      </c>
      <c r="AC9">
        <v>1</v>
      </c>
      <c r="AD9">
        <v>2</v>
      </c>
      <c r="AE9">
        <v>1</v>
      </c>
      <c r="AG9">
        <v>0.66666666666666663</v>
      </c>
      <c r="AH9">
        <v>0.51111111111111107</v>
      </c>
      <c r="AI9">
        <v>0</v>
      </c>
      <c r="AJ9">
        <v>0.88888888888888884</v>
      </c>
      <c r="AK9">
        <v>0.63571428571428579</v>
      </c>
      <c r="AM9">
        <v>711</v>
      </c>
      <c r="AN9">
        <v>45</v>
      </c>
      <c r="AO9">
        <v>3</v>
      </c>
      <c r="AP9">
        <v>2</v>
      </c>
      <c r="AQ9">
        <v>3</v>
      </c>
      <c r="AR9">
        <v>2</v>
      </c>
      <c r="AT9">
        <v>0.75</v>
      </c>
      <c r="AU9">
        <v>0.51111111111111107</v>
      </c>
      <c r="AV9">
        <v>0.5</v>
      </c>
      <c r="AW9">
        <v>0.75</v>
      </c>
      <c r="AX9">
        <v>0.66746031746031742</v>
      </c>
      <c r="AZ9">
        <v>1015</v>
      </c>
      <c r="BA9">
        <v>25</v>
      </c>
      <c r="BB9">
        <v>2</v>
      </c>
      <c r="BC9">
        <v>2</v>
      </c>
      <c r="BD9">
        <v>2</v>
      </c>
      <c r="BE9">
        <v>2</v>
      </c>
      <c r="BG9">
        <v>0.33333333333333331</v>
      </c>
      <c r="BH9" t="s">
        <v>111</v>
      </c>
      <c r="BI9">
        <v>0.58333333333333326</v>
      </c>
      <c r="BJ9">
        <v>0.6875</v>
      </c>
      <c r="BK9">
        <v>0.47619047619047611</v>
      </c>
      <c r="BM9">
        <v>0.75</v>
      </c>
      <c r="BN9">
        <v>0.51111111111111107</v>
      </c>
      <c r="BO9">
        <v>0.5</v>
      </c>
      <c r="BP9">
        <v>0.75925925925925919</v>
      </c>
      <c r="BQ9">
        <v>0.66746031746031742</v>
      </c>
      <c r="BS9">
        <v>0.38181818181818183</v>
      </c>
      <c r="BT9" t="s">
        <v>111</v>
      </c>
      <c r="BU9">
        <v>0.3214285714285714</v>
      </c>
      <c r="BV9">
        <v>0.70833333333333326</v>
      </c>
      <c r="BW9">
        <v>0.26190476190476192</v>
      </c>
      <c r="BY9">
        <v>0.66666666666666663</v>
      </c>
      <c r="BZ9">
        <v>0.51111111111111107</v>
      </c>
      <c r="CA9">
        <v>0</v>
      </c>
      <c r="CB9">
        <v>0.88888888888888884</v>
      </c>
      <c r="CC9">
        <v>0.63571428571428579</v>
      </c>
      <c r="CF9">
        <v>1</v>
      </c>
      <c r="CG9">
        <v>0</v>
      </c>
      <c r="CH9">
        <v>0</v>
      </c>
      <c r="CI9">
        <v>0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0</v>
      </c>
      <c r="CS9">
        <v>1</v>
      </c>
      <c r="CT9">
        <v>1</v>
      </c>
      <c r="CU9">
        <v>9</v>
      </c>
      <c r="CV9">
        <v>10</v>
      </c>
      <c r="CY9" t="s">
        <v>199</v>
      </c>
      <c r="CZ9">
        <v>2</v>
      </c>
      <c r="DA9" t="s">
        <v>111</v>
      </c>
      <c r="DB9">
        <v>0</v>
      </c>
      <c r="DC9">
        <v>45441</v>
      </c>
      <c r="DE9">
        <v>22</v>
      </c>
      <c r="DF9" t="s">
        <v>212</v>
      </c>
      <c r="DG9" t="s">
        <v>213</v>
      </c>
      <c r="DH9">
        <v>42</v>
      </c>
      <c r="DI9">
        <v>0</v>
      </c>
      <c r="DJ9">
        <v>0</v>
      </c>
      <c r="DK9">
        <v>0</v>
      </c>
      <c r="DL9">
        <v>0</v>
      </c>
      <c r="DM9">
        <v>0</v>
      </c>
      <c r="DN9">
        <v>1</v>
      </c>
      <c r="DP9">
        <v>5</v>
      </c>
      <c r="DQ9">
        <v>5</v>
      </c>
      <c r="DR9">
        <v>4</v>
      </c>
      <c r="DS9">
        <v>5</v>
      </c>
      <c r="DT9">
        <v>5</v>
      </c>
      <c r="DU9">
        <v>4</v>
      </c>
      <c r="DV9">
        <v>5</v>
      </c>
      <c r="DW9">
        <v>5</v>
      </c>
      <c r="DX9">
        <v>4</v>
      </c>
      <c r="DY9">
        <v>5</v>
      </c>
      <c r="DZ9">
        <v>5</v>
      </c>
      <c r="EA9">
        <v>0</v>
      </c>
      <c r="ED9">
        <v>4</v>
      </c>
      <c r="EE9">
        <v>4</v>
      </c>
      <c r="EF9">
        <v>4</v>
      </c>
      <c r="EG9">
        <v>4</v>
      </c>
      <c r="EH9">
        <v>4</v>
      </c>
      <c r="EI9">
        <v>3</v>
      </c>
      <c r="EJ9">
        <v>4</v>
      </c>
      <c r="EK9">
        <v>3</v>
      </c>
      <c r="EL9">
        <v>3</v>
      </c>
      <c r="EM9">
        <v>4</v>
      </c>
      <c r="EN9">
        <v>4</v>
      </c>
      <c r="EQ9">
        <v>4</v>
      </c>
      <c r="ER9">
        <v>4</v>
      </c>
      <c r="ES9">
        <v>4</v>
      </c>
      <c r="ET9">
        <v>4</v>
      </c>
      <c r="EU9">
        <v>5</v>
      </c>
      <c r="EV9">
        <v>4</v>
      </c>
      <c r="EW9">
        <v>2</v>
      </c>
      <c r="EX9">
        <v>4</v>
      </c>
      <c r="EY9">
        <v>3</v>
      </c>
      <c r="EZ9">
        <v>3</v>
      </c>
      <c r="FA9">
        <v>3</v>
      </c>
      <c r="FL9">
        <v>0.5200892857142857</v>
      </c>
      <c r="FM9">
        <v>0.41837121212121209</v>
      </c>
      <c r="FN9">
        <v>0.63756613756613745</v>
      </c>
      <c r="FO9">
        <v>0.54047619047619044</v>
      </c>
      <c r="FP9">
        <v>0.52912570646945645</v>
      </c>
      <c r="FR9">
        <v>0.5136554621848739</v>
      </c>
      <c r="FS9">
        <v>0.36033549783549779</v>
      </c>
      <c r="FT9">
        <v>0.63571428571428568</v>
      </c>
      <c r="FU9">
        <v>0.54047619047619044</v>
      </c>
      <c r="FV9">
        <v>0.51254535905271192</v>
      </c>
    </row>
    <row r="10" spans="1:178" x14ac:dyDescent="0.2">
      <c r="A10" t="s">
        <v>214</v>
      </c>
      <c r="C10" t="s">
        <v>215</v>
      </c>
      <c r="E10" t="s">
        <v>198</v>
      </c>
      <c r="G10">
        <v>0.22222222222222221</v>
      </c>
      <c r="H10" t="s">
        <v>111</v>
      </c>
      <c r="I10">
        <v>0.29166666666666663</v>
      </c>
      <c r="J10">
        <v>0.54411764705882359</v>
      </c>
      <c r="K10">
        <v>0.39285714285714279</v>
      </c>
      <c r="M10">
        <v>1063</v>
      </c>
      <c r="N10">
        <v>10</v>
      </c>
      <c r="O10">
        <v>2</v>
      </c>
      <c r="P10">
        <v>1</v>
      </c>
      <c r="Q10">
        <v>2</v>
      </c>
      <c r="R10">
        <v>1</v>
      </c>
      <c r="T10">
        <v>0.18181818181818182</v>
      </c>
      <c r="U10" t="s">
        <v>111</v>
      </c>
      <c r="V10">
        <v>7.1428571428571425E-2</v>
      </c>
      <c r="W10">
        <v>0.14285714285714285</v>
      </c>
      <c r="X10">
        <v>0.18849206349206349</v>
      </c>
      <c r="Z10">
        <v>1063</v>
      </c>
      <c r="AA10">
        <v>10</v>
      </c>
      <c r="AB10">
        <v>2</v>
      </c>
      <c r="AC10">
        <v>1</v>
      </c>
      <c r="AD10">
        <v>2</v>
      </c>
      <c r="AE10">
        <v>1</v>
      </c>
      <c r="AG10">
        <v>0.45833333333333331</v>
      </c>
      <c r="AH10">
        <v>0.3</v>
      </c>
      <c r="AI10">
        <v>0</v>
      </c>
      <c r="AJ10">
        <v>0.53607503607503604</v>
      </c>
      <c r="AK10">
        <v>0.39087301587301587</v>
      </c>
      <c r="AM10">
        <v>1200</v>
      </c>
      <c r="AN10">
        <v>35</v>
      </c>
      <c r="AO10">
        <v>1.5</v>
      </c>
      <c r="AP10">
        <v>1.5</v>
      </c>
      <c r="AQ10">
        <v>2</v>
      </c>
      <c r="AR10">
        <v>2</v>
      </c>
      <c r="AT10">
        <v>0.42777777777777781</v>
      </c>
      <c r="AU10">
        <v>0.3</v>
      </c>
      <c r="AV10">
        <v>0.5</v>
      </c>
      <c r="AW10">
        <v>0.48958333333333331</v>
      </c>
      <c r="AX10">
        <v>0.44880952380952382</v>
      </c>
      <c r="AZ10">
        <v>1200</v>
      </c>
      <c r="BA10">
        <v>45</v>
      </c>
      <c r="BB10">
        <v>1.5</v>
      </c>
      <c r="BC10">
        <v>1.5</v>
      </c>
      <c r="BD10">
        <v>2.5</v>
      </c>
      <c r="BE10">
        <v>2.5</v>
      </c>
      <c r="BG10">
        <v>0.22222222222222221</v>
      </c>
      <c r="BH10" t="s">
        <v>111</v>
      </c>
      <c r="BI10">
        <v>0.29166666666666663</v>
      </c>
      <c r="BJ10">
        <v>0.6875</v>
      </c>
      <c r="BK10">
        <v>0.39285714285714279</v>
      </c>
      <c r="BM10">
        <v>0.59444444444444455</v>
      </c>
      <c r="BN10">
        <v>0.3</v>
      </c>
      <c r="BO10">
        <v>0.5</v>
      </c>
      <c r="BP10">
        <v>0.58333333333333337</v>
      </c>
      <c r="BQ10">
        <v>0.44880952380952382</v>
      </c>
      <c r="BS10">
        <v>0.18181818181818182</v>
      </c>
      <c r="BT10" t="s">
        <v>111</v>
      </c>
      <c r="BU10">
        <v>7.1428571428571425E-2</v>
      </c>
      <c r="BV10">
        <v>0.125</v>
      </c>
      <c r="BW10">
        <v>0.18849206349206349</v>
      </c>
      <c r="BY10">
        <v>0.45833333333333331</v>
      </c>
      <c r="BZ10">
        <v>0.3</v>
      </c>
      <c r="CA10">
        <v>0</v>
      </c>
      <c r="CB10">
        <v>0.69444444444444431</v>
      </c>
      <c r="CC10">
        <v>0.39087301587301587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1</v>
      </c>
      <c r="CN10">
        <v>1</v>
      </c>
      <c r="CO10">
        <v>0.5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4.5</v>
      </c>
      <c r="CV10">
        <v>4.5</v>
      </c>
      <c r="CY10" t="s">
        <v>207</v>
      </c>
      <c r="CZ10">
        <v>1</v>
      </c>
      <c r="DA10" t="s">
        <v>111</v>
      </c>
      <c r="DB10">
        <v>0</v>
      </c>
      <c r="DC10">
        <v>45441</v>
      </c>
      <c r="DE10">
        <v>24</v>
      </c>
      <c r="DF10" t="s">
        <v>216</v>
      </c>
      <c r="DG10" t="s">
        <v>217</v>
      </c>
      <c r="DH10">
        <v>12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P10">
        <v>4</v>
      </c>
      <c r="DQ10">
        <v>4</v>
      </c>
      <c r="DR10">
        <v>4</v>
      </c>
      <c r="DS10">
        <v>4</v>
      </c>
      <c r="DT10">
        <v>4</v>
      </c>
      <c r="DU10">
        <v>4</v>
      </c>
      <c r="DV10">
        <v>5</v>
      </c>
      <c r="DW10">
        <v>0</v>
      </c>
      <c r="DX10">
        <v>3</v>
      </c>
      <c r="DY10">
        <v>3</v>
      </c>
      <c r="DZ10">
        <v>4</v>
      </c>
      <c r="EA10">
        <v>1</v>
      </c>
      <c r="ED10">
        <v>4</v>
      </c>
      <c r="EE10">
        <v>4</v>
      </c>
      <c r="EF10">
        <v>4</v>
      </c>
      <c r="EG10">
        <v>3</v>
      </c>
      <c r="EH10">
        <v>4</v>
      </c>
      <c r="EI10">
        <v>3</v>
      </c>
      <c r="EJ10">
        <v>5</v>
      </c>
      <c r="EK10">
        <v>4</v>
      </c>
      <c r="EL10">
        <v>4</v>
      </c>
      <c r="EM10">
        <v>4</v>
      </c>
      <c r="EN10">
        <v>4</v>
      </c>
      <c r="EQ10">
        <v>4</v>
      </c>
      <c r="ER10">
        <v>4</v>
      </c>
      <c r="ES10">
        <v>3</v>
      </c>
      <c r="ET10">
        <v>3</v>
      </c>
      <c r="EU10">
        <v>4</v>
      </c>
      <c r="EV10">
        <v>4</v>
      </c>
      <c r="EW10">
        <v>4</v>
      </c>
      <c r="EX10">
        <v>3</v>
      </c>
      <c r="EY10">
        <v>3</v>
      </c>
      <c r="EZ10">
        <v>3</v>
      </c>
      <c r="FA10">
        <v>3</v>
      </c>
      <c r="FL10">
        <v>0.39856150793650791</v>
      </c>
      <c r="FM10">
        <v>0.14168470418470419</v>
      </c>
      <c r="FN10">
        <v>0.48531746031746037</v>
      </c>
      <c r="FO10">
        <v>0.36873015873015869</v>
      </c>
      <c r="FP10">
        <v>0.34857345779220783</v>
      </c>
      <c r="FR10">
        <v>0.36271591970121381</v>
      </c>
      <c r="FS10">
        <v>0.14614898989898989</v>
      </c>
      <c r="FT10">
        <v>0.433234126984127</v>
      </c>
      <c r="FU10">
        <v>0.33705627705627705</v>
      </c>
      <c r="FV10">
        <v>0.31978882841015194</v>
      </c>
    </row>
    <row r="11" spans="1:178" x14ac:dyDescent="0.2">
      <c r="A11" t="s">
        <v>218</v>
      </c>
      <c r="C11" t="s">
        <v>219</v>
      </c>
      <c r="E11" t="s">
        <v>198</v>
      </c>
      <c r="G11">
        <v>0.3888888888888889</v>
      </c>
      <c r="H11" t="s">
        <v>111</v>
      </c>
      <c r="I11">
        <v>0.33333333333333331</v>
      </c>
      <c r="J11">
        <v>0.29779411764705882</v>
      </c>
      <c r="K11">
        <v>0.34523809523809518</v>
      </c>
      <c r="M11">
        <v>1164</v>
      </c>
      <c r="N11">
        <v>21</v>
      </c>
      <c r="O11">
        <v>2</v>
      </c>
      <c r="P11">
        <v>1</v>
      </c>
      <c r="Q11">
        <v>2</v>
      </c>
      <c r="R11">
        <v>1</v>
      </c>
      <c r="T11">
        <v>0.33636363636363636</v>
      </c>
      <c r="U11" t="s">
        <v>111</v>
      </c>
      <c r="V11">
        <v>0.4642857142857143</v>
      </c>
      <c r="W11">
        <v>0.47619047619047616</v>
      </c>
      <c r="X11">
        <v>0.37896825396825395</v>
      </c>
      <c r="Z11">
        <v>1164</v>
      </c>
      <c r="AA11">
        <v>21</v>
      </c>
      <c r="AB11">
        <v>2</v>
      </c>
      <c r="AC11">
        <v>1</v>
      </c>
      <c r="AD11">
        <v>2</v>
      </c>
      <c r="AE11">
        <v>1</v>
      </c>
      <c r="AG11">
        <v>0.75</v>
      </c>
      <c r="AH11">
        <v>0.41111111111111115</v>
      </c>
      <c r="AI11">
        <v>0.5</v>
      </c>
      <c r="AJ11">
        <v>0.28138528138528135</v>
      </c>
      <c r="AK11">
        <v>0.57539682539682546</v>
      </c>
      <c r="AM11">
        <v>1200</v>
      </c>
      <c r="AN11">
        <v>25</v>
      </c>
      <c r="AO11">
        <v>2</v>
      </c>
      <c r="AP11">
        <v>1</v>
      </c>
      <c r="AQ11">
        <v>2</v>
      </c>
      <c r="AR11">
        <v>1</v>
      </c>
      <c r="AT11">
        <v>0.75</v>
      </c>
      <c r="AU11">
        <v>0.41111111111111115</v>
      </c>
      <c r="AV11">
        <v>0.5</v>
      </c>
      <c r="AW11">
        <v>0.25</v>
      </c>
      <c r="AX11">
        <v>0.42976190476190473</v>
      </c>
      <c r="AZ11">
        <v>1200</v>
      </c>
      <c r="BA11">
        <v>22.5</v>
      </c>
      <c r="BB11">
        <v>2</v>
      </c>
      <c r="BC11">
        <v>1.5</v>
      </c>
      <c r="BD11">
        <v>1.5</v>
      </c>
      <c r="BE11">
        <v>1.5</v>
      </c>
      <c r="BG11">
        <v>0.3888888888888889</v>
      </c>
      <c r="BH11" t="s">
        <v>111</v>
      </c>
      <c r="BI11">
        <v>0.33333333333333331</v>
      </c>
      <c r="BJ11">
        <v>0.25</v>
      </c>
      <c r="BK11">
        <v>0.34523809523809518</v>
      </c>
      <c r="BM11">
        <v>0.75</v>
      </c>
      <c r="BN11">
        <v>0.41111111111111115</v>
      </c>
      <c r="BO11">
        <v>0.5</v>
      </c>
      <c r="BP11">
        <v>0.31481481481481483</v>
      </c>
      <c r="BQ11">
        <v>0.42976190476190473</v>
      </c>
      <c r="BS11">
        <v>0.33636363636363636</v>
      </c>
      <c r="BT11" t="s">
        <v>111</v>
      </c>
      <c r="BU11">
        <v>0.4642857142857143</v>
      </c>
      <c r="BV11">
        <v>0.45833333333333331</v>
      </c>
      <c r="BW11">
        <v>0.37896825396825395</v>
      </c>
      <c r="BY11">
        <v>0.75</v>
      </c>
      <c r="BZ11">
        <v>0.41111111111111115</v>
      </c>
      <c r="CA11">
        <v>0.5</v>
      </c>
      <c r="CB11">
        <v>0.66666666666666663</v>
      </c>
      <c r="CC11">
        <v>0.57539682539682546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0.5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1.5</v>
      </c>
      <c r="CV11">
        <v>1.5</v>
      </c>
      <c r="CY11" t="s">
        <v>199</v>
      </c>
      <c r="CZ11">
        <v>2</v>
      </c>
      <c r="DA11" t="s">
        <v>111</v>
      </c>
      <c r="DB11">
        <v>0</v>
      </c>
      <c r="DC11">
        <v>45443</v>
      </c>
      <c r="DE11">
        <v>20</v>
      </c>
      <c r="DF11" t="s">
        <v>220</v>
      </c>
      <c r="DG11" t="s">
        <v>221</v>
      </c>
      <c r="DH11">
        <v>16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P11">
        <v>5</v>
      </c>
      <c r="DQ11">
        <v>4</v>
      </c>
      <c r="DR11">
        <v>3</v>
      </c>
      <c r="DS11">
        <v>2</v>
      </c>
      <c r="DT11">
        <v>3</v>
      </c>
      <c r="DU11">
        <v>2</v>
      </c>
      <c r="DV11">
        <v>5</v>
      </c>
      <c r="DW11">
        <v>1</v>
      </c>
      <c r="DX11">
        <v>3</v>
      </c>
      <c r="DY11">
        <v>3</v>
      </c>
      <c r="DZ11">
        <v>3</v>
      </c>
      <c r="EA11">
        <v>0</v>
      </c>
      <c r="ED11">
        <v>4</v>
      </c>
      <c r="EE11">
        <v>3</v>
      </c>
      <c r="EF11">
        <v>4</v>
      </c>
      <c r="EG11">
        <v>3</v>
      </c>
      <c r="EH11">
        <v>3</v>
      </c>
      <c r="EI11">
        <v>1</v>
      </c>
      <c r="EJ11">
        <v>4</v>
      </c>
      <c r="EK11">
        <v>3</v>
      </c>
      <c r="EL11">
        <v>3</v>
      </c>
      <c r="EM11">
        <v>4</v>
      </c>
      <c r="EN11">
        <v>3</v>
      </c>
      <c r="EQ11">
        <v>4</v>
      </c>
      <c r="ER11">
        <v>1</v>
      </c>
      <c r="ES11">
        <v>1</v>
      </c>
      <c r="ET11">
        <v>2</v>
      </c>
      <c r="EU11">
        <v>5</v>
      </c>
      <c r="EV11">
        <v>1</v>
      </c>
      <c r="EW11">
        <v>1</v>
      </c>
      <c r="EX11">
        <v>2</v>
      </c>
      <c r="EY11">
        <v>1</v>
      </c>
      <c r="EZ11">
        <v>2</v>
      </c>
      <c r="FA11">
        <v>2</v>
      </c>
      <c r="FL11">
        <v>0.32936507936507936</v>
      </c>
      <c r="FM11">
        <v>0.40948773448773446</v>
      </c>
      <c r="FN11">
        <v>0.4811375661375662</v>
      </c>
      <c r="FO11">
        <v>0.58063492063492073</v>
      </c>
      <c r="FP11">
        <v>0.4501563251563252</v>
      </c>
      <c r="FR11">
        <v>0.34131360877684402</v>
      </c>
      <c r="FS11">
        <v>0.41395202020202015</v>
      </c>
      <c r="FT11">
        <v>0.46817460317460319</v>
      </c>
      <c r="FU11">
        <v>0.50357864357864357</v>
      </c>
      <c r="FV11">
        <v>0.43175471893302775</v>
      </c>
    </row>
    <row r="12" spans="1:178" x14ac:dyDescent="0.2">
      <c r="A12" t="s">
        <v>222</v>
      </c>
      <c r="C12" t="s">
        <v>223</v>
      </c>
      <c r="E12" t="s">
        <v>198</v>
      </c>
      <c r="G12">
        <v>0.5</v>
      </c>
      <c r="H12" t="s">
        <v>111</v>
      </c>
      <c r="I12">
        <v>0.16666666666666666</v>
      </c>
      <c r="J12">
        <v>0.84395424836601318</v>
      </c>
      <c r="K12">
        <v>0.92063492063492058</v>
      </c>
      <c r="M12">
        <v>1200</v>
      </c>
      <c r="N12">
        <v>30</v>
      </c>
      <c r="O12">
        <v>3</v>
      </c>
      <c r="P12">
        <v>2</v>
      </c>
      <c r="Q12">
        <v>3</v>
      </c>
      <c r="R12">
        <v>2</v>
      </c>
      <c r="T12">
        <v>0.51818181818181819</v>
      </c>
      <c r="U12" t="s">
        <v>111</v>
      </c>
      <c r="V12">
        <v>7.1428571428571425E-2</v>
      </c>
      <c r="W12">
        <v>0.49702380952380953</v>
      </c>
      <c r="X12">
        <v>0.52380952380952384</v>
      </c>
      <c r="Z12">
        <v>1200</v>
      </c>
      <c r="AA12">
        <v>30</v>
      </c>
      <c r="AB12">
        <v>3</v>
      </c>
      <c r="AC12">
        <v>2</v>
      </c>
      <c r="AD12">
        <v>3</v>
      </c>
      <c r="AE12">
        <v>2</v>
      </c>
      <c r="AG12">
        <v>0.75</v>
      </c>
      <c r="AH12">
        <v>0.74814814814814812</v>
      </c>
      <c r="AI12">
        <v>0</v>
      </c>
      <c r="AJ12">
        <v>0.67243867243867239</v>
      </c>
      <c r="AK12">
        <v>0.84126984126984128</v>
      </c>
      <c r="AM12">
        <v>1279</v>
      </c>
      <c r="AN12">
        <v>70</v>
      </c>
      <c r="AO12">
        <v>4</v>
      </c>
      <c r="AP12">
        <v>3</v>
      </c>
      <c r="AQ12">
        <v>4</v>
      </c>
      <c r="AR12">
        <v>4</v>
      </c>
      <c r="AT12">
        <v>0.75</v>
      </c>
      <c r="AU12">
        <v>0.74814814814814812</v>
      </c>
      <c r="AV12">
        <v>0</v>
      </c>
      <c r="AW12">
        <v>0.39583333333333331</v>
      </c>
      <c r="AX12">
        <v>0.71984126984126995</v>
      </c>
      <c r="AZ12">
        <v>1200</v>
      </c>
      <c r="BA12">
        <v>70</v>
      </c>
      <c r="BB12">
        <v>3</v>
      </c>
      <c r="BC12">
        <v>4</v>
      </c>
      <c r="BD12">
        <v>4</v>
      </c>
      <c r="BE12">
        <v>4</v>
      </c>
      <c r="BG12">
        <v>0.5</v>
      </c>
      <c r="BH12" t="s">
        <v>111</v>
      </c>
      <c r="BI12">
        <v>0.16666666666666666</v>
      </c>
      <c r="BJ12">
        <v>0.875</v>
      </c>
      <c r="BK12">
        <v>0.92063492063492058</v>
      </c>
      <c r="BM12">
        <v>0.75</v>
      </c>
      <c r="BN12">
        <v>0.74814814814814812</v>
      </c>
      <c r="BO12">
        <v>0</v>
      </c>
      <c r="BP12">
        <v>0.50925925925925919</v>
      </c>
      <c r="BQ12">
        <v>0.71984126984126995</v>
      </c>
      <c r="BS12">
        <v>0.51818181818181819</v>
      </c>
      <c r="BT12" t="s">
        <v>111</v>
      </c>
      <c r="BU12">
        <v>7.1428571428571425E-2</v>
      </c>
      <c r="BV12">
        <v>0.70833333333333326</v>
      </c>
      <c r="BW12">
        <v>0.52380952380952384</v>
      </c>
      <c r="BY12">
        <v>0.75</v>
      </c>
      <c r="BZ12">
        <v>0.74814814814814812</v>
      </c>
      <c r="CA12">
        <v>0</v>
      </c>
      <c r="CB12">
        <v>0.88888888888888884</v>
      </c>
      <c r="CC12">
        <v>0.84126984126984128</v>
      </c>
      <c r="CF12">
        <v>1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1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3</v>
      </c>
      <c r="CV12">
        <v>4</v>
      </c>
      <c r="CY12" t="s">
        <v>207</v>
      </c>
      <c r="CZ12">
        <v>1</v>
      </c>
      <c r="DA12" t="s">
        <v>111</v>
      </c>
      <c r="DB12">
        <v>0</v>
      </c>
      <c r="DC12">
        <v>45447</v>
      </c>
      <c r="DE12">
        <v>26</v>
      </c>
      <c r="DF12" t="s">
        <v>224</v>
      </c>
      <c r="DG12" t="s">
        <v>225</v>
      </c>
      <c r="DH12">
        <v>60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1</v>
      </c>
      <c r="DP12">
        <v>4</v>
      </c>
      <c r="DQ12">
        <v>4</v>
      </c>
      <c r="DR12">
        <v>4</v>
      </c>
      <c r="DS12">
        <v>4</v>
      </c>
      <c r="DT12">
        <v>4</v>
      </c>
      <c r="DU12">
        <v>4</v>
      </c>
      <c r="DV12">
        <v>5</v>
      </c>
      <c r="DW12">
        <v>4</v>
      </c>
      <c r="DX12">
        <v>4</v>
      </c>
      <c r="DY12">
        <v>4</v>
      </c>
      <c r="DZ12">
        <v>5</v>
      </c>
      <c r="EA12">
        <v>1</v>
      </c>
      <c r="ED12">
        <v>3</v>
      </c>
      <c r="EE12">
        <v>3</v>
      </c>
      <c r="EF12">
        <v>4</v>
      </c>
      <c r="EG12">
        <v>3</v>
      </c>
      <c r="EH12">
        <v>4</v>
      </c>
      <c r="EI12">
        <v>3</v>
      </c>
      <c r="EJ12">
        <v>5</v>
      </c>
      <c r="EK12">
        <v>4</v>
      </c>
      <c r="EL12">
        <v>3</v>
      </c>
      <c r="EM12">
        <v>5</v>
      </c>
      <c r="EN12">
        <v>5</v>
      </c>
      <c r="EQ12">
        <v>5</v>
      </c>
      <c r="ER12">
        <v>4</v>
      </c>
      <c r="ES12">
        <v>2</v>
      </c>
      <c r="ET12">
        <v>2</v>
      </c>
      <c r="EU12">
        <v>5</v>
      </c>
      <c r="EV12">
        <v>1</v>
      </c>
      <c r="EW12">
        <v>1</v>
      </c>
      <c r="EX12">
        <v>4</v>
      </c>
      <c r="EY12">
        <v>1</v>
      </c>
      <c r="EZ12">
        <v>1</v>
      </c>
      <c r="FA12">
        <v>1</v>
      </c>
      <c r="FL12">
        <v>0.61557539682539675</v>
      </c>
      <c r="FM12">
        <v>0.45543831168831161</v>
      </c>
      <c r="FN12">
        <v>0.54544973544973541</v>
      </c>
      <c r="FO12">
        <v>0.6456613756613756</v>
      </c>
      <c r="FP12">
        <v>0.5655312049062049</v>
      </c>
      <c r="FR12">
        <v>0.60781395891690004</v>
      </c>
      <c r="FS12">
        <v>0.40261093073593068</v>
      </c>
      <c r="FT12">
        <v>0.52276455026455027</v>
      </c>
      <c r="FU12">
        <v>0.60237133237133234</v>
      </c>
      <c r="FV12">
        <v>0.53389019307217833</v>
      </c>
    </row>
    <row r="13" spans="1:178" x14ac:dyDescent="0.2">
      <c r="A13" t="s">
        <v>226</v>
      </c>
      <c r="C13" t="s">
        <v>227</v>
      </c>
      <c r="E13" t="s">
        <v>198</v>
      </c>
      <c r="G13">
        <v>0.3888888888888889</v>
      </c>
      <c r="H13" t="s">
        <v>111</v>
      </c>
      <c r="I13">
        <v>0.41666666666666663</v>
      </c>
      <c r="J13">
        <v>0.54411764705882359</v>
      </c>
      <c r="K13">
        <v>0.52380952380952384</v>
      </c>
      <c r="M13">
        <v>1200</v>
      </c>
      <c r="N13">
        <v>30</v>
      </c>
      <c r="O13">
        <v>1.5</v>
      </c>
      <c r="P13">
        <v>2.5</v>
      </c>
      <c r="Q13">
        <v>1.5</v>
      </c>
      <c r="R13">
        <v>2</v>
      </c>
      <c r="T13">
        <v>0.65454545454545454</v>
      </c>
      <c r="U13" t="s">
        <v>111</v>
      </c>
      <c r="V13">
        <v>7.1428571428571425E-2</v>
      </c>
      <c r="W13">
        <v>0.48809523809523808</v>
      </c>
      <c r="X13">
        <v>0.49404761904761901</v>
      </c>
      <c r="Z13">
        <v>1200</v>
      </c>
      <c r="AA13">
        <v>30</v>
      </c>
      <c r="AB13">
        <v>1.5</v>
      </c>
      <c r="AC13">
        <v>2.5</v>
      </c>
      <c r="AD13">
        <v>1.5</v>
      </c>
      <c r="AE13">
        <v>2</v>
      </c>
      <c r="AG13">
        <v>0.75</v>
      </c>
      <c r="AH13">
        <v>0.27407407407407408</v>
      </c>
      <c r="AI13">
        <v>0</v>
      </c>
      <c r="AJ13">
        <v>0.66810966810966799</v>
      </c>
      <c r="AK13">
        <v>0.75238095238095237</v>
      </c>
      <c r="AM13">
        <v>1200</v>
      </c>
      <c r="AN13">
        <v>50</v>
      </c>
      <c r="AO13">
        <v>2.5</v>
      </c>
      <c r="AP13">
        <v>3</v>
      </c>
      <c r="AQ13">
        <v>2</v>
      </c>
      <c r="AR13">
        <v>2.5</v>
      </c>
      <c r="AT13">
        <v>0.34722222222222221</v>
      </c>
      <c r="AU13">
        <v>0.27407407407407408</v>
      </c>
      <c r="AV13">
        <v>0</v>
      </c>
      <c r="AW13">
        <v>0.28125</v>
      </c>
      <c r="AX13">
        <v>0.57301587301587309</v>
      </c>
      <c r="AZ13">
        <v>1200</v>
      </c>
      <c r="BA13">
        <v>35</v>
      </c>
      <c r="BB13">
        <v>2.5</v>
      </c>
      <c r="BC13">
        <v>2.5</v>
      </c>
      <c r="BD13">
        <v>2</v>
      </c>
      <c r="BE13">
        <v>2</v>
      </c>
      <c r="BG13">
        <v>0.3888888888888889</v>
      </c>
      <c r="BH13" t="s">
        <v>111</v>
      </c>
      <c r="BI13">
        <v>0.41666666666666663</v>
      </c>
      <c r="BJ13">
        <v>0.5625</v>
      </c>
      <c r="BK13">
        <v>0.52380952380952384</v>
      </c>
      <c r="BM13">
        <v>0.34722222222222221</v>
      </c>
      <c r="BN13">
        <v>0.27407407407407408</v>
      </c>
      <c r="BO13">
        <v>0</v>
      </c>
      <c r="BP13">
        <v>0.29629629629629628</v>
      </c>
      <c r="BQ13">
        <v>0.57301587301587309</v>
      </c>
      <c r="BS13">
        <v>0.65454545454545454</v>
      </c>
      <c r="BT13" t="s">
        <v>111</v>
      </c>
      <c r="BU13">
        <v>7.1428571428571425E-2</v>
      </c>
      <c r="BV13">
        <v>0.83333333333333326</v>
      </c>
      <c r="BW13">
        <v>0.49404761904761901</v>
      </c>
      <c r="BY13">
        <v>0.75</v>
      </c>
      <c r="BZ13">
        <v>0.27407407407407408</v>
      </c>
      <c r="CA13">
        <v>0</v>
      </c>
      <c r="CB13">
        <v>0.83333333333333337</v>
      </c>
      <c r="CC13">
        <v>0.75238095238095237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1</v>
      </c>
      <c r="CL13">
        <v>0.5</v>
      </c>
      <c r="CM13">
        <v>0</v>
      </c>
      <c r="CN13">
        <v>0.5</v>
      </c>
      <c r="CO13">
        <v>0</v>
      </c>
      <c r="CP13">
        <v>0.5</v>
      </c>
      <c r="CQ13">
        <v>0.5</v>
      </c>
      <c r="CR13">
        <v>0</v>
      </c>
      <c r="CS13">
        <v>0</v>
      </c>
      <c r="CT13">
        <v>0</v>
      </c>
      <c r="CU13">
        <v>4</v>
      </c>
      <c r="CV13">
        <v>4</v>
      </c>
      <c r="CY13" t="s">
        <v>207</v>
      </c>
      <c r="CZ13">
        <v>2</v>
      </c>
      <c r="DA13" t="s">
        <v>111</v>
      </c>
      <c r="DB13">
        <v>0</v>
      </c>
      <c r="DC13">
        <v>45454</v>
      </c>
      <c r="DE13">
        <v>24</v>
      </c>
      <c r="DF13" t="s">
        <v>216</v>
      </c>
      <c r="DG13" t="s">
        <v>217</v>
      </c>
      <c r="DH13">
        <v>18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P13">
        <v>4</v>
      </c>
      <c r="DQ13">
        <v>3</v>
      </c>
      <c r="DR13">
        <v>3</v>
      </c>
      <c r="DS13">
        <v>3</v>
      </c>
      <c r="DT13">
        <v>3</v>
      </c>
      <c r="DU13">
        <v>3</v>
      </c>
      <c r="DV13">
        <v>5</v>
      </c>
      <c r="DW13">
        <v>3</v>
      </c>
      <c r="DX13">
        <v>2</v>
      </c>
      <c r="DY13">
        <v>3</v>
      </c>
      <c r="DZ13">
        <v>4</v>
      </c>
      <c r="EA13">
        <v>0</v>
      </c>
      <c r="ED13">
        <v>2</v>
      </c>
      <c r="EE13">
        <v>3</v>
      </c>
      <c r="EF13">
        <v>3</v>
      </c>
      <c r="EG13">
        <v>4</v>
      </c>
      <c r="EH13">
        <v>2</v>
      </c>
      <c r="EI13">
        <v>2</v>
      </c>
      <c r="EJ13">
        <v>4</v>
      </c>
      <c r="EK13">
        <v>3</v>
      </c>
      <c r="EL13">
        <v>3</v>
      </c>
      <c r="EM13">
        <v>4</v>
      </c>
      <c r="EN13">
        <v>4</v>
      </c>
      <c r="EQ13">
        <v>4</v>
      </c>
      <c r="ER13">
        <v>2</v>
      </c>
      <c r="ES13">
        <v>2</v>
      </c>
      <c r="ET13">
        <v>2</v>
      </c>
      <c r="EU13">
        <v>2</v>
      </c>
      <c r="EV13">
        <v>1</v>
      </c>
      <c r="EW13">
        <v>1</v>
      </c>
      <c r="EX13">
        <v>3</v>
      </c>
      <c r="EY13">
        <v>1</v>
      </c>
      <c r="EZ13">
        <v>2</v>
      </c>
      <c r="FA13">
        <v>4</v>
      </c>
      <c r="FL13">
        <v>0.47296626984126988</v>
      </c>
      <c r="FM13">
        <v>0.51333874458874451</v>
      </c>
      <c r="FN13">
        <v>0.29812169312169312</v>
      </c>
      <c r="FO13">
        <v>0.52195767195767195</v>
      </c>
      <c r="FP13">
        <v>0.45159609487734487</v>
      </c>
      <c r="FR13">
        <v>0.46837068160597572</v>
      </c>
      <c r="FS13">
        <v>0.42702922077922079</v>
      </c>
      <c r="FT13">
        <v>0.29511243386243385</v>
      </c>
      <c r="FU13">
        <v>0.48891293891293885</v>
      </c>
      <c r="FV13">
        <v>0.41985631879014229</v>
      </c>
    </row>
    <row r="14" spans="1:178" x14ac:dyDescent="0.2">
      <c r="A14" t="s">
        <v>228</v>
      </c>
      <c r="C14" t="s">
        <v>229</v>
      </c>
      <c r="E14" t="s">
        <v>198</v>
      </c>
      <c r="G14">
        <v>0.88888888888888884</v>
      </c>
      <c r="H14" t="s">
        <v>111</v>
      </c>
      <c r="I14">
        <v>0.58333333333333326</v>
      </c>
      <c r="J14">
        <v>0.57352941176470584</v>
      </c>
      <c r="K14">
        <v>0.63095238095238093</v>
      </c>
      <c r="M14">
        <v>1064</v>
      </c>
      <c r="N14">
        <v>45</v>
      </c>
      <c r="O14">
        <v>3</v>
      </c>
      <c r="P14">
        <v>2</v>
      </c>
      <c r="Q14">
        <v>3.5</v>
      </c>
      <c r="R14">
        <v>2</v>
      </c>
      <c r="T14">
        <v>0.60909090909090913</v>
      </c>
      <c r="U14" t="s">
        <v>111</v>
      </c>
      <c r="V14">
        <v>0.5357142857142857</v>
      </c>
      <c r="W14">
        <v>0.48809523809523803</v>
      </c>
      <c r="X14">
        <v>0.51388888888888884</v>
      </c>
      <c r="Z14">
        <v>1064</v>
      </c>
      <c r="AA14">
        <v>45</v>
      </c>
      <c r="AB14">
        <v>3</v>
      </c>
      <c r="AC14">
        <v>2</v>
      </c>
      <c r="AD14">
        <v>3.5</v>
      </c>
      <c r="AE14">
        <v>2</v>
      </c>
      <c r="AG14">
        <v>0.66666666666666663</v>
      </c>
      <c r="AH14">
        <v>0.37777777777777777</v>
      </c>
      <c r="AI14">
        <v>0.5</v>
      </c>
      <c r="AJ14">
        <v>0.58369408369408371</v>
      </c>
      <c r="AK14">
        <v>0.67579365079365072</v>
      </c>
      <c r="AM14">
        <v>1082</v>
      </c>
      <c r="AN14">
        <v>50</v>
      </c>
      <c r="AO14">
        <v>2.5</v>
      </c>
      <c r="AP14">
        <v>2.5</v>
      </c>
      <c r="AQ14">
        <v>3</v>
      </c>
      <c r="AR14">
        <v>2.5</v>
      </c>
      <c r="AT14">
        <v>0.59722222222222232</v>
      </c>
      <c r="AU14">
        <v>0.37777777777777777</v>
      </c>
      <c r="AV14">
        <v>0.5</v>
      </c>
      <c r="AW14">
        <v>0.16220238095238096</v>
      </c>
      <c r="AX14">
        <v>0.38769841269841271</v>
      </c>
      <c r="AZ14">
        <v>1200</v>
      </c>
      <c r="BA14">
        <v>37.5</v>
      </c>
      <c r="BB14">
        <v>2.5</v>
      </c>
      <c r="BC14">
        <v>2</v>
      </c>
      <c r="BD14">
        <v>3</v>
      </c>
      <c r="BE14">
        <v>1.5</v>
      </c>
      <c r="BG14">
        <v>0.88888888888888884</v>
      </c>
      <c r="BH14" t="s">
        <v>111</v>
      </c>
      <c r="BI14">
        <v>0.58333333333333326</v>
      </c>
      <c r="BJ14">
        <v>0.6875</v>
      </c>
      <c r="BK14">
        <v>0.63095238095238093</v>
      </c>
      <c r="BM14">
        <v>0.59722222222222232</v>
      </c>
      <c r="BN14">
        <v>0.37777777777777777</v>
      </c>
      <c r="BO14">
        <v>0.5</v>
      </c>
      <c r="BP14">
        <v>0.25</v>
      </c>
      <c r="BQ14">
        <v>0.38769841269841271</v>
      </c>
      <c r="BS14">
        <v>0.60909090909090913</v>
      </c>
      <c r="BT14" t="s">
        <v>111</v>
      </c>
      <c r="BU14">
        <v>0.5357142857142857</v>
      </c>
      <c r="BV14">
        <v>0.52083333333333326</v>
      </c>
      <c r="BW14">
        <v>0.51388888888888884</v>
      </c>
      <c r="BY14">
        <v>0.66666666666666663</v>
      </c>
      <c r="BZ14">
        <v>0.37777777777777777</v>
      </c>
      <c r="CA14">
        <v>0.5</v>
      </c>
      <c r="CB14">
        <v>0.80555555555555547</v>
      </c>
      <c r="CC14">
        <v>0.67579365079365072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1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3</v>
      </c>
      <c r="CV14">
        <v>3</v>
      </c>
      <c r="CY14" t="s">
        <v>199</v>
      </c>
      <c r="CZ14">
        <v>2</v>
      </c>
      <c r="DA14" t="s">
        <v>111</v>
      </c>
      <c r="DB14">
        <v>0</v>
      </c>
      <c r="DC14">
        <v>45454</v>
      </c>
      <c r="DE14">
        <v>37</v>
      </c>
      <c r="DF14" t="s">
        <v>230</v>
      </c>
      <c r="DG14" t="s">
        <v>231</v>
      </c>
      <c r="DH14">
        <v>168</v>
      </c>
      <c r="DI14">
        <v>0</v>
      </c>
      <c r="DJ14">
        <v>0</v>
      </c>
      <c r="DK14">
        <v>1</v>
      </c>
      <c r="DL14">
        <v>2</v>
      </c>
      <c r="DM14">
        <v>1</v>
      </c>
      <c r="DN14">
        <v>0</v>
      </c>
      <c r="DP14">
        <v>4</v>
      </c>
      <c r="DQ14">
        <v>4</v>
      </c>
      <c r="DR14">
        <v>4</v>
      </c>
      <c r="DS14">
        <v>4</v>
      </c>
      <c r="DT14">
        <v>4</v>
      </c>
      <c r="DU14">
        <v>3</v>
      </c>
      <c r="DV14">
        <v>5</v>
      </c>
      <c r="DW14">
        <v>3</v>
      </c>
      <c r="DX14">
        <v>4</v>
      </c>
      <c r="DY14">
        <v>3</v>
      </c>
      <c r="DZ14">
        <v>5</v>
      </c>
      <c r="EA14">
        <v>1</v>
      </c>
      <c r="ED14">
        <v>4</v>
      </c>
      <c r="EE14">
        <v>4</v>
      </c>
      <c r="EF14">
        <v>4</v>
      </c>
      <c r="EG14">
        <v>4</v>
      </c>
      <c r="EH14">
        <v>4</v>
      </c>
      <c r="EI14">
        <v>4</v>
      </c>
      <c r="EJ14">
        <v>5</v>
      </c>
      <c r="EK14">
        <v>4</v>
      </c>
      <c r="EL14">
        <v>4</v>
      </c>
      <c r="EM14">
        <v>4</v>
      </c>
      <c r="EN14">
        <v>5</v>
      </c>
      <c r="EQ14">
        <v>4</v>
      </c>
      <c r="ER14">
        <v>4</v>
      </c>
      <c r="ES14">
        <v>3</v>
      </c>
      <c r="ET14">
        <v>4</v>
      </c>
      <c r="EU14">
        <v>4</v>
      </c>
      <c r="EV14">
        <v>2</v>
      </c>
      <c r="EW14">
        <v>2</v>
      </c>
      <c r="EX14">
        <v>4</v>
      </c>
      <c r="EY14">
        <v>2</v>
      </c>
      <c r="EZ14">
        <v>3</v>
      </c>
      <c r="FA14">
        <v>4</v>
      </c>
      <c r="FL14">
        <v>0.69766865079365081</v>
      </c>
      <c r="FM14">
        <v>0.54488185425685431</v>
      </c>
      <c r="FN14">
        <v>0.42253968253968255</v>
      </c>
      <c r="FO14">
        <v>0.60515873015873001</v>
      </c>
      <c r="FP14">
        <v>0.56756222943722934</v>
      </c>
      <c r="FR14">
        <v>0.66917600373482722</v>
      </c>
      <c r="FS14">
        <v>0.53669733044733048</v>
      </c>
      <c r="FT14">
        <v>0.40498015873015875</v>
      </c>
      <c r="FU14">
        <v>0.56078643578643572</v>
      </c>
      <c r="FV14">
        <v>0.542909982174688</v>
      </c>
    </row>
    <row r="15" spans="1:178" x14ac:dyDescent="0.2">
      <c r="A15" t="s">
        <v>232</v>
      </c>
      <c r="C15" t="s">
        <v>233</v>
      </c>
      <c r="E15" t="s">
        <v>198</v>
      </c>
      <c r="G15">
        <v>0.3888888888888889</v>
      </c>
      <c r="H15" t="s">
        <v>111</v>
      </c>
      <c r="I15">
        <v>0</v>
      </c>
      <c r="J15">
        <v>0.66911764705882359</v>
      </c>
      <c r="K15">
        <v>0.66269841269841268</v>
      </c>
      <c r="M15">
        <v>748</v>
      </c>
      <c r="N15">
        <v>40</v>
      </c>
      <c r="O15">
        <v>3</v>
      </c>
      <c r="P15">
        <v>2</v>
      </c>
      <c r="Q15">
        <v>3</v>
      </c>
      <c r="R15">
        <v>1</v>
      </c>
      <c r="T15">
        <v>0.60909090909090913</v>
      </c>
      <c r="U15" t="s">
        <v>111</v>
      </c>
      <c r="V15">
        <v>7.1428571428571425E-2</v>
      </c>
      <c r="W15">
        <v>0.52380952380952372</v>
      </c>
      <c r="X15">
        <v>0.76190476190476186</v>
      </c>
      <c r="Z15">
        <v>748</v>
      </c>
      <c r="AA15">
        <v>40</v>
      </c>
      <c r="AB15">
        <v>3</v>
      </c>
      <c r="AC15">
        <v>2</v>
      </c>
      <c r="AD15">
        <v>3</v>
      </c>
      <c r="AE15">
        <v>1</v>
      </c>
      <c r="AG15">
        <v>0.5</v>
      </c>
      <c r="AH15">
        <v>0.26666666666666666</v>
      </c>
      <c r="AI15">
        <v>0</v>
      </c>
      <c r="AJ15">
        <v>0.51659451659451661</v>
      </c>
      <c r="AK15">
        <v>0.81825396825396834</v>
      </c>
      <c r="AM15">
        <v>1074</v>
      </c>
      <c r="AN15">
        <v>60</v>
      </c>
      <c r="AO15">
        <v>2</v>
      </c>
      <c r="AP15">
        <v>2</v>
      </c>
      <c r="AQ15">
        <v>3</v>
      </c>
      <c r="AR15">
        <v>2</v>
      </c>
      <c r="AT15">
        <v>0.47222222222222221</v>
      </c>
      <c r="AU15">
        <v>0.26666666666666666</v>
      </c>
      <c r="AV15">
        <v>0</v>
      </c>
      <c r="AW15">
        <v>0.10416666666666667</v>
      </c>
      <c r="AX15">
        <v>0.80634920634920648</v>
      </c>
      <c r="AZ15">
        <v>1200</v>
      </c>
      <c r="BA15">
        <v>60</v>
      </c>
      <c r="BB15">
        <v>2</v>
      </c>
      <c r="BC15">
        <v>2</v>
      </c>
      <c r="BD15">
        <v>3</v>
      </c>
      <c r="BE15">
        <v>2</v>
      </c>
      <c r="BG15">
        <v>0.3888888888888889</v>
      </c>
      <c r="BH15" t="s">
        <v>111</v>
      </c>
      <c r="BI15">
        <v>0</v>
      </c>
      <c r="BJ15">
        <v>0.6875</v>
      </c>
      <c r="BK15">
        <v>0.66269841269841268</v>
      </c>
      <c r="BM15">
        <v>0.47222222222222221</v>
      </c>
      <c r="BN15">
        <v>0.26666666666666666</v>
      </c>
      <c r="BO15">
        <v>0</v>
      </c>
      <c r="BP15">
        <v>0.1851851851851852</v>
      </c>
      <c r="BQ15">
        <v>0.80634920634920648</v>
      </c>
      <c r="BS15">
        <v>0.60909090909090913</v>
      </c>
      <c r="BT15" t="s">
        <v>111</v>
      </c>
      <c r="BU15">
        <v>7.1428571428571425E-2</v>
      </c>
      <c r="BV15">
        <v>0.70833333333333326</v>
      </c>
      <c r="BW15">
        <v>0.76190476190476186</v>
      </c>
      <c r="BY15">
        <v>0.5</v>
      </c>
      <c r="BZ15">
        <v>0.26666666666666666</v>
      </c>
      <c r="CA15">
        <v>0</v>
      </c>
      <c r="CB15">
        <v>0.88888888888888884</v>
      </c>
      <c r="CC15">
        <v>0.81825396825396834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1</v>
      </c>
      <c r="CM15">
        <v>0</v>
      </c>
      <c r="CN15">
        <v>1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3</v>
      </c>
      <c r="CV15">
        <v>3</v>
      </c>
      <c r="CY15" t="s">
        <v>199</v>
      </c>
      <c r="CZ15">
        <v>2</v>
      </c>
      <c r="DA15" t="s">
        <v>111</v>
      </c>
      <c r="DB15">
        <v>0</v>
      </c>
      <c r="DC15">
        <v>45457</v>
      </c>
      <c r="DE15">
        <v>20</v>
      </c>
      <c r="DF15" t="s">
        <v>220</v>
      </c>
      <c r="DG15" t="s">
        <v>234</v>
      </c>
      <c r="DH15">
        <v>24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P15">
        <v>5</v>
      </c>
      <c r="DQ15">
        <v>5</v>
      </c>
      <c r="DR15">
        <v>4</v>
      </c>
      <c r="DS15">
        <v>5</v>
      </c>
      <c r="DT15">
        <v>4</v>
      </c>
      <c r="DU15">
        <v>5</v>
      </c>
      <c r="DV15">
        <v>5</v>
      </c>
      <c r="DW15">
        <v>4</v>
      </c>
      <c r="DX15">
        <v>3</v>
      </c>
      <c r="DY15">
        <v>3</v>
      </c>
      <c r="DZ15">
        <v>4</v>
      </c>
      <c r="EA15">
        <v>1.5</v>
      </c>
      <c r="ED15">
        <v>5</v>
      </c>
      <c r="EE15">
        <v>4</v>
      </c>
      <c r="EF15">
        <v>4</v>
      </c>
      <c r="EG15">
        <v>4</v>
      </c>
      <c r="EH15">
        <v>3</v>
      </c>
      <c r="EI15">
        <v>4</v>
      </c>
      <c r="EJ15">
        <v>5</v>
      </c>
      <c r="EK15">
        <v>5</v>
      </c>
      <c r="EL15">
        <v>3</v>
      </c>
      <c r="EM15">
        <v>3</v>
      </c>
      <c r="EN15">
        <v>4</v>
      </c>
      <c r="EQ15">
        <v>3</v>
      </c>
      <c r="ER15">
        <v>3</v>
      </c>
      <c r="ES15">
        <v>2</v>
      </c>
      <c r="ET15">
        <v>4</v>
      </c>
      <c r="EU15">
        <v>0</v>
      </c>
      <c r="EV15">
        <v>3</v>
      </c>
      <c r="EW15">
        <v>2</v>
      </c>
      <c r="EX15">
        <v>3</v>
      </c>
      <c r="EY15">
        <v>3</v>
      </c>
      <c r="EZ15">
        <v>3</v>
      </c>
      <c r="FA15">
        <v>3</v>
      </c>
      <c r="FL15">
        <v>0.43477182539682535</v>
      </c>
      <c r="FM15">
        <v>0.53768939393939386</v>
      </c>
      <c r="FN15">
        <v>0.34608465608465611</v>
      </c>
      <c r="FO15">
        <v>0.49476190476190479</v>
      </c>
      <c r="FP15">
        <v>0.45332694504569498</v>
      </c>
      <c r="FR15">
        <v>0.43017623716153131</v>
      </c>
      <c r="FS15">
        <v>0.49155844155844153</v>
      </c>
      <c r="FT15">
        <v>0.32988095238095239</v>
      </c>
      <c r="FU15">
        <v>0.42030303030303029</v>
      </c>
      <c r="FV15">
        <v>0.41797966535098885</v>
      </c>
    </row>
    <row r="16" spans="1:178" x14ac:dyDescent="0.2">
      <c r="A16" t="s">
        <v>235</v>
      </c>
      <c r="C16" t="s">
        <v>236</v>
      </c>
      <c r="E16" t="s">
        <v>198</v>
      </c>
      <c r="G16">
        <v>0.3888888888888889</v>
      </c>
      <c r="H16" t="s">
        <v>111</v>
      </c>
      <c r="I16">
        <v>0.75</v>
      </c>
      <c r="J16">
        <v>0.66911764705882359</v>
      </c>
      <c r="K16">
        <v>0.62301587301587302</v>
      </c>
      <c r="M16">
        <v>1200</v>
      </c>
      <c r="N16">
        <v>30</v>
      </c>
      <c r="O16">
        <v>3</v>
      </c>
      <c r="P16">
        <v>1</v>
      </c>
      <c r="Q16">
        <v>3</v>
      </c>
      <c r="R16">
        <v>2</v>
      </c>
      <c r="T16">
        <v>0.24545454545454548</v>
      </c>
      <c r="U16" t="s">
        <v>111</v>
      </c>
      <c r="V16">
        <v>7.1428571428571425E-2</v>
      </c>
      <c r="W16">
        <v>0.52380952380952372</v>
      </c>
      <c r="X16">
        <v>0.42063492063492064</v>
      </c>
      <c r="Z16">
        <v>1200</v>
      </c>
      <c r="AA16">
        <v>30</v>
      </c>
      <c r="AB16">
        <v>3</v>
      </c>
      <c r="AC16">
        <v>1</v>
      </c>
      <c r="AD16">
        <v>3</v>
      </c>
      <c r="AE16">
        <v>2</v>
      </c>
      <c r="AG16">
        <v>0.75</v>
      </c>
      <c r="AH16">
        <v>0.25185185185185183</v>
      </c>
      <c r="AI16">
        <v>0</v>
      </c>
      <c r="AJ16">
        <v>0.69841269841269826</v>
      </c>
      <c r="AK16">
        <v>0.56904761904761914</v>
      </c>
      <c r="AM16">
        <v>1397</v>
      </c>
      <c r="AN16">
        <v>50</v>
      </c>
      <c r="AO16">
        <v>3</v>
      </c>
      <c r="AP16">
        <v>3</v>
      </c>
      <c r="AQ16">
        <v>4</v>
      </c>
      <c r="AR16">
        <v>3</v>
      </c>
      <c r="AT16">
        <v>0.7</v>
      </c>
      <c r="AU16">
        <v>0.25185185185185183</v>
      </c>
      <c r="AV16">
        <v>0.5</v>
      </c>
      <c r="AW16">
        <v>0.35416666666666669</v>
      </c>
      <c r="AX16">
        <v>0.63571428571428579</v>
      </c>
      <c r="AZ16">
        <v>1200</v>
      </c>
      <c r="BA16">
        <v>50</v>
      </c>
      <c r="BB16">
        <v>2</v>
      </c>
      <c r="BC16">
        <v>3</v>
      </c>
      <c r="BD16">
        <v>3</v>
      </c>
      <c r="BE16">
        <v>3</v>
      </c>
      <c r="BG16">
        <v>0.3888888888888889</v>
      </c>
      <c r="BH16" t="s">
        <v>111</v>
      </c>
      <c r="BI16">
        <v>0.75</v>
      </c>
      <c r="BJ16">
        <v>0.8125</v>
      </c>
      <c r="BK16">
        <v>0.62301587301587302</v>
      </c>
      <c r="BM16">
        <v>0.7</v>
      </c>
      <c r="BN16">
        <v>0.25185185185185183</v>
      </c>
      <c r="BO16">
        <v>0.5</v>
      </c>
      <c r="BP16">
        <v>0.43518518518518517</v>
      </c>
      <c r="BQ16">
        <v>0.63571428571428579</v>
      </c>
      <c r="BS16">
        <v>0.24545454545454548</v>
      </c>
      <c r="BT16" t="s">
        <v>111</v>
      </c>
      <c r="BU16">
        <v>7.1428571428571425E-2</v>
      </c>
      <c r="BV16">
        <v>0.45833333333333331</v>
      </c>
      <c r="BW16">
        <v>0.42063492063492064</v>
      </c>
      <c r="BY16">
        <v>0.75</v>
      </c>
      <c r="BZ16">
        <v>0.25185185185185183</v>
      </c>
      <c r="CA16">
        <v>0</v>
      </c>
      <c r="CB16">
        <v>0.88888888888888884</v>
      </c>
      <c r="CC16">
        <v>0.56904761904761914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1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3</v>
      </c>
      <c r="CV16">
        <v>3</v>
      </c>
      <c r="CY16" t="s">
        <v>207</v>
      </c>
      <c r="CZ16">
        <v>1</v>
      </c>
      <c r="DA16" t="s">
        <v>111</v>
      </c>
      <c r="DB16">
        <v>0</v>
      </c>
      <c r="DC16">
        <v>45457</v>
      </c>
      <c r="DE16">
        <v>21</v>
      </c>
      <c r="DF16" t="s">
        <v>237</v>
      </c>
      <c r="DG16" t="s">
        <v>238</v>
      </c>
      <c r="DH16">
        <v>3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P16">
        <v>4</v>
      </c>
      <c r="DQ16">
        <v>4</v>
      </c>
      <c r="DR16">
        <v>5</v>
      </c>
      <c r="DS16">
        <v>4</v>
      </c>
      <c r="DT16">
        <v>5</v>
      </c>
      <c r="DU16">
        <v>3</v>
      </c>
      <c r="DV16">
        <v>5</v>
      </c>
      <c r="DW16">
        <v>3</v>
      </c>
      <c r="DX16">
        <v>3</v>
      </c>
      <c r="DY16">
        <v>4</v>
      </c>
      <c r="DZ16">
        <v>5</v>
      </c>
      <c r="EA16">
        <v>0</v>
      </c>
      <c r="ED16">
        <v>4</v>
      </c>
      <c r="EE16">
        <v>4</v>
      </c>
      <c r="EF16">
        <v>3</v>
      </c>
      <c r="EG16">
        <v>4</v>
      </c>
      <c r="EH16">
        <v>4</v>
      </c>
      <c r="EI16">
        <v>4</v>
      </c>
      <c r="EJ16">
        <v>5</v>
      </c>
      <c r="EK16">
        <v>3</v>
      </c>
      <c r="EL16">
        <v>3</v>
      </c>
      <c r="EM16">
        <v>5</v>
      </c>
      <c r="EN16">
        <v>5</v>
      </c>
      <c r="EQ16">
        <v>4</v>
      </c>
      <c r="ER16">
        <v>3</v>
      </c>
      <c r="ES16">
        <v>4</v>
      </c>
      <c r="ET16">
        <v>4</v>
      </c>
      <c r="EU16">
        <v>4</v>
      </c>
      <c r="EV16">
        <v>2</v>
      </c>
      <c r="EW16">
        <v>2</v>
      </c>
      <c r="EX16">
        <v>3</v>
      </c>
      <c r="EY16">
        <v>3</v>
      </c>
      <c r="EZ16">
        <v>3</v>
      </c>
      <c r="FA16">
        <v>4</v>
      </c>
      <c r="FL16">
        <v>0.64360119047619047</v>
      </c>
      <c r="FM16">
        <v>0.29896284271284274</v>
      </c>
      <c r="FN16">
        <v>0.50455026455026453</v>
      </c>
      <c r="FO16">
        <v>0.49195767195767193</v>
      </c>
      <c r="FP16">
        <v>0.4847679924242424</v>
      </c>
      <c r="FR16">
        <v>0.60775560224089631</v>
      </c>
      <c r="FS16">
        <v>0.3153318903318903</v>
      </c>
      <c r="FT16">
        <v>0.48834656084656086</v>
      </c>
      <c r="FU16">
        <v>0.45386243386243386</v>
      </c>
      <c r="FV16">
        <v>0.46632412182044536</v>
      </c>
    </row>
    <row r="17" spans="1:178" x14ac:dyDescent="0.2">
      <c r="A17" t="s">
        <v>239</v>
      </c>
      <c r="C17" t="s">
        <v>240</v>
      </c>
      <c r="E17" t="s">
        <v>198</v>
      </c>
      <c r="G17">
        <v>0.88888888888888884</v>
      </c>
      <c r="H17" t="s">
        <v>111</v>
      </c>
      <c r="I17">
        <v>0.25</v>
      </c>
      <c r="J17">
        <v>0.63970588235294112</v>
      </c>
      <c r="K17">
        <v>0.37301587301587302</v>
      </c>
      <c r="M17">
        <v>1156</v>
      </c>
      <c r="N17">
        <v>10</v>
      </c>
      <c r="O17">
        <v>1</v>
      </c>
      <c r="P17">
        <v>1</v>
      </c>
      <c r="Q17">
        <v>2</v>
      </c>
      <c r="R17">
        <v>1</v>
      </c>
      <c r="T17">
        <v>0.60909090909090913</v>
      </c>
      <c r="U17" t="s">
        <v>111</v>
      </c>
      <c r="V17">
        <v>0.25</v>
      </c>
      <c r="W17">
        <v>0.47619047619047616</v>
      </c>
      <c r="X17">
        <v>0.3611111111111111</v>
      </c>
      <c r="Z17">
        <v>1156</v>
      </c>
      <c r="AA17">
        <v>10</v>
      </c>
      <c r="AB17">
        <v>1</v>
      </c>
      <c r="AC17">
        <v>1</v>
      </c>
      <c r="AD17">
        <v>2</v>
      </c>
      <c r="AE17">
        <v>1</v>
      </c>
      <c r="AG17">
        <v>0.25</v>
      </c>
      <c r="AH17">
        <v>0.2074074074074074</v>
      </c>
      <c r="AI17">
        <v>0.5</v>
      </c>
      <c r="AJ17">
        <v>0.31746031746031744</v>
      </c>
      <c r="AK17">
        <v>0.23730158730158726</v>
      </c>
      <c r="AM17">
        <v>1364</v>
      </c>
      <c r="AN17">
        <v>15</v>
      </c>
      <c r="AO17">
        <v>2</v>
      </c>
      <c r="AP17">
        <v>1</v>
      </c>
      <c r="AQ17">
        <v>2</v>
      </c>
      <c r="AR17">
        <v>1</v>
      </c>
      <c r="AT17">
        <v>0.75</v>
      </c>
      <c r="AU17">
        <v>0.2074074074074074</v>
      </c>
      <c r="AV17">
        <v>0.5</v>
      </c>
      <c r="AW17">
        <v>0.20833333333333334</v>
      </c>
      <c r="AX17">
        <v>0.28412698412698412</v>
      </c>
      <c r="AZ17">
        <v>1295</v>
      </c>
      <c r="BA17">
        <v>10</v>
      </c>
      <c r="BB17">
        <v>1</v>
      </c>
      <c r="BC17">
        <v>1</v>
      </c>
      <c r="BD17">
        <v>2</v>
      </c>
      <c r="BE17">
        <v>1</v>
      </c>
      <c r="BG17">
        <v>0.88888888888888884</v>
      </c>
      <c r="BH17" t="s">
        <v>111</v>
      </c>
      <c r="BI17">
        <v>0.25</v>
      </c>
      <c r="BJ17">
        <v>0.6875</v>
      </c>
      <c r="BK17">
        <v>0.37301587301587302</v>
      </c>
      <c r="BM17">
        <v>0.75</v>
      </c>
      <c r="BN17">
        <v>0.2074074074074074</v>
      </c>
      <c r="BO17">
        <v>0.5</v>
      </c>
      <c r="BP17">
        <v>0.24074074074074073</v>
      </c>
      <c r="BQ17">
        <v>0.28412698412698412</v>
      </c>
      <c r="BS17">
        <v>0.60909090909090913</v>
      </c>
      <c r="BT17" t="s">
        <v>111</v>
      </c>
      <c r="BU17">
        <v>0.25</v>
      </c>
      <c r="BV17">
        <v>0.45833333333333331</v>
      </c>
      <c r="BW17">
        <v>0.3611111111111111</v>
      </c>
      <c r="BY17">
        <v>0.25</v>
      </c>
      <c r="BZ17">
        <v>0.2074074074074074</v>
      </c>
      <c r="CA17">
        <v>0.5</v>
      </c>
      <c r="CB17">
        <v>0.22222222222222221</v>
      </c>
      <c r="CC17">
        <v>0.23730158730158726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1</v>
      </c>
      <c r="CV17">
        <v>1</v>
      </c>
      <c r="CY17" t="s">
        <v>199</v>
      </c>
      <c r="CZ17">
        <v>1</v>
      </c>
      <c r="DA17" t="s">
        <v>111</v>
      </c>
      <c r="DB17">
        <v>0</v>
      </c>
      <c r="DC17">
        <v>45461</v>
      </c>
      <c r="DE17">
        <v>20</v>
      </c>
      <c r="DF17" t="s">
        <v>241</v>
      </c>
      <c r="DG17" t="s">
        <v>242</v>
      </c>
      <c r="DH17">
        <v>24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P17">
        <v>4</v>
      </c>
      <c r="DQ17">
        <v>4</v>
      </c>
      <c r="DR17">
        <v>4</v>
      </c>
      <c r="DS17">
        <v>2</v>
      </c>
      <c r="DT17">
        <v>4</v>
      </c>
      <c r="DU17">
        <v>3</v>
      </c>
      <c r="DV17">
        <v>5</v>
      </c>
      <c r="DW17">
        <v>4</v>
      </c>
      <c r="DX17">
        <v>3</v>
      </c>
      <c r="DY17">
        <v>2</v>
      </c>
      <c r="DZ17">
        <v>4</v>
      </c>
      <c r="EA17">
        <v>2</v>
      </c>
      <c r="ED17">
        <v>4</v>
      </c>
      <c r="EE17">
        <v>4</v>
      </c>
      <c r="EF17">
        <v>5</v>
      </c>
      <c r="EG17">
        <v>3</v>
      </c>
      <c r="EH17">
        <v>4</v>
      </c>
      <c r="EI17">
        <v>2</v>
      </c>
      <c r="EJ17">
        <v>5</v>
      </c>
      <c r="EK17">
        <v>4</v>
      </c>
      <c r="EL17">
        <v>5</v>
      </c>
      <c r="EM17">
        <v>3</v>
      </c>
      <c r="EN17">
        <v>4</v>
      </c>
      <c r="EQ17">
        <v>4</v>
      </c>
      <c r="ER17">
        <v>2</v>
      </c>
      <c r="ES17">
        <v>1</v>
      </c>
      <c r="ET17">
        <v>2</v>
      </c>
      <c r="EU17">
        <v>1</v>
      </c>
      <c r="EV17">
        <v>2</v>
      </c>
      <c r="EW17">
        <v>1</v>
      </c>
      <c r="EX17">
        <v>3</v>
      </c>
      <c r="EY17">
        <v>2</v>
      </c>
      <c r="EZ17">
        <v>1</v>
      </c>
      <c r="FA17">
        <v>1</v>
      </c>
      <c r="FL17">
        <v>0.54985119047619047</v>
      </c>
      <c r="FM17">
        <v>0.41963383838383839</v>
      </c>
      <c r="FN17">
        <v>0.39645502645502645</v>
      </c>
      <c r="FO17">
        <v>0.28338624338624341</v>
      </c>
      <c r="FP17">
        <v>0.41233157467532466</v>
      </c>
      <c r="FR17">
        <v>0.53790266106442575</v>
      </c>
      <c r="FS17">
        <v>0.42409812409812409</v>
      </c>
      <c r="FT17">
        <v>0.38997354497354497</v>
      </c>
      <c r="FU17">
        <v>0.30243386243386244</v>
      </c>
      <c r="FV17">
        <v>0.4136020481424893</v>
      </c>
    </row>
    <row r="18" spans="1:178" s="28" customFormat="1" x14ac:dyDescent="0.2">
      <c r="A18" s="28" t="s">
        <v>243</v>
      </c>
      <c r="C18" s="28" t="s">
        <v>244</v>
      </c>
      <c r="E18" s="28" t="s">
        <v>198</v>
      </c>
      <c r="G18" s="28">
        <v>0.3888888888888889</v>
      </c>
      <c r="H18" s="28" t="s">
        <v>111</v>
      </c>
      <c r="I18" s="28">
        <v>0.58333333333333326</v>
      </c>
      <c r="J18" s="28">
        <v>0.63235294117647056</v>
      </c>
      <c r="K18" s="28">
        <v>0.27380952380952378</v>
      </c>
      <c r="M18" s="28">
        <v>1200</v>
      </c>
      <c r="N18" s="28">
        <v>15</v>
      </c>
      <c r="O18" s="28">
        <v>2</v>
      </c>
      <c r="P18" s="28">
        <v>1</v>
      </c>
      <c r="Q18" s="28">
        <v>1</v>
      </c>
      <c r="R18" s="28">
        <v>1</v>
      </c>
      <c r="T18" s="28">
        <v>0.33636363636363636</v>
      </c>
      <c r="U18" s="28" t="s">
        <v>111</v>
      </c>
      <c r="V18" s="28">
        <v>0.3214285714285714</v>
      </c>
      <c r="W18" s="28">
        <v>0.45238095238095233</v>
      </c>
      <c r="X18" s="28">
        <v>0.49603174603174605</v>
      </c>
      <c r="Z18" s="28">
        <v>1200</v>
      </c>
      <c r="AA18" s="28">
        <v>15</v>
      </c>
      <c r="AB18" s="28">
        <v>2</v>
      </c>
      <c r="AC18" s="28">
        <v>1</v>
      </c>
      <c r="AD18" s="28">
        <v>1</v>
      </c>
      <c r="AE18" s="28">
        <v>1</v>
      </c>
      <c r="AG18" s="28">
        <v>0.75</v>
      </c>
      <c r="AH18" s="28">
        <v>0.27407407407407408</v>
      </c>
      <c r="AI18" s="28">
        <v>0</v>
      </c>
      <c r="AJ18" s="28">
        <v>0.39826839826839827</v>
      </c>
      <c r="AK18" s="28">
        <v>0.24920634920634921</v>
      </c>
      <c r="AM18" s="28">
        <v>1320</v>
      </c>
      <c r="AN18" s="28">
        <v>17</v>
      </c>
      <c r="AO18" s="28">
        <v>2</v>
      </c>
      <c r="AP18" s="28">
        <v>1</v>
      </c>
      <c r="AQ18" s="28">
        <v>1</v>
      </c>
      <c r="AR18" s="28">
        <v>1</v>
      </c>
      <c r="AT18" s="28">
        <v>0.65</v>
      </c>
      <c r="AU18" s="28">
        <v>0.27407407407407408</v>
      </c>
      <c r="AV18" s="28">
        <v>0.5</v>
      </c>
      <c r="AW18" s="28">
        <v>0.29166666666666669</v>
      </c>
      <c r="AX18" s="28">
        <v>0.43174603174603171</v>
      </c>
      <c r="AZ18" s="28">
        <v>0</v>
      </c>
      <c r="BA18" s="28">
        <v>20</v>
      </c>
      <c r="BB18" s="28">
        <v>2</v>
      </c>
      <c r="BC18" s="28">
        <v>2</v>
      </c>
      <c r="BD18" s="28">
        <v>2</v>
      </c>
      <c r="BE18" s="28">
        <v>1</v>
      </c>
      <c r="BG18" s="28">
        <v>0.3888888888888889</v>
      </c>
      <c r="BH18" s="28" t="s">
        <v>111</v>
      </c>
      <c r="BI18" s="28">
        <v>0.58333333333333326</v>
      </c>
      <c r="BJ18" s="28">
        <v>0.625</v>
      </c>
      <c r="BK18" s="28">
        <v>0.27380952380952378</v>
      </c>
      <c r="BM18" s="28">
        <v>0.65</v>
      </c>
      <c r="BN18" s="28">
        <v>0.27407407407407408</v>
      </c>
      <c r="BO18" s="28">
        <v>0.5</v>
      </c>
      <c r="BP18" s="28">
        <v>0.33333333333333331</v>
      </c>
      <c r="BQ18" s="28">
        <v>0.43174603174603171</v>
      </c>
      <c r="BS18" s="28">
        <v>0.33636363636363636</v>
      </c>
      <c r="BT18" s="28" t="s">
        <v>111</v>
      </c>
      <c r="BU18" s="28">
        <v>0.3214285714285714</v>
      </c>
      <c r="BV18" s="28">
        <v>0.33333333333333331</v>
      </c>
      <c r="BW18" s="28">
        <v>0.49603174603174605</v>
      </c>
      <c r="BY18" s="28">
        <v>0.75</v>
      </c>
      <c r="BZ18" s="28">
        <v>0.27407407407407408</v>
      </c>
      <c r="CA18" s="28">
        <v>0</v>
      </c>
      <c r="CB18" s="28">
        <v>0.38888888888888884</v>
      </c>
      <c r="CC18" s="28">
        <v>0.24920634920634921</v>
      </c>
      <c r="CF18" s="28">
        <v>1</v>
      </c>
      <c r="CG18" s="28">
        <v>0</v>
      </c>
      <c r="CH18" s="28">
        <v>0</v>
      </c>
      <c r="CI18" s="28">
        <v>0</v>
      </c>
      <c r="CJ18" s="28">
        <v>1</v>
      </c>
      <c r="CK18" s="28">
        <v>0</v>
      </c>
      <c r="CL18" s="28">
        <v>1</v>
      </c>
      <c r="CM18" s="28">
        <v>1</v>
      </c>
      <c r="CN18" s="28">
        <v>1</v>
      </c>
      <c r="CO18" s="28">
        <v>1</v>
      </c>
      <c r="CP18" s="28">
        <v>1</v>
      </c>
      <c r="CQ18" s="28">
        <v>1</v>
      </c>
      <c r="CR18" s="28">
        <v>0</v>
      </c>
      <c r="CS18" s="28">
        <v>0</v>
      </c>
      <c r="CT18" s="28">
        <v>1</v>
      </c>
      <c r="CU18" s="28">
        <v>7</v>
      </c>
      <c r="CV18" s="28">
        <v>8</v>
      </c>
      <c r="CY18" s="28" t="s">
        <v>207</v>
      </c>
      <c r="CZ18" s="28">
        <v>1</v>
      </c>
      <c r="DA18" s="28" t="s">
        <v>111</v>
      </c>
      <c r="DB18" s="28">
        <v>0</v>
      </c>
      <c r="DC18" s="28">
        <v>45461</v>
      </c>
      <c r="DE18" s="28">
        <v>23</v>
      </c>
      <c r="DF18" s="28" t="s">
        <v>245</v>
      </c>
      <c r="DG18" s="28" t="s">
        <v>208</v>
      </c>
      <c r="DH18" s="28">
        <v>12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P18" s="28">
        <v>4</v>
      </c>
      <c r="DQ18" s="28">
        <v>4</v>
      </c>
      <c r="DR18" s="28">
        <v>4</v>
      </c>
      <c r="DS18" s="28">
        <v>4</v>
      </c>
      <c r="DT18" s="28">
        <v>4</v>
      </c>
      <c r="DU18" s="28">
        <v>4</v>
      </c>
      <c r="DV18" s="28">
        <v>5</v>
      </c>
      <c r="DW18" s="28">
        <v>4</v>
      </c>
      <c r="DX18" s="28">
        <v>3</v>
      </c>
      <c r="DY18" s="28">
        <v>3</v>
      </c>
      <c r="DZ18" s="28">
        <v>4</v>
      </c>
      <c r="EA18" s="28">
        <v>1</v>
      </c>
      <c r="ED18" s="28">
        <v>4</v>
      </c>
      <c r="EE18" s="28">
        <v>3</v>
      </c>
      <c r="EF18" s="28">
        <v>4</v>
      </c>
      <c r="EG18" s="28">
        <v>2</v>
      </c>
      <c r="EH18" s="28">
        <v>3</v>
      </c>
      <c r="EI18" s="28">
        <v>3</v>
      </c>
      <c r="EJ18" s="28">
        <v>5</v>
      </c>
      <c r="EK18" s="28">
        <v>3</v>
      </c>
      <c r="EL18" s="28">
        <v>2</v>
      </c>
      <c r="EM18" s="28">
        <v>3</v>
      </c>
      <c r="EN18" s="28">
        <v>4</v>
      </c>
      <c r="EQ18" s="28">
        <v>4</v>
      </c>
      <c r="ER18" s="28">
        <v>3</v>
      </c>
      <c r="ES18" s="28">
        <v>3</v>
      </c>
      <c r="ET18" s="28">
        <v>2</v>
      </c>
      <c r="EU18" s="28">
        <v>4</v>
      </c>
      <c r="EV18" s="28">
        <v>2</v>
      </c>
      <c r="EW18" s="28">
        <v>3</v>
      </c>
      <c r="EX18" s="28">
        <v>3</v>
      </c>
      <c r="EY18" s="28">
        <v>2</v>
      </c>
      <c r="EZ18" s="28">
        <v>2</v>
      </c>
      <c r="FA18" s="28">
        <v>2</v>
      </c>
      <c r="FL18" s="28">
        <v>0.46775793650793646</v>
      </c>
      <c r="FM18" s="28">
        <v>0.37178932178932178</v>
      </c>
      <c r="FN18" s="28">
        <v>0.43783068783068779</v>
      </c>
      <c r="FO18" s="28">
        <v>0.33243386243386241</v>
      </c>
      <c r="FP18" s="28">
        <v>0.40245295214045218</v>
      </c>
      <c r="FR18" s="28">
        <v>0.4695961718020541</v>
      </c>
      <c r="FS18" s="28">
        <v>0.40155122655122655</v>
      </c>
      <c r="FT18" s="28">
        <v>0.42949735449735449</v>
      </c>
      <c r="FU18" s="28">
        <v>0.33430976430976433</v>
      </c>
      <c r="FV18" s="28">
        <v>0.40873862929009991</v>
      </c>
    </row>
    <row r="19" spans="1:178" x14ac:dyDescent="0.2">
      <c r="A19" t="s">
        <v>246</v>
      </c>
      <c r="C19" t="s">
        <v>247</v>
      </c>
      <c r="E19" t="s">
        <v>198</v>
      </c>
      <c r="G19">
        <v>0.3888888888888889</v>
      </c>
      <c r="H19" t="s">
        <v>111</v>
      </c>
      <c r="I19">
        <v>0.16666666666666666</v>
      </c>
      <c r="J19">
        <v>0.60294117647058831</v>
      </c>
      <c r="K19">
        <v>0.79365079365079361</v>
      </c>
      <c r="M19">
        <v>1200</v>
      </c>
      <c r="N19">
        <v>50</v>
      </c>
      <c r="O19">
        <v>3</v>
      </c>
      <c r="P19">
        <v>3</v>
      </c>
      <c r="Q19">
        <v>4</v>
      </c>
      <c r="R19">
        <v>2</v>
      </c>
      <c r="T19">
        <v>0.7</v>
      </c>
      <c r="U19" t="s">
        <v>111</v>
      </c>
      <c r="V19">
        <v>0.3214285714285714</v>
      </c>
      <c r="W19">
        <v>0.47619047619047616</v>
      </c>
      <c r="X19">
        <v>0.82936507936507919</v>
      </c>
      <c r="Z19">
        <v>1200</v>
      </c>
      <c r="AA19">
        <v>50</v>
      </c>
      <c r="AB19">
        <v>3</v>
      </c>
      <c r="AC19">
        <v>3</v>
      </c>
      <c r="AD19">
        <v>4</v>
      </c>
      <c r="AE19">
        <v>2</v>
      </c>
      <c r="AG19">
        <v>0.75</v>
      </c>
      <c r="AH19">
        <v>0.24444444444444446</v>
      </c>
      <c r="AI19">
        <v>0.5</v>
      </c>
      <c r="AJ19">
        <v>0.56421356421356428</v>
      </c>
      <c r="AK19">
        <v>0.88571428571428568</v>
      </c>
      <c r="AM19">
        <v>1200</v>
      </c>
      <c r="AN19">
        <v>65</v>
      </c>
      <c r="AO19">
        <v>3</v>
      </c>
      <c r="AP19">
        <v>2</v>
      </c>
      <c r="AQ19">
        <v>4</v>
      </c>
      <c r="AR19">
        <v>3</v>
      </c>
      <c r="AT19">
        <v>0.55555555555555558</v>
      </c>
      <c r="AU19">
        <v>0.24444444444444446</v>
      </c>
      <c r="AV19">
        <v>0</v>
      </c>
      <c r="AW19">
        <v>0.3125</v>
      </c>
      <c r="AX19">
        <v>0.80634920634920648</v>
      </c>
      <c r="AZ19">
        <v>1200</v>
      </c>
      <c r="BA19">
        <v>60</v>
      </c>
      <c r="BB19">
        <v>3</v>
      </c>
      <c r="BC19">
        <v>2</v>
      </c>
      <c r="BD19">
        <v>4</v>
      </c>
      <c r="BE19">
        <v>2</v>
      </c>
      <c r="BG19">
        <v>0.3888888888888889</v>
      </c>
      <c r="BH19" t="s">
        <v>111</v>
      </c>
      <c r="BI19">
        <v>0.16666666666666666</v>
      </c>
      <c r="BJ19">
        <v>0.6875</v>
      </c>
      <c r="BK19">
        <v>0.79365079365079361</v>
      </c>
      <c r="BM19">
        <v>0.47222222222222221</v>
      </c>
      <c r="BN19">
        <v>0.24444444444444446</v>
      </c>
      <c r="BO19">
        <v>0</v>
      </c>
      <c r="BP19">
        <v>0.3611111111111111</v>
      </c>
      <c r="BQ19">
        <v>0.80634920634920648</v>
      </c>
      <c r="BS19">
        <v>0.7</v>
      </c>
      <c r="BT19" t="s">
        <v>111</v>
      </c>
      <c r="BU19">
        <v>0.3214285714285714</v>
      </c>
      <c r="BV19">
        <v>0.45833333333333331</v>
      </c>
      <c r="BW19">
        <v>0.82936507936507919</v>
      </c>
      <c r="BY19">
        <v>0.75</v>
      </c>
      <c r="BZ19">
        <v>0.24444444444444446</v>
      </c>
      <c r="CA19">
        <v>0.5</v>
      </c>
      <c r="CB19">
        <v>0.88888888888888884</v>
      </c>
      <c r="CC19">
        <v>0.88571428571428568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1</v>
      </c>
      <c r="CL19">
        <v>1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3</v>
      </c>
      <c r="CV19">
        <v>3</v>
      </c>
      <c r="CY19" t="s">
        <v>199</v>
      </c>
      <c r="CZ19">
        <v>2</v>
      </c>
      <c r="DA19" t="s">
        <v>111</v>
      </c>
      <c r="DB19">
        <v>0</v>
      </c>
      <c r="DC19">
        <v>45464</v>
      </c>
      <c r="DE19">
        <v>21</v>
      </c>
      <c r="DF19" t="s">
        <v>248</v>
      </c>
      <c r="DG19" t="s">
        <v>249</v>
      </c>
      <c r="DH19">
        <v>48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</v>
      </c>
      <c r="DP19">
        <v>5</v>
      </c>
      <c r="DQ19">
        <v>5</v>
      </c>
      <c r="DR19">
        <v>4</v>
      </c>
      <c r="DS19">
        <v>4</v>
      </c>
      <c r="DT19">
        <v>4</v>
      </c>
      <c r="DU19">
        <v>3</v>
      </c>
      <c r="DV19">
        <v>5</v>
      </c>
      <c r="DW19">
        <v>1</v>
      </c>
      <c r="DX19">
        <v>4</v>
      </c>
      <c r="DY19">
        <v>3</v>
      </c>
      <c r="DZ19">
        <v>5</v>
      </c>
      <c r="EA19">
        <v>0</v>
      </c>
      <c r="ED19">
        <v>3</v>
      </c>
      <c r="EE19">
        <v>2</v>
      </c>
      <c r="EF19">
        <v>2</v>
      </c>
      <c r="EG19">
        <v>3</v>
      </c>
      <c r="EH19">
        <v>3</v>
      </c>
      <c r="EI19">
        <v>2</v>
      </c>
      <c r="EJ19">
        <v>5</v>
      </c>
      <c r="EK19">
        <v>4</v>
      </c>
      <c r="EL19">
        <v>2</v>
      </c>
      <c r="EM19">
        <v>2</v>
      </c>
      <c r="EN19">
        <v>5</v>
      </c>
      <c r="EQ19">
        <v>3</v>
      </c>
      <c r="ER19">
        <v>1</v>
      </c>
      <c r="ES19">
        <v>1</v>
      </c>
      <c r="ET19">
        <v>1</v>
      </c>
      <c r="EU19">
        <v>5</v>
      </c>
      <c r="EV19">
        <v>1</v>
      </c>
      <c r="EW19">
        <v>1</v>
      </c>
      <c r="EX19">
        <v>3</v>
      </c>
      <c r="EY19">
        <v>1</v>
      </c>
      <c r="EZ19">
        <v>1</v>
      </c>
      <c r="FA19">
        <v>1</v>
      </c>
      <c r="FL19">
        <v>0.50917658730158732</v>
      </c>
      <c r="FM19">
        <v>0.57728174603174598</v>
      </c>
      <c r="FN19">
        <v>0.37682539682539684</v>
      </c>
      <c r="FO19">
        <v>0.65380952380952384</v>
      </c>
      <c r="FP19">
        <v>0.52927331349206352</v>
      </c>
      <c r="FR19">
        <v>0.4880368814192344</v>
      </c>
      <c r="FS19">
        <v>0.58174603174603168</v>
      </c>
      <c r="FT19">
        <v>0.38376984126984126</v>
      </c>
      <c r="FU19">
        <v>0.58887445887445888</v>
      </c>
      <c r="FV19">
        <v>0.51060680332739161</v>
      </c>
    </row>
    <row r="20" spans="1:178" x14ac:dyDescent="0.2">
      <c r="A20" t="s">
        <v>250</v>
      </c>
      <c r="C20" t="s">
        <v>251</v>
      </c>
      <c r="E20" t="s">
        <v>198</v>
      </c>
      <c r="G20">
        <v>0.3888888888888889</v>
      </c>
      <c r="H20" t="s">
        <v>111</v>
      </c>
      <c r="I20">
        <v>0.41666666666666663</v>
      </c>
      <c r="J20">
        <v>0.48529411764705882</v>
      </c>
      <c r="K20">
        <v>0.42460317460317459</v>
      </c>
      <c r="M20">
        <v>961</v>
      </c>
      <c r="N20">
        <v>20</v>
      </c>
      <c r="O20">
        <v>2</v>
      </c>
      <c r="P20">
        <v>1</v>
      </c>
      <c r="Q20">
        <v>2</v>
      </c>
      <c r="R20">
        <v>1</v>
      </c>
      <c r="T20">
        <v>0</v>
      </c>
      <c r="U20" t="s">
        <v>111</v>
      </c>
      <c r="V20">
        <v>0.3214285714285714</v>
      </c>
      <c r="W20">
        <v>0.47619047619047616</v>
      </c>
      <c r="X20">
        <v>0.44444444444444442</v>
      </c>
      <c r="Z20">
        <v>961</v>
      </c>
      <c r="AA20">
        <v>20</v>
      </c>
      <c r="AB20">
        <v>2</v>
      </c>
      <c r="AC20">
        <v>1</v>
      </c>
      <c r="AD20">
        <v>2</v>
      </c>
      <c r="AE20">
        <v>1</v>
      </c>
      <c r="AG20">
        <v>0.4375</v>
      </c>
      <c r="AH20">
        <v>0.4148148148148148</v>
      </c>
      <c r="AI20">
        <v>0.5</v>
      </c>
      <c r="AJ20">
        <v>0.67243867243867239</v>
      </c>
      <c r="AK20">
        <v>0.77460317460317452</v>
      </c>
      <c r="AM20">
        <v>878</v>
      </c>
      <c r="AN20">
        <v>40</v>
      </c>
      <c r="AO20">
        <v>2</v>
      </c>
      <c r="AP20">
        <v>2</v>
      </c>
      <c r="AQ20">
        <v>3</v>
      </c>
      <c r="AR20">
        <v>3</v>
      </c>
      <c r="AT20">
        <v>0.75</v>
      </c>
      <c r="AU20">
        <v>0.4148148148148148</v>
      </c>
      <c r="AV20">
        <v>0.5</v>
      </c>
      <c r="AW20">
        <v>0.79166666666666663</v>
      </c>
      <c r="AX20">
        <v>0.86587301587301579</v>
      </c>
      <c r="AZ20">
        <v>1029</v>
      </c>
      <c r="BA20">
        <v>70</v>
      </c>
      <c r="BB20">
        <v>2</v>
      </c>
      <c r="BC20">
        <v>3</v>
      </c>
      <c r="BD20">
        <v>4</v>
      </c>
      <c r="BE20">
        <v>4</v>
      </c>
      <c r="BG20">
        <v>0.3888888888888889</v>
      </c>
      <c r="BH20" t="s">
        <v>111</v>
      </c>
      <c r="BI20">
        <v>0.41666666666666663</v>
      </c>
      <c r="BJ20">
        <v>0.5625</v>
      </c>
      <c r="BK20">
        <v>0.42460317460317459</v>
      </c>
      <c r="BM20">
        <v>0.75</v>
      </c>
      <c r="BN20">
        <v>0.4148148148148148</v>
      </c>
      <c r="BO20">
        <v>0.5</v>
      </c>
      <c r="BP20">
        <v>0.83333333333333337</v>
      </c>
      <c r="BQ20">
        <v>0.86587301587301579</v>
      </c>
      <c r="BS20">
        <v>0</v>
      </c>
      <c r="BT20" t="s">
        <v>111</v>
      </c>
      <c r="BU20">
        <v>0.3214285714285714</v>
      </c>
      <c r="BV20">
        <v>0.45833333333333331</v>
      </c>
      <c r="BW20">
        <v>0.44444444444444442</v>
      </c>
      <c r="BY20">
        <v>0.4375</v>
      </c>
      <c r="BZ20">
        <v>0.4148148148148148</v>
      </c>
      <c r="CA20">
        <v>0.5</v>
      </c>
      <c r="CB20">
        <v>0.88888888888888884</v>
      </c>
      <c r="CC20">
        <v>0.77460317460317452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1</v>
      </c>
      <c r="CL20">
        <v>1</v>
      </c>
      <c r="CM20">
        <v>0</v>
      </c>
      <c r="CN20">
        <v>1</v>
      </c>
      <c r="CO20">
        <v>1</v>
      </c>
      <c r="CP20">
        <v>1</v>
      </c>
      <c r="CQ20">
        <v>1</v>
      </c>
      <c r="CR20">
        <v>0</v>
      </c>
      <c r="CS20">
        <v>1</v>
      </c>
      <c r="CT20">
        <v>0</v>
      </c>
      <c r="CU20">
        <v>8</v>
      </c>
      <c r="CV20">
        <v>8</v>
      </c>
      <c r="CY20" t="s">
        <v>207</v>
      </c>
      <c r="CZ20">
        <v>1</v>
      </c>
      <c r="DA20" t="s">
        <v>111</v>
      </c>
      <c r="DB20">
        <v>0</v>
      </c>
      <c r="DC20">
        <v>45463</v>
      </c>
      <c r="DE20">
        <v>19</v>
      </c>
      <c r="DF20" t="s">
        <v>252</v>
      </c>
      <c r="DG20" t="s">
        <v>253</v>
      </c>
      <c r="DH20">
        <v>12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1</v>
      </c>
      <c r="DP20">
        <v>4</v>
      </c>
      <c r="DQ20">
        <v>4</v>
      </c>
      <c r="DR20">
        <v>4</v>
      </c>
      <c r="DS20">
        <v>2</v>
      </c>
      <c r="DT20">
        <v>4</v>
      </c>
      <c r="DU20">
        <v>2</v>
      </c>
      <c r="DV20">
        <v>4</v>
      </c>
      <c r="DW20">
        <v>2</v>
      </c>
      <c r="DX20">
        <v>2</v>
      </c>
      <c r="DY20">
        <v>2</v>
      </c>
      <c r="DZ20">
        <v>4</v>
      </c>
      <c r="EA20">
        <v>1</v>
      </c>
      <c r="ED20">
        <v>4</v>
      </c>
      <c r="EE20">
        <v>4</v>
      </c>
      <c r="EF20">
        <v>4</v>
      </c>
      <c r="EG20">
        <v>4</v>
      </c>
      <c r="EH20">
        <v>4</v>
      </c>
      <c r="EI20">
        <v>2</v>
      </c>
      <c r="EJ20">
        <v>4</v>
      </c>
      <c r="EK20">
        <v>2</v>
      </c>
      <c r="EL20">
        <v>2</v>
      </c>
      <c r="EM20">
        <v>3</v>
      </c>
      <c r="EN20">
        <v>4</v>
      </c>
      <c r="EQ20">
        <v>4</v>
      </c>
      <c r="ER20">
        <v>2</v>
      </c>
      <c r="ES20">
        <v>2</v>
      </c>
      <c r="ET20">
        <v>3</v>
      </c>
      <c r="EU20">
        <v>4</v>
      </c>
      <c r="EV20">
        <v>3</v>
      </c>
      <c r="EW20">
        <v>2</v>
      </c>
      <c r="EX20">
        <v>3</v>
      </c>
      <c r="EY20">
        <v>2</v>
      </c>
      <c r="EZ20">
        <v>2</v>
      </c>
      <c r="FA20">
        <v>2</v>
      </c>
      <c r="FL20">
        <v>0.44816468253968256</v>
      </c>
      <c r="FM20">
        <v>0.30605158730158727</v>
      </c>
      <c r="FN20">
        <v>0.67280423280423274</v>
      </c>
      <c r="FO20">
        <v>0.60316137566137562</v>
      </c>
      <c r="FP20">
        <v>0.50754546957671953</v>
      </c>
      <c r="FR20">
        <v>0.42886321195144728</v>
      </c>
      <c r="FS20">
        <v>0.31051587301587302</v>
      </c>
      <c r="FT20">
        <v>0.66447089947089943</v>
      </c>
      <c r="FU20">
        <v>0.55987133237133224</v>
      </c>
      <c r="FV20">
        <v>0.49093032920238799</v>
      </c>
    </row>
    <row r="21" spans="1:178" x14ac:dyDescent="0.2">
      <c r="A21" t="s">
        <v>254</v>
      </c>
      <c r="C21" t="s">
        <v>255</v>
      </c>
      <c r="E21" t="s">
        <v>198</v>
      </c>
      <c r="G21">
        <v>0.3888888888888889</v>
      </c>
      <c r="H21" t="s">
        <v>111</v>
      </c>
      <c r="I21">
        <v>0</v>
      </c>
      <c r="J21">
        <v>0.57352941176470584</v>
      </c>
      <c r="K21">
        <v>0.4781746031746032</v>
      </c>
      <c r="M21">
        <v>995</v>
      </c>
      <c r="N21">
        <v>30</v>
      </c>
      <c r="O21">
        <v>2</v>
      </c>
      <c r="P21">
        <v>1.5</v>
      </c>
      <c r="Q21">
        <v>2</v>
      </c>
      <c r="R21">
        <v>1</v>
      </c>
      <c r="T21">
        <v>0.35909090909090913</v>
      </c>
      <c r="U21" t="s">
        <v>111</v>
      </c>
      <c r="V21">
        <v>0.2857142857142857</v>
      </c>
      <c r="W21">
        <v>0.44047619047619047</v>
      </c>
      <c r="X21">
        <v>0.59722222222222221</v>
      </c>
      <c r="Z21">
        <v>995</v>
      </c>
      <c r="AA21">
        <v>30</v>
      </c>
      <c r="AB21">
        <v>2</v>
      </c>
      <c r="AC21">
        <v>1.5</v>
      </c>
      <c r="AD21">
        <v>2</v>
      </c>
      <c r="AE21">
        <v>1</v>
      </c>
      <c r="AG21">
        <v>0.66666666666666663</v>
      </c>
      <c r="AH21">
        <v>0.54074074074074074</v>
      </c>
      <c r="AI21">
        <v>0.5</v>
      </c>
      <c r="AJ21">
        <v>0.40367965367965364</v>
      </c>
      <c r="AK21">
        <v>0.6694444444444444</v>
      </c>
      <c r="AM21">
        <v>1275</v>
      </c>
      <c r="AN21">
        <v>35</v>
      </c>
      <c r="AO21">
        <v>2</v>
      </c>
      <c r="AP21">
        <v>2</v>
      </c>
      <c r="AQ21">
        <v>2</v>
      </c>
      <c r="AR21">
        <v>2</v>
      </c>
      <c r="AT21">
        <v>0.68333333333333335</v>
      </c>
      <c r="AU21">
        <v>0.54074074074074074</v>
      </c>
      <c r="AV21">
        <v>0.5</v>
      </c>
      <c r="AW21">
        <v>0.36309523809523808</v>
      </c>
      <c r="AX21">
        <v>0.80992063492063482</v>
      </c>
      <c r="AZ21">
        <v>1200</v>
      </c>
      <c r="BA21">
        <v>50</v>
      </c>
      <c r="BB21">
        <v>2.5</v>
      </c>
      <c r="BC21">
        <v>2</v>
      </c>
      <c r="BD21">
        <v>2.5</v>
      </c>
      <c r="BE21">
        <v>2.5</v>
      </c>
      <c r="BG21">
        <v>0.3888888888888889</v>
      </c>
      <c r="BH21" t="s">
        <v>111</v>
      </c>
      <c r="BI21">
        <v>0</v>
      </c>
      <c r="BJ21">
        <v>0.625</v>
      </c>
      <c r="BK21">
        <v>0.4781746031746032</v>
      </c>
      <c r="BM21">
        <v>0.72499999999999998</v>
      </c>
      <c r="BN21">
        <v>0.54074074074074074</v>
      </c>
      <c r="BO21">
        <v>0.5</v>
      </c>
      <c r="BP21">
        <v>0.51851851851851849</v>
      </c>
      <c r="BQ21">
        <v>0.80992063492063482</v>
      </c>
      <c r="BS21">
        <v>0.35909090909090913</v>
      </c>
      <c r="BT21" t="s">
        <v>111</v>
      </c>
      <c r="BU21">
        <v>0.2857142857142857</v>
      </c>
      <c r="BV21">
        <v>0.39583333333333331</v>
      </c>
      <c r="BW21">
        <v>0.59722222222222221</v>
      </c>
      <c r="BY21">
        <v>0.66666666666666663</v>
      </c>
      <c r="BZ21">
        <v>0.54074074074074074</v>
      </c>
      <c r="CA21">
        <v>0.5</v>
      </c>
      <c r="CB21">
        <v>0.45833333333333331</v>
      </c>
      <c r="CC21">
        <v>0.6694444444444444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1</v>
      </c>
      <c r="CM21">
        <v>1</v>
      </c>
      <c r="CN21">
        <v>0</v>
      </c>
      <c r="CO21">
        <v>1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4</v>
      </c>
      <c r="CV21">
        <v>4</v>
      </c>
      <c r="CY21" t="s">
        <v>199</v>
      </c>
      <c r="CZ21">
        <v>1</v>
      </c>
      <c r="DA21" t="s">
        <v>111</v>
      </c>
      <c r="DB21">
        <v>0</v>
      </c>
      <c r="DC21">
        <v>45496</v>
      </c>
      <c r="DE21">
        <v>20</v>
      </c>
      <c r="DF21" t="s">
        <v>256</v>
      </c>
      <c r="DG21" t="s">
        <v>238</v>
      </c>
      <c r="DH21">
        <v>12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P21">
        <v>5</v>
      </c>
      <c r="DQ21">
        <v>5</v>
      </c>
      <c r="DR21">
        <v>4</v>
      </c>
      <c r="DS21">
        <v>4</v>
      </c>
      <c r="DT21">
        <v>5</v>
      </c>
      <c r="DU21">
        <v>3</v>
      </c>
      <c r="DV21">
        <v>5</v>
      </c>
      <c r="DW21">
        <v>3</v>
      </c>
      <c r="DX21">
        <v>4</v>
      </c>
      <c r="DY21">
        <v>4</v>
      </c>
      <c r="DZ21">
        <v>5</v>
      </c>
      <c r="EA21">
        <v>0</v>
      </c>
      <c r="ED21">
        <v>5</v>
      </c>
      <c r="EE21">
        <v>5</v>
      </c>
      <c r="EF21">
        <v>2</v>
      </c>
      <c r="EG21">
        <v>3</v>
      </c>
      <c r="EH21">
        <v>4</v>
      </c>
      <c r="EI21">
        <v>4</v>
      </c>
      <c r="EJ21">
        <v>5</v>
      </c>
      <c r="EK21">
        <v>2</v>
      </c>
      <c r="EL21">
        <v>4</v>
      </c>
      <c r="EM21">
        <v>5</v>
      </c>
      <c r="EN21">
        <v>5</v>
      </c>
      <c r="EQ21">
        <v>5</v>
      </c>
      <c r="ER21">
        <v>1</v>
      </c>
      <c r="ES21">
        <v>1</v>
      </c>
      <c r="ET21">
        <v>3</v>
      </c>
      <c r="EU21">
        <v>5</v>
      </c>
      <c r="EV21">
        <v>1</v>
      </c>
      <c r="EW21">
        <v>1</v>
      </c>
      <c r="EX21">
        <v>3</v>
      </c>
      <c r="EY21">
        <v>1</v>
      </c>
      <c r="EZ21">
        <v>1</v>
      </c>
      <c r="FA21">
        <v>1</v>
      </c>
      <c r="FL21">
        <v>0.37301587301587302</v>
      </c>
      <c r="FM21">
        <v>0.40946518759018757</v>
      </c>
      <c r="FN21">
        <v>0.61883597883597885</v>
      </c>
      <c r="FO21">
        <v>0.56703703703703701</v>
      </c>
      <c r="FP21">
        <v>0.49208851911976914</v>
      </c>
      <c r="FR21">
        <v>0.36014822595704948</v>
      </c>
      <c r="FS21">
        <v>0.42062590187590188</v>
      </c>
      <c r="FT21">
        <v>0.57941798941798939</v>
      </c>
      <c r="FU21">
        <v>0.5561063011063011</v>
      </c>
      <c r="FV21">
        <v>0.4790746045893105</v>
      </c>
    </row>
    <row r="22" spans="1:178" x14ac:dyDescent="0.2">
      <c r="A22" t="s">
        <v>257</v>
      </c>
      <c r="C22" t="s">
        <v>258</v>
      </c>
      <c r="E22" t="s">
        <v>198</v>
      </c>
      <c r="G22">
        <v>0.3888888888888889</v>
      </c>
      <c r="H22" t="s">
        <v>111</v>
      </c>
      <c r="I22">
        <v>0.16666666666666666</v>
      </c>
      <c r="J22">
        <v>0.66013071895424846</v>
      </c>
      <c r="K22">
        <v>0.80555555555555547</v>
      </c>
      <c r="M22">
        <v>1200</v>
      </c>
      <c r="N22">
        <v>20</v>
      </c>
      <c r="O22">
        <v>2</v>
      </c>
      <c r="P22">
        <v>1</v>
      </c>
      <c r="Q22">
        <v>2</v>
      </c>
      <c r="R22">
        <v>1</v>
      </c>
      <c r="T22">
        <v>0.29090909090909089</v>
      </c>
      <c r="U22" t="s">
        <v>111</v>
      </c>
      <c r="V22">
        <v>0.3214285714285714</v>
      </c>
      <c r="W22">
        <v>0.45238095238095233</v>
      </c>
      <c r="X22">
        <v>0.2857142857142857</v>
      </c>
      <c r="Z22">
        <v>1200</v>
      </c>
      <c r="AA22">
        <v>20</v>
      </c>
      <c r="AB22">
        <v>2</v>
      </c>
      <c r="AC22">
        <v>1</v>
      </c>
      <c r="AD22">
        <v>2</v>
      </c>
      <c r="AE22">
        <v>1</v>
      </c>
      <c r="AG22">
        <v>0.75</v>
      </c>
      <c r="AH22">
        <v>0.71851851851851867</v>
      </c>
      <c r="AI22">
        <v>0</v>
      </c>
      <c r="AJ22">
        <v>0.61183261183261184</v>
      </c>
      <c r="AK22">
        <v>0.84920634920634919</v>
      </c>
      <c r="AM22">
        <v>1200</v>
      </c>
      <c r="AN22">
        <v>70</v>
      </c>
      <c r="AO22">
        <v>4</v>
      </c>
      <c r="AP22">
        <v>3</v>
      </c>
      <c r="AQ22">
        <v>4</v>
      </c>
      <c r="AR22">
        <v>4</v>
      </c>
      <c r="AT22">
        <v>0.75</v>
      </c>
      <c r="AU22">
        <v>0.71851851851851867</v>
      </c>
      <c r="AV22">
        <v>0</v>
      </c>
      <c r="AW22">
        <v>0.45833333333333331</v>
      </c>
      <c r="AX22">
        <v>0.79523809523809519</v>
      </c>
      <c r="AZ22">
        <v>1200</v>
      </c>
      <c r="BA22">
        <v>80</v>
      </c>
      <c r="BB22">
        <v>4</v>
      </c>
      <c r="BC22">
        <v>4</v>
      </c>
      <c r="BD22">
        <v>4</v>
      </c>
      <c r="BE22">
        <v>4</v>
      </c>
      <c r="BG22">
        <v>0.3888888888888889</v>
      </c>
      <c r="BH22" t="s">
        <v>111</v>
      </c>
      <c r="BI22">
        <v>0.16666666666666666</v>
      </c>
      <c r="BJ22">
        <v>0.75</v>
      </c>
      <c r="BK22">
        <v>0.80555555555555547</v>
      </c>
      <c r="BM22">
        <v>0.75</v>
      </c>
      <c r="BN22">
        <v>0.71851851851851867</v>
      </c>
      <c r="BO22">
        <v>0</v>
      </c>
      <c r="BP22">
        <v>0.5</v>
      </c>
      <c r="BQ22">
        <v>0.79523809523809519</v>
      </c>
      <c r="BS22">
        <v>0.29090909090909089</v>
      </c>
      <c r="BT22" t="s">
        <v>111</v>
      </c>
      <c r="BU22">
        <v>0.3214285714285714</v>
      </c>
      <c r="BV22">
        <v>0.33333333333333331</v>
      </c>
      <c r="BW22">
        <v>0.2857142857142857</v>
      </c>
      <c r="BY22">
        <v>0.75</v>
      </c>
      <c r="BZ22">
        <v>0.71851851851851867</v>
      </c>
      <c r="CA22">
        <v>0</v>
      </c>
      <c r="CB22">
        <v>0.88888888888888884</v>
      </c>
      <c r="CC22">
        <v>0.84920634920634919</v>
      </c>
      <c r="CF22">
        <v>1</v>
      </c>
      <c r="CG22">
        <v>0</v>
      </c>
      <c r="CH22">
        <v>0</v>
      </c>
      <c r="CI22">
        <v>0</v>
      </c>
      <c r="CJ22">
        <v>1</v>
      </c>
      <c r="CK22">
        <v>1</v>
      </c>
      <c r="CL22">
        <v>0</v>
      </c>
      <c r="CM22">
        <v>0</v>
      </c>
      <c r="CN22">
        <v>1</v>
      </c>
      <c r="CO22">
        <v>1</v>
      </c>
      <c r="CP22">
        <v>1</v>
      </c>
      <c r="CQ22">
        <v>1</v>
      </c>
      <c r="CR22">
        <v>0</v>
      </c>
      <c r="CS22">
        <v>0</v>
      </c>
      <c r="CT22">
        <v>1</v>
      </c>
      <c r="CU22">
        <v>6</v>
      </c>
      <c r="CV22">
        <v>7</v>
      </c>
      <c r="CY22" t="s">
        <v>207</v>
      </c>
      <c r="CZ22">
        <v>1</v>
      </c>
      <c r="DA22" t="s">
        <v>111</v>
      </c>
      <c r="DB22">
        <v>0</v>
      </c>
      <c r="DC22">
        <v>45496</v>
      </c>
      <c r="DE22">
        <v>22</v>
      </c>
      <c r="DF22" t="s">
        <v>253</v>
      </c>
      <c r="DG22" t="s">
        <v>259</v>
      </c>
      <c r="DH22">
        <v>12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P22">
        <v>4</v>
      </c>
      <c r="DQ22">
        <v>4</v>
      </c>
      <c r="DR22">
        <v>3</v>
      </c>
      <c r="DS22">
        <v>4</v>
      </c>
      <c r="DT22">
        <v>4</v>
      </c>
      <c r="DU22">
        <v>4</v>
      </c>
      <c r="DV22">
        <v>5</v>
      </c>
      <c r="DW22">
        <v>3</v>
      </c>
      <c r="DX22">
        <v>4</v>
      </c>
      <c r="DY22">
        <v>3</v>
      </c>
      <c r="DZ22">
        <v>4</v>
      </c>
      <c r="EA22">
        <v>0</v>
      </c>
      <c r="ED22">
        <v>4</v>
      </c>
      <c r="EE22">
        <v>4</v>
      </c>
      <c r="EF22">
        <v>3</v>
      </c>
      <c r="EG22">
        <v>3</v>
      </c>
      <c r="EH22">
        <v>4</v>
      </c>
      <c r="EI22">
        <v>4</v>
      </c>
      <c r="EJ22">
        <v>5</v>
      </c>
      <c r="EK22">
        <v>4</v>
      </c>
      <c r="EL22">
        <v>3</v>
      </c>
      <c r="EM22">
        <v>4</v>
      </c>
      <c r="EN22">
        <v>5</v>
      </c>
      <c r="EQ22">
        <v>4</v>
      </c>
      <c r="ER22">
        <v>3</v>
      </c>
      <c r="ES22">
        <v>2</v>
      </c>
      <c r="ET22">
        <v>4</v>
      </c>
      <c r="EU22">
        <v>5</v>
      </c>
      <c r="EV22">
        <v>4</v>
      </c>
      <c r="EW22">
        <v>1</v>
      </c>
      <c r="EX22">
        <v>2</v>
      </c>
      <c r="EY22">
        <v>2</v>
      </c>
      <c r="EZ22">
        <v>3</v>
      </c>
      <c r="FA22">
        <v>3</v>
      </c>
      <c r="FL22">
        <v>0.52777777777777779</v>
      </c>
      <c r="FM22">
        <v>0.30784632034632031</v>
      </c>
      <c r="FN22">
        <v>0.55275132275132277</v>
      </c>
      <c r="FO22">
        <v>0.64132275132275141</v>
      </c>
      <c r="FP22">
        <v>0.5074245430495431</v>
      </c>
      <c r="FR22">
        <v>0.50531045751633985</v>
      </c>
      <c r="FS22">
        <v>0.33760822510822508</v>
      </c>
      <c r="FT22">
        <v>0.54441798941798947</v>
      </c>
      <c r="FU22">
        <v>0.58591149591149594</v>
      </c>
      <c r="FV22">
        <v>0.49331204198851258</v>
      </c>
    </row>
    <row r="23" spans="1:178" x14ac:dyDescent="0.2">
      <c r="A23" t="s">
        <v>260</v>
      </c>
      <c r="C23" t="s">
        <v>261</v>
      </c>
      <c r="E23" t="s">
        <v>198</v>
      </c>
      <c r="G23">
        <v>0.3888888888888889</v>
      </c>
      <c r="H23" t="s">
        <v>111</v>
      </c>
      <c r="I23">
        <v>0.41666666666666663</v>
      </c>
      <c r="J23">
        <v>0.42647058823529416</v>
      </c>
      <c r="K23">
        <v>0.26785714285714285</v>
      </c>
      <c r="M23">
        <v>1200</v>
      </c>
      <c r="N23">
        <v>22.5</v>
      </c>
      <c r="O23">
        <v>2</v>
      </c>
      <c r="P23">
        <v>1.5</v>
      </c>
      <c r="Q23">
        <v>1</v>
      </c>
      <c r="R23">
        <v>1.5</v>
      </c>
      <c r="T23">
        <v>0.63181818181818183</v>
      </c>
      <c r="U23" t="s">
        <v>111</v>
      </c>
      <c r="V23">
        <v>0.42857142857142855</v>
      </c>
      <c r="W23">
        <v>0.33333333333333331</v>
      </c>
      <c r="X23">
        <v>0.35119047619047611</v>
      </c>
      <c r="Z23">
        <v>1200</v>
      </c>
      <c r="AA23">
        <v>22.5</v>
      </c>
      <c r="AB23">
        <v>2</v>
      </c>
      <c r="AC23">
        <v>1.5</v>
      </c>
      <c r="AD23">
        <v>1</v>
      </c>
      <c r="AE23">
        <v>1.5</v>
      </c>
      <c r="AG23">
        <v>0.70833333333333326</v>
      </c>
      <c r="AH23">
        <v>0.47407407407407409</v>
      </c>
      <c r="AI23">
        <v>0.5</v>
      </c>
      <c r="AJ23">
        <v>0.17099567099567101</v>
      </c>
      <c r="AK23">
        <v>0.56904761904761914</v>
      </c>
      <c r="AM23">
        <v>1181</v>
      </c>
      <c r="AN23">
        <v>20</v>
      </c>
      <c r="AO23">
        <v>2</v>
      </c>
      <c r="AP23">
        <v>1.5</v>
      </c>
      <c r="AQ23">
        <v>1.5</v>
      </c>
      <c r="AR23">
        <v>1.5</v>
      </c>
      <c r="AT23">
        <v>0.72222222222222221</v>
      </c>
      <c r="AU23">
        <v>0.47407407407407409</v>
      </c>
      <c r="AV23">
        <v>0.5</v>
      </c>
      <c r="AW23">
        <v>0.1875</v>
      </c>
      <c r="AX23">
        <v>0.35198412698412701</v>
      </c>
      <c r="AZ23">
        <v>1200</v>
      </c>
      <c r="BA23">
        <v>22.5</v>
      </c>
      <c r="BB23">
        <v>2</v>
      </c>
      <c r="BC23">
        <v>1.5</v>
      </c>
      <c r="BD23">
        <v>1.5</v>
      </c>
      <c r="BE23">
        <v>1.5</v>
      </c>
      <c r="BG23">
        <v>0.3888888888888889</v>
      </c>
      <c r="BH23" t="s">
        <v>111</v>
      </c>
      <c r="BI23">
        <v>0.41666666666666663</v>
      </c>
      <c r="BJ23">
        <v>0.5</v>
      </c>
      <c r="BK23">
        <v>0.26785714285714285</v>
      </c>
      <c r="BM23">
        <v>0.72222222222222221</v>
      </c>
      <c r="BN23">
        <v>0.47407407407407409</v>
      </c>
      <c r="BO23">
        <v>0.5</v>
      </c>
      <c r="BP23">
        <v>0.26851851851851855</v>
      </c>
      <c r="BQ23">
        <v>0.35198412698412701</v>
      </c>
      <c r="BS23">
        <v>0.63181818181818183</v>
      </c>
      <c r="BT23" t="s">
        <v>111</v>
      </c>
      <c r="BU23">
        <v>0.42857142857142855</v>
      </c>
      <c r="BV23">
        <v>0.41666666666666663</v>
      </c>
      <c r="BW23">
        <v>0.35119047619047611</v>
      </c>
      <c r="BY23">
        <v>0.70833333333333326</v>
      </c>
      <c r="BZ23">
        <v>0.47407407407407409</v>
      </c>
      <c r="CA23">
        <v>0.5</v>
      </c>
      <c r="CB23">
        <v>0.52777777777777779</v>
      </c>
      <c r="CC23">
        <v>0.56904761904761914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0.5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0.5</v>
      </c>
      <c r="CV23">
        <v>0.5</v>
      </c>
      <c r="CY23" t="s">
        <v>199</v>
      </c>
      <c r="CZ23">
        <v>1</v>
      </c>
      <c r="DA23" t="s">
        <v>111</v>
      </c>
      <c r="DB23">
        <v>0</v>
      </c>
      <c r="DC23">
        <v>45503</v>
      </c>
      <c r="DE23">
        <v>22</v>
      </c>
      <c r="DF23" t="s">
        <v>262</v>
      </c>
      <c r="DG23" t="s">
        <v>263</v>
      </c>
      <c r="DH23">
        <v>12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P23">
        <v>4</v>
      </c>
      <c r="DQ23">
        <v>4</v>
      </c>
      <c r="DR23">
        <v>3</v>
      </c>
      <c r="DS23">
        <v>4</v>
      </c>
      <c r="DT23">
        <v>4</v>
      </c>
      <c r="DU23">
        <v>3</v>
      </c>
      <c r="DV23">
        <v>4</v>
      </c>
      <c r="DW23">
        <v>4</v>
      </c>
      <c r="DX23">
        <v>4</v>
      </c>
      <c r="DY23">
        <v>3</v>
      </c>
      <c r="DZ23">
        <v>4</v>
      </c>
      <c r="EA23">
        <v>0</v>
      </c>
      <c r="ED23">
        <v>4</v>
      </c>
      <c r="EE23">
        <v>3</v>
      </c>
      <c r="EF23">
        <v>4</v>
      </c>
      <c r="EG23">
        <v>3</v>
      </c>
      <c r="EH23">
        <v>4</v>
      </c>
      <c r="EI23">
        <v>4</v>
      </c>
      <c r="EJ23">
        <v>5</v>
      </c>
      <c r="EK23">
        <v>3</v>
      </c>
      <c r="EL23">
        <v>4</v>
      </c>
      <c r="EM23">
        <v>2</v>
      </c>
      <c r="EN23">
        <v>4</v>
      </c>
      <c r="EQ23">
        <v>4</v>
      </c>
      <c r="ER23">
        <v>2</v>
      </c>
      <c r="ES23">
        <v>2</v>
      </c>
      <c r="ET23">
        <v>1</v>
      </c>
      <c r="EU23">
        <v>4</v>
      </c>
      <c r="EV23">
        <v>1</v>
      </c>
      <c r="EW23">
        <v>1</v>
      </c>
      <c r="EX23">
        <v>3</v>
      </c>
      <c r="EY23">
        <v>1</v>
      </c>
      <c r="EZ23">
        <v>1</v>
      </c>
      <c r="FA23">
        <v>3</v>
      </c>
      <c r="FL23">
        <v>0.39335317460317459</v>
      </c>
      <c r="FM23">
        <v>0.45706168831168831</v>
      </c>
      <c r="FN23">
        <v>0.46335978835978836</v>
      </c>
      <c r="FO23">
        <v>0.55584656084656081</v>
      </c>
      <c r="FP23">
        <v>0.46740530303030303</v>
      </c>
      <c r="FR23">
        <v>0.37497082166199813</v>
      </c>
      <c r="FS23">
        <v>0.43622835497835494</v>
      </c>
      <c r="FT23">
        <v>0.44715608465608464</v>
      </c>
      <c r="FU23">
        <v>0.48449013949013953</v>
      </c>
      <c r="FV23">
        <v>0.43571135019664431</v>
      </c>
    </row>
    <row r="24" spans="1:178" x14ac:dyDescent="0.2">
      <c r="A24" t="s">
        <v>264</v>
      </c>
      <c r="C24" t="s">
        <v>265</v>
      </c>
      <c r="E24" t="s">
        <v>198</v>
      </c>
      <c r="G24">
        <v>0.27777777777777779</v>
      </c>
      <c r="H24" t="s">
        <v>111</v>
      </c>
      <c r="I24">
        <v>8.3333333333333329E-2</v>
      </c>
      <c r="J24">
        <v>0.66911764705882359</v>
      </c>
      <c r="K24">
        <v>0.66468253968253965</v>
      </c>
      <c r="M24">
        <v>1086</v>
      </c>
      <c r="N24">
        <v>37.5</v>
      </c>
      <c r="O24">
        <v>3</v>
      </c>
      <c r="P24">
        <v>2</v>
      </c>
      <c r="Q24">
        <v>2.5</v>
      </c>
      <c r="R24">
        <v>2</v>
      </c>
      <c r="T24">
        <v>0.47272727272727272</v>
      </c>
      <c r="U24" t="s">
        <v>111</v>
      </c>
      <c r="V24">
        <v>7.1428571428571425E-2</v>
      </c>
      <c r="W24">
        <v>0.5</v>
      </c>
      <c r="X24">
        <v>0.54761904761904756</v>
      </c>
      <c r="Z24">
        <v>1086</v>
      </c>
      <c r="AA24">
        <v>37.5</v>
      </c>
      <c r="AB24">
        <v>3</v>
      </c>
      <c r="AC24">
        <v>2</v>
      </c>
      <c r="AD24">
        <v>2.5</v>
      </c>
      <c r="AE24">
        <v>2</v>
      </c>
      <c r="AG24">
        <v>0.7583333333333333</v>
      </c>
      <c r="AH24">
        <v>0.64444444444444449</v>
      </c>
      <c r="AI24">
        <v>0</v>
      </c>
      <c r="AJ24">
        <v>0.51659451659451661</v>
      </c>
      <c r="AK24">
        <v>0.68333333333333324</v>
      </c>
      <c r="AM24">
        <v>791</v>
      </c>
      <c r="AN24">
        <v>45</v>
      </c>
      <c r="AO24">
        <v>3</v>
      </c>
      <c r="AP24">
        <v>2</v>
      </c>
      <c r="AQ24">
        <v>3.5</v>
      </c>
      <c r="AR24">
        <v>2.5</v>
      </c>
      <c r="AT24">
        <v>0.75</v>
      </c>
      <c r="AU24">
        <v>0.64444444444444449</v>
      </c>
      <c r="AV24">
        <v>0.5</v>
      </c>
      <c r="AW24">
        <v>0.625</v>
      </c>
      <c r="AX24">
        <v>0.79761904761904756</v>
      </c>
      <c r="AZ24">
        <v>1200</v>
      </c>
      <c r="BA24">
        <v>70</v>
      </c>
      <c r="BB24">
        <v>3.5</v>
      </c>
      <c r="BC24">
        <v>2.5</v>
      </c>
      <c r="BD24">
        <v>4</v>
      </c>
      <c r="BE24">
        <v>3</v>
      </c>
      <c r="BG24">
        <v>0.27777777777777779</v>
      </c>
      <c r="BH24" t="s">
        <v>111</v>
      </c>
      <c r="BI24">
        <v>8.3333333333333329E-2</v>
      </c>
      <c r="BJ24">
        <v>0.6875</v>
      </c>
      <c r="BK24">
        <v>0.66468253968253965</v>
      </c>
      <c r="BM24">
        <v>0.75</v>
      </c>
      <c r="BN24">
        <v>0.64444444444444449</v>
      </c>
      <c r="BO24">
        <v>0.5</v>
      </c>
      <c r="BP24">
        <v>0.67592592592592593</v>
      </c>
      <c r="BQ24">
        <v>0.79761904761904756</v>
      </c>
      <c r="BS24">
        <v>0.47272727272727272</v>
      </c>
      <c r="BT24" t="s">
        <v>111</v>
      </c>
      <c r="BU24">
        <v>7.1428571428571425E-2</v>
      </c>
      <c r="BV24">
        <v>0.58333333333333326</v>
      </c>
      <c r="BW24">
        <v>0.54761904761904756</v>
      </c>
      <c r="BY24">
        <v>0.7583333333333333</v>
      </c>
      <c r="BZ24">
        <v>0.64444444444444449</v>
      </c>
      <c r="CA24">
        <v>0</v>
      </c>
      <c r="CB24">
        <v>0.88888888888888884</v>
      </c>
      <c r="CC24">
        <v>0.68333333333333324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0.5</v>
      </c>
      <c r="CM24">
        <v>0</v>
      </c>
      <c r="CN24">
        <v>1</v>
      </c>
      <c r="CO24">
        <v>0</v>
      </c>
      <c r="CP24">
        <v>1</v>
      </c>
      <c r="CQ24">
        <v>0.5</v>
      </c>
      <c r="CR24">
        <v>0</v>
      </c>
      <c r="CS24">
        <v>0.5</v>
      </c>
      <c r="CT24">
        <v>0</v>
      </c>
      <c r="CU24">
        <v>4.5</v>
      </c>
      <c r="CV24">
        <v>4.5</v>
      </c>
      <c r="CY24" t="s">
        <v>199</v>
      </c>
      <c r="CZ24">
        <v>1</v>
      </c>
      <c r="DA24" t="s">
        <v>111</v>
      </c>
      <c r="DB24">
        <v>0</v>
      </c>
      <c r="DC24">
        <v>45503</v>
      </c>
      <c r="DE24">
        <v>28</v>
      </c>
      <c r="DF24" t="s">
        <v>266</v>
      </c>
      <c r="DG24" t="s">
        <v>267</v>
      </c>
      <c r="DH24">
        <v>132</v>
      </c>
      <c r="DI24">
        <v>0</v>
      </c>
      <c r="DJ24">
        <v>0</v>
      </c>
      <c r="DK24">
        <v>1</v>
      </c>
      <c r="DL24">
        <v>1</v>
      </c>
      <c r="DM24">
        <v>0</v>
      </c>
      <c r="DN24">
        <v>0</v>
      </c>
      <c r="DP24">
        <v>3</v>
      </c>
      <c r="DQ24">
        <v>3</v>
      </c>
      <c r="DR24">
        <v>4</v>
      </c>
      <c r="DS24">
        <v>3</v>
      </c>
      <c r="DT24">
        <v>4</v>
      </c>
      <c r="DU24">
        <v>3</v>
      </c>
      <c r="DV24">
        <v>5</v>
      </c>
      <c r="DW24">
        <v>4</v>
      </c>
      <c r="DX24">
        <v>4</v>
      </c>
      <c r="DY24">
        <v>4</v>
      </c>
      <c r="DZ24">
        <v>5</v>
      </c>
      <c r="EA24">
        <v>0</v>
      </c>
      <c r="ED24">
        <v>3</v>
      </c>
      <c r="EE24">
        <v>2</v>
      </c>
      <c r="EF24">
        <v>4</v>
      </c>
      <c r="EG24">
        <v>3</v>
      </c>
      <c r="EH24">
        <v>4</v>
      </c>
      <c r="EI24">
        <v>1</v>
      </c>
      <c r="EJ24">
        <v>5</v>
      </c>
      <c r="EK24">
        <v>3</v>
      </c>
      <c r="EL24">
        <v>3</v>
      </c>
      <c r="EM24">
        <v>4</v>
      </c>
      <c r="EN24">
        <v>5</v>
      </c>
      <c r="EQ24">
        <v>5</v>
      </c>
      <c r="ER24">
        <v>1</v>
      </c>
      <c r="ES24">
        <v>1</v>
      </c>
      <c r="ET24">
        <v>2</v>
      </c>
      <c r="EU24">
        <v>5</v>
      </c>
      <c r="EV24">
        <v>2</v>
      </c>
      <c r="EW24">
        <v>1</v>
      </c>
      <c r="EX24">
        <v>4</v>
      </c>
      <c r="EY24">
        <v>1</v>
      </c>
      <c r="EZ24">
        <v>1</v>
      </c>
      <c r="FA24">
        <v>1</v>
      </c>
      <c r="FL24">
        <v>0.42832341269841268</v>
      </c>
      <c r="FM24">
        <v>0.41877705627705619</v>
      </c>
      <c r="FN24">
        <v>0.67359788359788353</v>
      </c>
      <c r="FO24">
        <v>0.59499999999999997</v>
      </c>
      <c r="FP24">
        <v>0.52892458814333809</v>
      </c>
      <c r="FR24">
        <v>0.42372782446311863</v>
      </c>
      <c r="FS24">
        <v>0.39794372294372293</v>
      </c>
      <c r="FT24">
        <v>0.66341269841269834</v>
      </c>
      <c r="FU24">
        <v>0.52054112554112542</v>
      </c>
      <c r="FV24">
        <v>0.50140634284016627</v>
      </c>
    </row>
    <row r="25" spans="1:178" s="13" customFormat="1" x14ac:dyDescent="0.2"/>
    <row r="26" spans="1:178" x14ac:dyDescent="0.2">
      <c r="A26" t="s">
        <v>101</v>
      </c>
      <c r="C26" t="s">
        <v>268</v>
      </c>
      <c r="E26" t="s">
        <v>269</v>
      </c>
      <c r="G26">
        <v>0.22222222222222221</v>
      </c>
      <c r="H26" t="s">
        <v>111</v>
      </c>
      <c r="I26">
        <v>8.3333333333333329E-2</v>
      </c>
      <c r="J26">
        <v>0.54411764705882359</v>
      </c>
      <c r="K26">
        <v>0.70238095238095222</v>
      </c>
      <c r="M26">
        <v>1200</v>
      </c>
      <c r="N26">
        <v>40</v>
      </c>
      <c r="O26">
        <v>2.5</v>
      </c>
      <c r="P26">
        <v>2.5</v>
      </c>
      <c r="Q26">
        <v>2</v>
      </c>
      <c r="R26">
        <v>2</v>
      </c>
      <c r="T26">
        <v>0.43181818181818182</v>
      </c>
      <c r="U26" t="s">
        <v>111</v>
      </c>
      <c r="V26">
        <v>0.3214285714285714</v>
      </c>
      <c r="W26">
        <v>0.48809523809523803</v>
      </c>
      <c r="X26">
        <v>0.7142857142857143</v>
      </c>
      <c r="Z26">
        <v>1200</v>
      </c>
      <c r="AA26">
        <v>40</v>
      </c>
      <c r="AB26">
        <v>2.5</v>
      </c>
      <c r="AC26">
        <v>2.5</v>
      </c>
      <c r="AD26">
        <v>2</v>
      </c>
      <c r="AE26">
        <v>2</v>
      </c>
      <c r="AG26">
        <v>0.5708333333333333</v>
      </c>
      <c r="AH26">
        <v>0.37407407407407406</v>
      </c>
      <c r="AI26">
        <v>0</v>
      </c>
      <c r="AJ26">
        <v>0.1028138528138528</v>
      </c>
      <c r="AK26">
        <v>0.49087301587301591</v>
      </c>
      <c r="AM26">
        <v>1112</v>
      </c>
      <c r="AN26">
        <v>22.5</v>
      </c>
      <c r="AO26">
        <v>1.5</v>
      </c>
      <c r="AP26">
        <v>1.5</v>
      </c>
      <c r="AQ26">
        <v>2</v>
      </c>
      <c r="AR26">
        <v>1.5</v>
      </c>
      <c r="AT26">
        <v>0.24722222222222223</v>
      </c>
      <c r="AU26">
        <v>0.37407407407407406</v>
      </c>
      <c r="AV26">
        <v>0</v>
      </c>
      <c r="AW26">
        <v>0.13541666666666666</v>
      </c>
      <c r="AX26">
        <v>0.47142857142857136</v>
      </c>
      <c r="AZ26">
        <v>1200</v>
      </c>
      <c r="BA26">
        <v>17.5</v>
      </c>
      <c r="BB26">
        <v>1.5</v>
      </c>
      <c r="BC26">
        <v>1.5</v>
      </c>
      <c r="BD26">
        <v>2</v>
      </c>
      <c r="BE26">
        <v>1</v>
      </c>
      <c r="BG26">
        <v>0.22222222222222221</v>
      </c>
      <c r="BH26" t="s">
        <v>111</v>
      </c>
      <c r="BI26">
        <v>8.3333333333333329E-2</v>
      </c>
      <c r="BJ26">
        <v>0.5625</v>
      </c>
      <c r="BK26">
        <v>0.70238095238095222</v>
      </c>
      <c r="BM26">
        <v>0.41388888888888892</v>
      </c>
      <c r="BN26">
        <v>0.37407407407407406</v>
      </c>
      <c r="BO26">
        <v>0</v>
      </c>
      <c r="BP26">
        <v>0.17592592592592593</v>
      </c>
      <c r="BQ26">
        <v>0.47142857142857136</v>
      </c>
      <c r="BS26">
        <v>0.43181818181818182</v>
      </c>
      <c r="BT26" t="s">
        <v>111</v>
      </c>
      <c r="BU26">
        <v>0.3214285714285714</v>
      </c>
      <c r="BV26">
        <v>0.52083333333333326</v>
      </c>
      <c r="BW26">
        <v>0.7142857142857143</v>
      </c>
      <c r="BY26">
        <v>0.5708333333333333</v>
      </c>
      <c r="BZ26">
        <v>0.37407407407407406</v>
      </c>
      <c r="CA26">
        <v>0</v>
      </c>
      <c r="CB26">
        <v>0.375</v>
      </c>
      <c r="CC26">
        <v>0.49087301587301591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Y26" t="s">
        <v>199</v>
      </c>
      <c r="CZ26">
        <v>1</v>
      </c>
      <c r="DA26">
        <v>1</v>
      </c>
      <c r="DB26" t="s">
        <v>270</v>
      </c>
      <c r="DC26">
        <v>44964</v>
      </c>
      <c r="DE26">
        <v>22</v>
      </c>
      <c r="DF26" t="s">
        <v>271</v>
      </c>
      <c r="DG26" t="s">
        <v>252</v>
      </c>
      <c r="DH26">
        <v>31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P26">
        <v>4</v>
      </c>
      <c r="DQ26">
        <v>4</v>
      </c>
      <c r="DR26">
        <v>4</v>
      </c>
      <c r="DS26">
        <v>3</v>
      </c>
      <c r="DT26">
        <v>4</v>
      </c>
      <c r="DU26">
        <v>3</v>
      </c>
      <c r="DV26">
        <v>5</v>
      </c>
      <c r="DW26">
        <v>3</v>
      </c>
      <c r="DX26">
        <v>4</v>
      </c>
      <c r="DY26">
        <v>3</v>
      </c>
      <c r="DZ26">
        <v>5</v>
      </c>
      <c r="EA26">
        <v>1</v>
      </c>
      <c r="ED26">
        <v>4</v>
      </c>
      <c r="EE26">
        <v>4</v>
      </c>
      <c r="EF26">
        <v>4</v>
      </c>
      <c r="EG26">
        <v>3</v>
      </c>
      <c r="EH26">
        <v>4</v>
      </c>
      <c r="EI26">
        <v>4</v>
      </c>
      <c r="EJ26">
        <v>5</v>
      </c>
      <c r="EK26">
        <v>2</v>
      </c>
      <c r="EL26">
        <v>2</v>
      </c>
      <c r="EM26">
        <v>2</v>
      </c>
      <c r="EN26">
        <v>5</v>
      </c>
      <c r="EQ26">
        <v>3</v>
      </c>
      <c r="ER26">
        <v>2</v>
      </c>
      <c r="ES26">
        <v>1</v>
      </c>
      <c r="ET26">
        <v>3</v>
      </c>
      <c r="EU26">
        <v>5</v>
      </c>
      <c r="EV26">
        <v>3</v>
      </c>
      <c r="EW26">
        <v>1</v>
      </c>
      <c r="EX26">
        <v>3</v>
      </c>
      <c r="EY26">
        <v>2</v>
      </c>
      <c r="EZ26">
        <v>3</v>
      </c>
      <c r="FA26">
        <v>5</v>
      </c>
      <c r="FL26">
        <v>0.39260912698412698</v>
      </c>
      <c r="FM26">
        <v>0.49709145021645018</v>
      </c>
      <c r="FN26">
        <v>0.28706349206349208</v>
      </c>
      <c r="FO26">
        <v>0.36215608465608462</v>
      </c>
      <c r="FP26">
        <v>0.38473003848003851</v>
      </c>
      <c r="FR26">
        <v>0.38801353874883282</v>
      </c>
      <c r="FS26">
        <v>0.48890692640692646</v>
      </c>
      <c r="FT26">
        <v>0.24562830687830686</v>
      </c>
      <c r="FU26">
        <v>0.30771885521885523</v>
      </c>
      <c r="FV26">
        <v>0.35756690681323033</v>
      </c>
    </row>
    <row r="27" spans="1:178" x14ac:dyDescent="0.2">
      <c r="A27" t="s">
        <v>102</v>
      </c>
      <c r="C27" t="s">
        <v>272</v>
      </c>
      <c r="E27" t="s">
        <v>269</v>
      </c>
      <c r="G27">
        <v>0.22222222222222221</v>
      </c>
      <c r="H27" t="s">
        <v>111</v>
      </c>
      <c r="I27">
        <v>0.25</v>
      </c>
      <c r="J27">
        <v>0.48529411764705882</v>
      </c>
      <c r="K27">
        <v>0.33730158730158727</v>
      </c>
      <c r="M27">
        <v>603</v>
      </c>
      <c r="N27">
        <v>12.5</v>
      </c>
      <c r="O27">
        <v>1.5</v>
      </c>
      <c r="P27">
        <v>1</v>
      </c>
      <c r="Q27">
        <v>2</v>
      </c>
      <c r="R27">
        <v>1</v>
      </c>
      <c r="T27">
        <v>0.29090909090909089</v>
      </c>
      <c r="U27" t="s">
        <v>111</v>
      </c>
      <c r="V27">
        <v>0.10714285714285714</v>
      </c>
      <c r="W27">
        <v>0.51190476190476186</v>
      </c>
      <c r="X27">
        <v>0.40873015873015878</v>
      </c>
      <c r="Z27">
        <v>603</v>
      </c>
      <c r="AA27">
        <v>12.5</v>
      </c>
      <c r="AB27">
        <v>1.5</v>
      </c>
      <c r="AC27">
        <v>1</v>
      </c>
      <c r="AD27">
        <v>2</v>
      </c>
      <c r="AE27">
        <v>1</v>
      </c>
      <c r="AG27">
        <v>0.43333333333333335</v>
      </c>
      <c r="AH27">
        <v>0.37777777777777777</v>
      </c>
      <c r="AI27">
        <v>0</v>
      </c>
      <c r="AJ27">
        <v>0.39754689754689748</v>
      </c>
      <c r="AK27">
        <v>0.64444444444444438</v>
      </c>
      <c r="AM27">
        <v>875</v>
      </c>
      <c r="AN27">
        <v>27.5</v>
      </c>
      <c r="AO27">
        <v>2</v>
      </c>
      <c r="AP27">
        <v>2</v>
      </c>
      <c r="AQ27">
        <v>2.5</v>
      </c>
      <c r="AR27">
        <v>2</v>
      </c>
      <c r="AT27">
        <v>0.33333333333333331</v>
      </c>
      <c r="AU27">
        <v>0.37777777777777777</v>
      </c>
      <c r="AV27">
        <v>0</v>
      </c>
      <c r="AW27">
        <v>0.30952380952380953</v>
      </c>
      <c r="AX27">
        <v>0.48412698412698413</v>
      </c>
      <c r="AZ27">
        <v>813</v>
      </c>
      <c r="BA27">
        <v>20</v>
      </c>
      <c r="BB27">
        <v>2</v>
      </c>
      <c r="BC27">
        <v>1</v>
      </c>
      <c r="BD27">
        <v>2</v>
      </c>
      <c r="BE27">
        <v>1</v>
      </c>
      <c r="BG27">
        <v>0.22222222222222221</v>
      </c>
      <c r="BH27" t="s">
        <v>111</v>
      </c>
      <c r="BI27">
        <v>0.25</v>
      </c>
      <c r="BJ27">
        <v>0.5</v>
      </c>
      <c r="BK27">
        <v>0.33730158730158727</v>
      </c>
      <c r="BM27">
        <v>0.375</v>
      </c>
      <c r="BN27">
        <v>0.37777777777777777</v>
      </c>
      <c r="BO27">
        <v>0</v>
      </c>
      <c r="BP27">
        <v>0.5</v>
      </c>
      <c r="BQ27">
        <v>0.48412698412698413</v>
      </c>
      <c r="BS27">
        <v>0.29090909090909089</v>
      </c>
      <c r="BT27" t="s">
        <v>111</v>
      </c>
      <c r="BU27">
        <v>0.10714285714285714</v>
      </c>
      <c r="BV27">
        <v>0.39583333333333331</v>
      </c>
      <c r="BW27">
        <v>0.40873015873015878</v>
      </c>
      <c r="BY27">
        <v>0.43333333333333335</v>
      </c>
      <c r="BZ27">
        <v>0.37777777777777777</v>
      </c>
      <c r="CA27">
        <v>0</v>
      </c>
      <c r="CB27">
        <v>0.63888888888888884</v>
      </c>
      <c r="CC27">
        <v>0.64444444444444438</v>
      </c>
      <c r="CF27">
        <v>0</v>
      </c>
      <c r="CG27">
        <v>0</v>
      </c>
      <c r="CH27">
        <v>0.5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0.5</v>
      </c>
      <c r="CU27">
        <v>0</v>
      </c>
      <c r="CV27">
        <v>0.5</v>
      </c>
      <c r="CY27" t="s">
        <v>199</v>
      </c>
      <c r="CZ27">
        <v>1</v>
      </c>
      <c r="DA27">
        <v>1</v>
      </c>
      <c r="DB27" t="s">
        <v>270</v>
      </c>
      <c r="DC27">
        <v>44988</v>
      </c>
      <c r="DE27">
        <v>21</v>
      </c>
      <c r="DF27" t="s">
        <v>273</v>
      </c>
      <c r="DG27" t="s">
        <v>271</v>
      </c>
      <c r="DH27">
        <v>24</v>
      </c>
      <c r="DI27">
        <v>0</v>
      </c>
      <c r="DJ27">
        <v>0</v>
      </c>
      <c r="DK27">
        <v>0</v>
      </c>
      <c r="DL27">
        <v>0</v>
      </c>
      <c r="DM27">
        <v>0</v>
      </c>
      <c r="DN27" t="s">
        <v>111</v>
      </c>
      <c r="DP27">
        <v>5</v>
      </c>
      <c r="DQ27">
        <v>5</v>
      </c>
      <c r="DR27">
        <v>4</v>
      </c>
      <c r="DS27">
        <v>4</v>
      </c>
      <c r="DT27">
        <v>4</v>
      </c>
      <c r="DU27">
        <v>4</v>
      </c>
      <c r="DV27">
        <v>4</v>
      </c>
      <c r="DW27">
        <v>3</v>
      </c>
      <c r="DX27">
        <v>4</v>
      </c>
      <c r="DY27">
        <v>4</v>
      </c>
      <c r="DZ27">
        <v>4</v>
      </c>
      <c r="EA27">
        <v>0</v>
      </c>
      <c r="ED27">
        <v>5</v>
      </c>
      <c r="EE27">
        <v>5</v>
      </c>
      <c r="EF27">
        <v>4</v>
      </c>
      <c r="EG27">
        <v>2</v>
      </c>
      <c r="EH27">
        <v>2</v>
      </c>
      <c r="EI27">
        <v>2</v>
      </c>
      <c r="EJ27">
        <v>4</v>
      </c>
      <c r="EK27">
        <v>2</v>
      </c>
      <c r="EL27">
        <v>3</v>
      </c>
      <c r="EM27">
        <v>4</v>
      </c>
      <c r="EN27">
        <v>4</v>
      </c>
      <c r="EQ27">
        <v>4</v>
      </c>
      <c r="ER27">
        <v>1</v>
      </c>
      <c r="ES27">
        <v>1</v>
      </c>
      <c r="ET27">
        <v>1</v>
      </c>
      <c r="EU27">
        <v>4</v>
      </c>
      <c r="EV27">
        <v>1</v>
      </c>
      <c r="EW27">
        <v>1</v>
      </c>
      <c r="EX27">
        <v>3</v>
      </c>
      <c r="EY27">
        <v>1</v>
      </c>
      <c r="EZ27">
        <v>1</v>
      </c>
      <c r="FA27">
        <v>1</v>
      </c>
      <c r="FL27">
        <v>0.32738095238095238</v>
      </c>
      <c r="FM27">
        <v>0.30065386002886002</v>
      </c>
      <c r="FN27">
        <v>0.3473809523809524</v>
      </c>
      <c r="FO27">
        <v>0.41888888888888881</v>
      </c>
      <c r="FP27">
        <v>0.34857616341991343</v>
      </c>
      <c r="FR27">
        <v>0.32370448179271705</v>
      </c>
      <c r="FS27">
        <v>0.32967171717171717</v>
      </c>
      <c r="FT27">
        <v>0.30095238095238097</v>
      </c>
      <c r="FU27">
        <v>0.37062049062049057</v>
      </c>
      <c r="FV27">
        <v>0.33123726763432643</v>
      </c>
    </row>
    <row r="28" spans="1:178" s="28" customFormat="1" x14ac:dyDescent="0.2">
      <c r="A28" s="28" t="s">
        <v>104</v>
      </c>
      <c r="C28" s="28" t="s">
        <v>274</v>
      </c>
      <c r="E28" s="28" t="s">
        <v>269</v>
      </c>
      <c r="G28" s="28">
        <v>0</v>
      </c>
      <c r="H28" s="28" t="s">
        <v>111</v>
      </c>
      <c r="I28" s="28">
        <v>0.33333333333333331</v>
      </c>
      <c r="J28" s="28">
        <v>0.5845588235294118</v>
      </c>
      <c r="K28" s="28">
        <v>0</v>
      </c>
      <c r="M28" s="28">
        <v>872</v>
      </c>
      <c r="N28" s="28">
        <v>19</v>
      </c>
      <c r="O28" s="28">
        <v>2.5</v>
      </c>
      <c r="P28" s="28">
        <v>1.5</v>
      </c>
      <c r="Q28" s="28">
        <v>1.5</v>
      </c>
      <c r="R28" s="28">
        <v>1</v>
      </c>
      <c r="T28" s="28">
        <v>0.51818181818181819</v>
      </c>
      <c r="U28" s="28" t="s">
        <v>111</v>
      </c>
      <c r="V28" s="28">
        <v>0.42857142857142855</v>
      </c>
      <c r="W28" s="28">
        <v>0.48809523809523803</v>
      </c>
      <c r="X28" s="28">
        <v>0.47817460317460325</v>
      </c>
      <c r="Z28" s="28">
        <v>872</v>
      </c>
      <c r="AA28" s="28">
        <v>19</v>
      </c>
      <c r="AB28" s="28">
        <v>2.5</v>
      </c>
      <c r="AC28" s="28">
        <v>1.5</v>
      </c>
      <c r="AD28" s="28">
        <v>1.5</v>
      </c>
      <c r="AE28" s="28">
        <v>1</v>
      </c>
      <c r="AG28" s="28">
        <v>0.58333333333333326</v>
      </c>
      <c r="AH28" s="28">
        <v>0.48518518518518522</v>
      </c>
      <c r="AI28" s="28">
        <v>0.5</v>
      </c>
      <c r="AJ28" s="28">
        <v>0.25252525252525254</v>
      </c>
      <c r="AK28" s="28">
        <v>0.65793650793650793</v>
      </c>
      <c r="AM28" s="28">
        <v>987</v>
      </c>
      <c r="AN28" s="28">
        <v>28</v>
      </c>
      <c r="AO28" s="28">
        <v>3</v>
      </c>
      <c r="AP28" s="28">
        <v>1.5</v>
      </c>
      <c r="AQ28" s="28">
        <v>2</v>
      </c>
      <c r="AR28" s="28">
        <v>1.5</v>
      </c>
      <c r="AT28" s="28">
        <v>0.55555555555555558</v>
      </c>
      <c r="AU28" s="28">
        <v>0.48518518518518522</v>
      </c>
      <c r="AV28" s="28">
        <v>0.5</v>
      </c>
      <c r="AW28" s="28">
        <v>0.3125</v>
      </c>
      <c r="AX28" s="28">
        <v>0.55476190476190479</v>
      </c>
      <c r="AZ28" s="28">
        <v>1200</v>
      </c>
      <c r="BA28" s="28">
        <v>27.5</v>
      </c>
      <c r="BB28" s="28">
        <v>3</v>
      </c>
      <c r="BC28" s="28">
        <v>2</v>
      </c>
      <c r="BD28" s="28">
        <v>2</v>
      </c>
      <c r="BE28" s="28">
        <v>1.5</v>
      </c>
      <c r="BG28" s="28">
        <v>0</v>
      </c>
      <c r="BH28" s="28" t="s">
        <v>111</v>
      </c>
      <c r="BI28" s="28">
        <v>0.33333333333333331</v>
      </c>
      <c r="BJ28" s="28">
        <v>0.4375</v>
      </c>
      <c r="BK28" s="28">
        <v>0</v>
      </c>
      <c r="BM28" s="28">
        <v>0.47222222222222221</v>
      </c>
      <c r="BN28" s="28">
        <v>0.48518518518518522</v>
      </c>
      <c r="BO28" s="28">
        <v>0.5</v>
      </c>
      <c r="BP28" s="28">
        <v>0.3611111111111111</v>
      </c>
      <c r="BQ28" s="28">
        <v>0.55476190476190479</v>
      </c>
      <c r="BS28" s="28">
        <v>0.51818181818181819</v>
      </c>
      <c r="BT28" s="28" t="s">
        <v>111</v>
      </c>
      <c r="BU28" s="28">
        <v>0.42857142857142855</v>
      </c>
      <c r="BV28" s="28">
        <v>0.52083333333333326</v>
      </c>
      <c r="BW28" s="28">
        <v>0.47817460317460325</v>
      </c>
      <c r="BY28" s="28">
        <v>0.58333333333333326</v>
      </c>
      <c r="BZ28" s="28">
        <v>0.48518518518518522</v>
      </c>
      <c r="CA28" s="28">
        <v>0.5</v>
      </c>
      <c r="CB28" s="28">
        <v>0.33333333333333331</v>
      </c>
      <c r="CC28" s="28">
        <v>0.65793650793650793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Y28" s="28" t="s">
        <v>199</v>
      </c>
      <c r="CZ28" s="28">
        <v>1</v>
      </c>
      <c r="DA28" s="28">
        <v>1</v>
      </c>
      <c r="DB28" s="28" t="s">
        <v>270</v>
      </c>
      <c r="DC28" s="28">
        <v>45027</v>
      </c>
      <c r="DE28" s="28">
        <v>20</v>
      </c>
      <c r="DF28" s="28" t="s">
        <v>249</v>
      </c>
      <c r="DG28" s="28" t="s">
        <v>242</v>
      </c>
      <c r="DH28" s="28">
        <v>12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28">
        <v>0</v>
      </c>
      <c r="DP28" s="28">
        <v>4</v>
      </c>
      <c r="DQ28" s="28">
        <v>4</v>
      </c>
      <c r="DR28" s="28">
        <v>4</v>
      </c>
      <c r="DS28" s="28">
        <v>3</v>
      </c>
      <c r="DT28" s="28">
        <v>4</v>
      </c>
      <c r="DU28" s="28">
        <v>3</v>
      </c>
      <c r="DV28" s="28">
        <v>5</v>
      </c>
      <c r="DW28" s="28">
        <v>3</v>
      </c>
      <c r="DX28" s="28">
        <v>3</v>
      </c>
      <c r="DY28" s="28">
        <v>3</v>
      </c>
      <c r="DZ28" s="28">
        <v>1</v>
      </c>
      <c r="EA28" s="28">
        <v>0</v>
      </c>
      <c r="ED28" s="28">
        <v>4</v>
      </c>
      <c r="EE28" s="28">
        <v>4</v>
      </c>
      <c r="EF28" s="28">
        <v>4</v>
      </c>
      <c r="EG28" s="28">
        <v>3</v>
      </c>
      <c r="EH28" s="28">
        <v>3</v>
      </c>
      <c r="EI28" s="28">
        <v>2</v>
      </c>
      <c r="EJ28" s="28">
        <v>5</v>
      </c>
      <c r="EK28" s="28">
        <v>2</v>
      </c>
      <c r="EL28" s="28">
        <v>3</v>
      </c>
      <c r="EM28" s="28">
        <v>3</v>
      </c>
      <c r="EN28" s="28">
        <v>5</v>
      </c>
      <c r="EQ28" s="28">
        <v>4</v>
      </c>
      <c r="ER28" s="28">
        <v>1</v>
      </c>
      <c r="ES28" s="28">
        <v>1</v>
      </c>
      <c r="ET28" s="28">
        <v>2</v>
      </c>
      <c r="EU28" s="28">
        <v>4</v>
      </c>
      <c r="EV28" s="28">
        <v>2</v>
      </c>
      <c r="EW28" s="28">
        <v>3</v>
      </c>
      <c r="EX28" s="28">
        <v>4</v>
      </c>
      <c r="EY28" s="28">
        <v>1</v>
      </c>
      <c r="EZ28" s="28">
        <v>2</v>
      </c>
      <c r="FA28" s="28">
        <v>1</v>
      </c>
      <c r="FL28" s="28">
        <v>0.19270833333333331</v>
      </c>
      <c r="FM28" s="28">
        <v>0.4864402958152958</v>
      </c>
      <c r="FN28" s="28">
        <v>0.47465608465608466</v>
      </c>
      <c r="FO28" s="28">
        <v>0.51195767195767194</v>
      </c>
      <c r="FP28" s="28">
        <v>0.41644059644059639</v>
      </c>
      <c r="FR28" s="28">
        <v>0.22947303921568629</v>
      </c>
      <c r="FS28" s="28">
        <v>0.47825577200577196</v>
      </c>
      <c r="FT28" s="28">
        <v>0.48160052910052914</v>
      </c>
      <c r="FU28" s="28">
        <v>0.49579605579605579</v>
      </c>
      <c r="FV28" s="28">
        <v>0.42128134902951075</v>
      </c>
    </row>
    <row r="29" spans="1:178" x14ac:dyDescent="0.2">
      <c r="A29" t="s">
        <v>107</v>
      </c>
      <c r="C29" t="s">
        <v>275</v>
      </c>
      <c r="E29" t="s">
        <v>269</v>
      </c>
      <c r="G29">
        <v>0.66666666666666663</v>
      </c>
      <c r="H29" t="s">
        <v>111</v>
      </c>
      <c r="I29">
        <v>0.16666666666666666</v>
      </c>
      <c r="J29">
        <v>0.54411764705882359</v>
      </c>
      <c r="K29">
        <v>0.65873015873015872</v>
      </c>
      <c r="M29">
        <v>1200</v>
      </c>
      <c r="N29">
        <v>18.5</v>
      </c>
      <c r="O29">
        <v>2.5</v>
      </c>
      <c r="P29">
        <v>1.5</v>
      </c>
      <c r="Q29">
        <v>1.5</v>
      </c>
      <c r="R29">
        <v>1</v>
      </c>
      <c r="T29">
        <v>0.51818181818181819</v>
      </c>
      <c r="U29" t="s">
        <v>111</v>
      </c>
      <c r="V29">
        <v>0.21428571428571427</v>
      </c>
      <c r="W29">
        <v>0.11904761904761904</v>
      </c>
      <c r="X29">
        <v>0.28769841269841273</v>
      </c>
      <c r="Z29">
        <v>1200</v>
      </c>
      <c r="AA29">
        <v>18.5</v>
      </c>
      <c r="AB29">
        <v>2.5</v>
      </c>
      <c r="AC29">
        <v>1.5</v>
      </c>
      <c r="AD29">
        <v>1.5</v>
      </c>
      <c r="AE29">
        <v>1</v>
      </c>
      <c r="AG29">
        <v>0.64583333333333326</v>
      </c>
      <c r="AH29">
        <v>0.34074074074074073</v>
      </c>
      <c r="AI29">
        <v>0</v>
      </c>
      <c r="AJ29">
        <v>0.28787878787878785</v>
      </c>
      <c r="AK29">
        <v>0.79007936507936505</v>
      </c>
      <c r="AM29">
        <v>1065</v>
      </c>
      <c r="AN29">
        <v>61.5</v>
      </c>
      <c r="AO29">
        <v>2.5</v>
      </c>
      <c r="AP29">
        <v>3</v>
      </c>
      <c r="AQ29">
        <v>3</v>
      </c>
      <c r="AR29">
        <v>3</v>
      </c>
      <c r="AT29">
        <v>0.77341269841269844</v>
      </c>
      <c r="AU29">
        <v>0.34074074074074073</v>
      </c>
      <c r="AV29">
        <v>0</v>
      </c>
      <c r="AW29">
        <v>0.43005952380952378</v>
      </c>
      <c r="AX29">
        <v>0.60079365079365077</v>
      </c>
      <c r="AZ29">
        <v>1195</v>
      </c>
      <c r="BA29">
        <v>68</v>
      </c>
      <c r="BB29">
        <v>2.5</v>
      </c>
      <c r="BC29">
        <v>2</v>
      </c>
      <c r="BD29">
        <v>2.5</v>
      </c>
      <c r="BE29">
        <v>3</v>
      </c>
      <c r="BG29">
        <v>0.66666666666666663</v>
      </c>
      <c r="BH29" t="s">
        <v>111</v>
      </c>
      <c r="BI29">
        <v>0.16666666666666666</v>
      </c>
      <c r="BJ29">
        <v>0.5625</v>
      </c>
      <c r="BK29">
        <v>0.65873015873015872</v>
      </c>
      <c r="BM29">
        <v>0.63055555555555554</v>
      </c>
      <c r="BN29">
        <v>0.34074074074074073</v>
      </c>
      <c r="BO29">
        <v>0</v>
      </c>
      <c r="BP29">
        <v>0.56481481481481477</v>
      </c>
      <c r="BQ29">
        <v>0.60079365079365077</v>
      </c>
      <c r="BS29">
        <v>0.51818181818181819</v>
      </c>
      <c r="BT29" t="s">
        <v>111</v>
      </c>
      <c r="BU29">
        <v>0.21428571428571427</v>
      </c>
      <c r="BV29">
        <v>0</v>
      </c>
      <c r="BW29">
        <v>0.28769841269841273</v>
      </c>
      <c r="BY29">
        <v>0.64583333333333326</v>
      </c>
      <c r="BZ29">
        <v>0.34074074074074073</v>
      </c>
      <c r="CA29">
        <v>0</v>
      </c>
      <c r="CB29">
        <v>0.58333333333333337</v>
      </c>
      <c r="CC29">
        <v>0.79007936507936505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0.5</v>
      </c>
      <c r="CM29">
        <v>0</v>
      </c>
      <c r="CN29">
        <v>0.5</v>
      </c>
      <c r="CO29">
        <v>0.5</v>
      </c>
      <c r="CP29">
        <v>0</v>
      </c>
      <c r="CQ29">
        <v>0.5</v>
      </c>
      <c r="CR29">
        <v>1</v>
      </c>
      <c r="CS29">
        <v>0.5</v>
      </c>
      <c r="CT29">
        <v>0</v>
      </c>
      <c r="CU29">
        <v>5.5</v>
      </c>
      <c r="CV29">
        <v>5.5</v>
      </c>
      <c r="CY29" t="s">
        <v>207</v>
      </c>
      <c r="CZ29">
        <v>1</v>
      </c>
      <c r="DA29">
        <v>1</v>
      </c>
      <c r="DB29" t="s">
        <v>270</v>
      </c>
      <c r="DC29">
        <v>45027</v>
      </c>
      <c r="DE29">
        <v>20</v>
      </c>
      <c r="DF29" t="s">
        <v>276</v>
      </c>
      <c r="DG29" t="s">
        <v>277</v>
      </c>
      <c r="DH29">
        <v>12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P29">
        <v>2</v>
      </c>
      <c r="DQ29">
        <v>2</v>
      </c>
      <c r="DR29">
        <v>4</v>
      </c>
      <c r="DS29">
        <v>4</v>
      </c>
      <c r="DT29">
        <v>4</v>
      </c>
      <c r="DU29">
        <v>3</v>
      </c>
      <c r="DV29">
        <v>4</v>
      </c>
      <c r="DW29">
        <v>4</v>
      </c>
      <c r="DX29">
        <v>4</v>
      </c>
      <c r="DY29">
        <v>4</v>
      </c>
      <c r="DZ29">
        <v>4</v>
      </c>
      <c r="EA29">
        <v>1</v>
      </c>
      <c r="ED29">
        <v>2</v>
      </c>
      <c r="EE29">
        <v>2</v>
      </c>
      <c r="EF29">
        <v>4</v>
      </c>
      <c r="EG29">
        <v>2</v>
      </c>
      <c r="EH29">
        <v>4</v>
      </c>
      <c r="EI29">
        <v>4</v>
      </c>
      <c r="EJ29">
        <v>4</v>
      </c>
      <c r="EK29">
        <v>4</v>
      </c>
      <c r="EL29">
        <v>2</v>
      </c>
      <c r="EM29">
        <v>4</v>
      </c>
      <c r="EN29">
        <v>4</v>
      </c>
      <c r="EQ29">
        <v>5</v>
      </c>
      <c r="ER29">
        <v>0</v>
      </c>
      <c r="ES29">
        <v>1</v>
      </c>
      <c r="ET29">
        <v>3</v>
      </c>
      <c r="EU29">
        <v>4</v>
      </c>
      <c r="EV29">
        <v>3</v>
      </c>
      <c r="EW29">
        <v>1</v>
      </c>
      <c r="EX29">
        <v>4</v>
      </c>
      <c r="EY29">
        <v>4</v>
      </c>
      <c r="EZ29">
        <v>4</v>
      </c>
      <c r="FA29">
        <v>2</v>
      </c>
      <c r="FL29">
        <v>0.51364087301587302</v>
      </c>
      <c r="FM29">
        <v>0.25504148629148632</v>
      </c>
      <c r="FN29">
        <v>0.42738095238095236</v>
      </c>
      <c r="FO29">
        <v>0.47199735449735447</v>
      </c>
      <c r="FP29">
        <v>0.41701516654641657</v>
      </c>
      <c r="FR29">
        <v>0.50904528478057887</v>
      </c>
      <c r="FS29">
        <v>0.28480339105339109</v>
      </c>
      <c r="FT29">
        <v>0.42900132275132269</v>
      </c>
      <c r="FU29">
        <v>0.41290644540644539</v>
      </c>
      <c r="FV29">
        <v>0.40893911099793456</v>
      </c>
    </row>
    <row r="30" spans="1:178" x14ac:dyDescent="0.2">
      <c r="A30" t="s">
        <v>108</v>
      </c>
      <c r="C30" t="s">
        <v>278</v>
      </c>
      <c r="E30" t="s">
        <v>269</v>
      </c>
      <c r="G30">
        <v>0</v>
      </c>
      <c r="H30" t="s">
        <v>111</v>
      </c>
      <c r="I30">
        <v>0</v>
      </c>
      <c r="J30">
        <v>0.23529411764705882</v>
      </c>
      <c r="K30">
        <v>0.48214285714285721</v>
      </c>
      <c r="M30">
        <v>735</v>
      </c>
      <c r="N30">
        <v>20</v>
      </c>
      <c r="O30">
        <v>2</v>
      </c>
      <c r="P30">
        <v>1.5</v>
      </c>
      <c r="Q30">
        <v>2</v>
      </c>
      <c r="R30">
        <v>1.5</v>
      </c>
      <c r="T30">
        <v>0.65454545454545454</v>
      </c>
      <c r="U30" t="s">
        <v>111</v>
      </c>
      <c r="V30">
        <v>7.1428571428571425E-2</v>
      </c>
      <c r="W30">
        <v>0.46428571428571425</v>
      </c>
      <c r="X30">
        <v>0.50595238095238093</v>
      </c>
      <c r="Z30">
        <v>735</v>
      </c>
      <c r="AA30">
        <v>20</v>
      </c>
      <c r="AB30">
        <v>2</v>
      </c>
      <c r="AC30">
        <v>1.5</v>
      </c>
      <c r="AD30">
        <v>2</v>
      </c>
      <c r="AE30">
        <v>1.5</v>
      </c>
      <c r="AG30">
        <v>0.65625</v>
      </c>
      <c r="AH30">
        <v>0.30740740740740741</v>
      </c>
      <c r="AI30">
        <v>0</v>
      </c>
      <c r="AJ30">
        <v>0.34235209235209235</v>
      </c>
      <c r="AK30">
        <v>0.61190476190476184</v>
      </c>
      <c r="AM30">
        <v>302</v>
      </c>
      <c r="AN30">
        <v>20</v>
      </c>
      <c r="AO30">
        <v>2</v>
      </c>
      <c r="AP30">
        <v>2</v>
      </c>
      <c r="AQ30">
        <v>2</v>
      </c>
      <c r="AR30">
        <v>2</v>
      </c>
      <c r="AT30">
        <v>0</v>
      </c>
      <c r="AU30">
        <v>0.30740740740740741</v>
      </c>
      <c r="AV30">
        <v>0</v>
      </c>
      <c r="AW30">
        <v>0.32142857142857145</v>
      </c>
      <c r="AX30">
        <v>0.57857142857142863</v>
      </c>
      <c r="AZ30">
        <v>207</v>
      </c>
      <c r="BA30">
        <v>12.5</v>
      </c>
      <c r="BB30">
        <v>2</v>
      </c>
      <c r="BC30">
        <v>1</v>
      </c>
      <c r="BD30">
        <v>2</v>
      </c>
      <c r="BE30">
        <v>1</v>
      </c>
      <c r="BG30">
        <v>0</v>
      </c>
      <c r="BH30" t="s">
        <v>111</v>
      </c>
      <c r="BI30">
        <v>0</v>
      </c>
      <c r="BJ30">
        <v>0.1875</v>
      </c>
      <c r="BK30">
        <v>0.48214285714285721</v>
      </c>
      <c r="BM30">
        <v>0</v>
      </c>
      <c r="BN30">
        <v>0.30740740740740741</v>
      </c>
      <c r="BO30">
        <v>0</v>
      </c>
      <c r="BP30">
        <v>0.41666666666666669</v>
      </c>
      <c r="BQ30">
        <v>0.57857142857142863</v>
      </c>
      <c r="BS30">
        <v>0.65454545454545454</v>
      </c>
      <c r="BT30" t="s">
        <v>111</v>
      </c>
      <c r="BU30">
        <v>7.1428571428571425E-2</v>
      </c>
      <c r="BV30">
        <v>0.39583333333333331</v>
      </c>
      <c r="BW30">
        <v>0.50595238095238093</v>
      </c>
      <c r="BY30">
        <v>0.65625</v>
      </c>
      <c r="BZ30">
        <v>0.30740740740740741</v>
      </c>
      <c r="CA30">
        <v>0</v>
      </c>
      <c r="CB30">
        <v>0.65277777777777768</v>
      </c>
      <c r="CC30">
        <v>0.61190476190476184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Y30" t="s">
        <v>199</v>
      </c>
      <c r="CZ30">
        <v>1</v>
      </c>
      <c r="DA30">
        <v>1</v>
      </c>
      <c r="DB30" t="s">
        <v>270</v>
      </c>
      <c r="DC30">
        <v>45006</v>
      </c>
      <c r="DE30">
        <v>23</v>
      </c>
      <c r="DF30" t="s">
        <v>204</v>
      </c>
      <c r="DG30" t="s">
        <v>249</v>
      </c>
      <c r="DH30">
        <v>12</v>
      </c>
      <c r="DI30">
        <v>1</v>
      </c>
      <c r="DJ30">
        <v>3</v>
      </c>
      <c r="DK30">
        <v>1</v>
      </c>
      <c r="DL30">
        <v>1</v>
      </c>
      <c r="DM30">
        <v>0</v>
      </c>
      <c r="DN30">
        <v>0</v>
      </c>
      <c r="DP30">
        <v>5</v>
      </c>
      <c r="DQ30">
        <v>4</v>
      </c>
      <c r="DR30">
        <v>4</v>
      </c>
      <c r="DS30">
        <v>4</v>
      </c>
      <c r="DT30">
        <v>4</v>
      </c>
      <c r="DU30">
        <v>4</v>
      </c>
      <c r="DV30">
        <v>5</v>
      </c>
      <c r="DW30">
        <v>4</v>
      </c>
      <c r="DX30">
        <v>4</v>
      </c>
      <c r="DY30">
        <v>4</v>
      </c>
      <c r="DZ30">
        <v>5</v>
      </c>
      <c r="EA30">
        <v>0</v>
      </c>
      <c r="ED30">
        <v>5</v>
      </c>
      <c r="EE30">
        <v>4</v>
      </c>
      <c r="EF30">
        <v>3</v>
      </c>
      <c r="EG30">
        <v>4</v>
      </c>
      <c r="EH30">
        <v>4</v>
      </c>
      <c r="EI30">
        <v>4</v>
      </c>
      <c r="EJ30">
        <v>5</v>
      </c>
      <c r="EK30">
        <v>4</v>
      </c>
      <c r="EL30">
        <v>0</v>
      </c>
      <c r="EM30">
        <v>4</v>
      </c>
      <c r="EN30">
        <v>5</v>
      </c>
      <c r="EQ30">
        <v>5</v>
      </c>
      <c r="ER30">
        <v>2</v>
      </c>
      <c r="ES30">
        <v>2</v>
      </c>
      <c r="ET30">
        <v>2</v>
      </c>
      <c r="EU30">
        <v>2</v>
      </c>
      <c r="EV30">
        <v>2</v>
      </c>
      <c r="EW30">
        <v>1</v>
      </c>
      <c r="EX30">
        <v>3</v>
      </c>
      <c r="EY30">
        <v>3</v>
      </c>
      <c r="EZ30">
        <v>2</v>
      </c>
      <c r="FA30">
        <v>2</v>
      </c>
      <c r="FL30">
        <v>0.1674107142857143</v>
      </c>
      <c r="FM30">
        <v>0.40693993506493503</v>
      </c>
      <c r="FN30">
        <v>0.2605291005291005</v>
      </c>
      <c r="FO30">
        <v>0.44566798941798941</v>
      </c>
      <c r="FP30">
        <v>0.32013693482443484</v>
      </c>
      <c r="FR30">
        <v>0.17935924369747902</v>
      </c>
      <c r="FS30">
        <v>0.42405303030303027</v>
      </c>
      <c r="FT30">
        <v>0.24148148148148149</v>
      </c>
      <c r="FU30">
        <v>0.38358285233285228</v>
      </c>
      <c r="FV30">
        <v>0.30711915195371076</v>
      </c>
    </row>
    <row r="31" spans="1:178" x14ac:dyDescent="0.2">
      <c r="A31" t="s">
        <v>115</v>
      </c>
      <c r="C31" t="s">
        <v>279</v>
      </c>
      <c r="E31" t="s">
        <v>269</v>
      </c>
      <c r="G31">
        <v>0.66666666666666663</v>
      </c>
      <c r="H31" t="s">
        <v>111</v>
      </c>
      <c r="I31">
        <v>0.58333333333333326</v>
      </c>
      <c r="J31">
        <v>0.19117647058823528</v>
      </c>
      <c r="K31">
        <v>0.34523809523809518</v>
      </c>
      <c r="M31">
        <v>1200</v>
      </c>
      <c r="N31">
        <v>37.5</v>
      </c>
      <c r="O31">
        <v>2.5</v>
      </c>
      <c r="P31">
        <v>3.5</v>
      </c>
      <c r="Q31">
        <v>2</v>
      </c>
      <c r="R31">
        <v>2</v>
      </c>
      <c r="T31">
        <v>0.47272727272727272</v>
      </c>
      <c r="U31" t="s">
        <v>111</v>
      </c>
      <c r="V31">
        <v>0.42857142857142855</v>
      </c>
      <c r="W31">
        <v>0.54761904761904756</v>
      </c>
      <c r="X31">
        <v>0.3611111111111111</v>
      </c>
      <c r="Z31">
        <v>1200</v>
      </c>
      <c r="AA31">
        <v>37.5</v>
      </c>
      <c r="AB31">
        <v>2.5</v>
      </c>
      <c r="AC31">
        <v>3.5</v>
      </c>
      <c r="AD31">
        <v>2</v>
      </c>
      <c r="AE31">
        <v>2</v>
      </c>
      <c r="AG31">
        <v>0.8</v>
      </c>
      <c r="AH31">
        <v>0.38148148148148148</v>
      </c>
      <c r="AI31">
        <v>0.5</v>
      </c>
      <c r="AJ31">
        <v>0.20995670995670992</v>
      </c>
      <c r="AK31">
        <v>0.55555555555555547</v>
      </c>
      <c r="AM31">
        <v>1094</v>
      </c>
      <c r="AN31">
        <v>42.5</v>
      </c>
      <c r="AO31">
        <v>2.5</v>
      </c>
      <c r="AP31">
        <v>2</v>
      </c>
      <c r="AQ31">
        <v>2.5</v>
      </c>
      <c r="AR31">
        <v>3</v>
      </c>
      <c r="AT31">
        <v>0.21349206349206351</v>
      </c>
      <c r="AU31">
        <v>0.38148148148148148</v>
      </c>
      <c r="AV31">
        <v>0.5</v>
      </c>
      <c r="AW31">
        <v>0.23958333333333334</v>
      </c>
      <c r="AX31">
        <v>0.32777777777777778</v>
      </c>
      <c r="AZ31">
        <v>1200</v>
      </c>
      <c r="BA31">
        <v>15</v>
      </c>
      <c r="BB31">
        <v>2.5</v>
      </c>
      <c r="BC31">
        <v>2</v>
      </c>
      <c r="BD31">
        <v>2</v>
      </c>
      <c r="BE31">
        <v>1.5</v>
      </c>
      <c r="BG31">
        <v>0.66666666666666663</v>
      </c>
      <c r="BH31" t="s">
        <v>111</v>
      </c>
      <c r="BI31">
        <v>0.58333333333333326</v>
      </c>
      <c r="BJ31">
        <v>9.375E-2</v>
      </c>
      <c r="BK31">
        <v>0.34523809523809518</v>
      </c>
      <c r="BM31">
        <v>0.21349206349206351</v>
      </c>
      <c r="BN31">
        <v>0.38148148148148148</v>
      </c>
      <c r="BO31">
        <v>0.5</v>
      </c>
      <c r="BP31">
        <v>0.29629629629629628</v>
      </c>
      <c r="BQ31">
        <v>0.32777777777777778</v>
      </c>
      <c r="BS31">
        <v>0.47272727272727272</v>
      </c>
      <c r="BT31" t="s">
        <v>111</v>
      </c>
      <c r="BU31">
        <v>0.42857142857142855</v>
      </c>
      <c r="BV31">
        <v>0.58333333333333326</v>
      </c>
      <c r="BW31">
        <v>0.3611111111111111</v>
      </c>
      <c r="BY31">
        <v>0.8</v>
      </c>
      <c r="BZ31">
        <v>0.38148148148148148</v>
      </c>
      <c r="CA31">
        <v>0.5</v>
      </c>
      <c r="CB31">
        <v>0.58333333333333337</v>
      </c>
      <c r="CC31">
        <v>0.55555555555555547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1</v>
      </c>
      <c r="CV31">
        <v>2</v>
      </c>
      <c r="CY31" t="s">
        <v>199</v>
      </c>
      <c r="CZ31">
        <v>1</v>
      </c>
      <c r="DA31">
        <v>1</v>
      </c>
      <c r="DB31" t="s">
        <v>270</v>
      </c>
      <c r="DC31">
        <v>44939</v>
      </c>
      <c r="DE31">
        <v>19</v>
      </c>
      <c r="DF31" t="s">
        <v>276</v>
      </c>
      <c r="DG31" t="s">
        <v>277</v>
      </c>
      <c r="DH31">
        <v>24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P31">
        <v>4</v>
      </c>
      <c r="DQ31">
        <v>4</v>
      </c>
      <c r="DR31">
        <v>4</v>
      </c>
      <c r="DS31">
        <v>4</v>
      </c>
      <c r="DT31">
        <v>4</v>
      </c>
      <c r="DU31">
        <v>4</v>
      </c>
      <c r="DV31">
        <v>5</v>
      </c>
      <c r="DW31">
        <v>4</v>
      </c>
      <c r="DX31">
        <v>3</v>
      </c>
      <c r="DY31">
        <v>4</v>
      </c>
      <c r="DZ31">
        <v>4</v>
      </c>
      <c r="EA31">
        <v>1</v>
      </c>
      <c r="ED31">
        <v>3</v>
      </c>
      <c r="EE31">
        <v>4</v>
      </c>
      <c r="EF31">
        <v>4</v>
      </c>
      <c r="EG31">
        <v>4</v>
      </c>
      <c r="EH31">
        <v>4</v>
      </c>
      <c r="EI31">
        <v>3</v>
      </c>
      <c r="EJ31">
        <v>4</v>
      </c>
      <c r="EK31">
        <v>2</v>
      </c>
      <c r="EL31">
        <v>3</v>
      </c>
      <c r="EM31">
        <v>3</v>
      </c>
      <c r="EN31">
        <v>4</v>
      </c>
      <c r="EQ31">
        <v>4</v>
      </c>
      <c r="ER31">
        <v>2</v>
      </c>
      <c r="ES31">
        <v>3</v>
      </c>
      <c r="ET31">
        <v>2</v>
      </c>
      <c r="EU31">
        <v>3</v>
      </c>
      <c r="EV31">
        <v>5</v>
      </c>
      <c r="EW31">
        <v>1</v>
      </c>
      <c r="EX31">
        <v>3</v>
      </c>
      <c r="EY31">
        <v>2</v>
      </c>
      <c r="EZ31">
        <v>3</v>
      </c>
      <c r="FA31">
        <v>3</v>
      </c>
      <c r="FL31">
        <v>0.42224702380952378</v>
      </c>
      <c r="FM31">
        <v>0.46143578643578642</v>
      </c>
      <c r="FN31">
        <v>0.34380952380952379</v>
      </c>
      <c r="FO31">
        <v>0.56407407407407406</v>
      </c>
      <c r="FP31">
        <v>0.447891602032227</v>
      </c>
      <c r="FR31">
        <v>0.4466036414565826</v>
      </c>
      <c r="FS31">
        <v>0.45250721500721502</v>
      </c>
      <c r="FT31">
        <v>0.33246693121693116</v>
      </c>
      <c r="FU31">
        <v>0.48939874939874939</v>
      </c>
      <c r="FV31">
        <v>0.43024413426986952</v>
      </c>
    </row>
    <row r="32" spans="1:178" x14ac:dyDescent="0.2">
      <c r="A32" t="s">
        <v>117</v>
      </c>
      <c r="C32" t="s">
        <v>280</v>
      </c>
      <c r="E32" t="s">
        <v>269</v>
      </c>
      <c r="G32">
        <v>0</v>
      </c>
      <c r="H32" t="s">
        <v>111</v>
      </c>
      <c r="I32">
        <v>0.41666666666666663</v>
      </c>
      <c r="J32">
        <v>0.56617647058823528</v>
      </c>
      <c r="K32">
        <v>0.65873015873015872</v>
      </c>
      <c r="M32">
        <v>801</v>
      </c>
      <c r="N32">
        <v>13</v>
      </c>
      <c r="O32">
        <v>2</v>
      </c>
      <c r="P32">
        <v>1</v>
      </c>
      <c r="Q32">
        <v>2.5</v>
      </c>
      <c r="R32">
        <v>1</v>
      </c>
      <c r="T32">
        <v>0.29090909090909089</v>
      </c>
      <c r="U32" t="s">
        <v>111</v>
      </c>
      <c r="V32">
        <v>0.3571428571428571</v>
      </c>
      <c r="W32">
        <v>0.46428571428571425</v>
      </c>
      <c r="X32">
        <v>0.62103174603174605</v>
      </c>
      <c r="Z32">
        <v>801</v>
      </c>
      <c r="AA32">
        <v>13</v>
      </c>
      <c r="AB32">
        <v>2</v>
      </c>
      <c r="AC32">
        <v>1</v>
      </c>
      <c r="AD32">
        <v>2.5</v>
      </c>
      <c r="AE32">
        <v>1</v>
      </c>
      <c r="AG32">
        <v>0.40625</v>
      </c>
      <c r="AH32">
        <v>0.24444444444444446</v>
      </c>
      <c r="AI32">
        <v>0.5</v>
      </c>
      <c r="AJ32">
        <v>0.30014430014430016</v>
      </c>
      <c r="AK32">
        <v>0.63650793650793647</v>
      </c>
      <c r="AM32">
        <v>126</v>
      </c>
      <c r="AN32">
        <v>9</v>
      </c>
      <c r="AO32">
        <v>1.5</v>
      </c>
      <c r="AP32">
        <v>1</v>
      </c>
      <c r="AQ32">
        <v>1.5</v>
      </c>
      <c r="AR32">
        <v>1</v>
      </c>
      <c r="AT32">
        <v>0.14166666666666666</v>
      </c>
      <c r="AU32">
        <v>0.24444444444444446</v>
      </c>
      <c r="AV32">
        <v>0.5</v>
      </c>
      <c r="AW32">
        <v>0.25</v>
      </c>
      <c r="AX32">
        <v>0.67023809523809519</v>
      </c>
      <c r="AZ32">
        <v>190</v>
      </c>
      <c r="BA32">
        <v>11</v>
      </c>
      <c r="BB32">
        <v>1.5</v>
      </c>
      <c r="BC32">
        <v>1.5</v>
      </c>
      <c r="BD32">
        <v>2</v>
      </c>
      <c r="BE32">
        <v>1.5</v>
      </c>
      <c r="BG32">
        <v>0</v>
      </c>
      <c r="BH32" t="s">
        <v>111</v>
      </c>
      <c r="BI32">
        <v>0.41666666666666663</v>
      </c>
      <c r="BJ32">
        <v>0.46875</v>
      </c>
      <c r="BK32">
        <v>0.65873015873015872</v>
      </c>
      <c r="BM32">
        <v>0.14166666666666666</v>
      </c>
      <c r="BN32">
        <v>0.24444444444444446</v>
      </c>
      <c r="BO32">
        <v>0.5</v>
      </c>
      <c r="BP32">
        <v>0.25</v>
      </c>
      <c r="BQ32">
        <v>0.67023809523809519</v>
      </c>
      <c r="BS32">
        <v>0.29090909090909089</v>
      </c>
      <c r="BT32" t="s">
        <v>111</v>
      </c>
      <c r="BU32">
        <v>0.3571428571428571</v>
      </c>
      <c r="BV32">
        <v>0.39583333333333331</v>
      </c>
      <c r="BW32">
        <v>0.62103174603174605</v>
      </c>
      <c r="BY32">
        <v>0.40625</v>
      </c>
      <c r="BZ32">
        <v>0.24444444444444446</v>
      </c>
      <c r="CA32">
        <v>0.5</v>
      </c>
      <c r="CB32">
        <v>0.49999999999999994</v>
      </c>
      <c r="CC32">
        <v>0.63650793650793647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Y32" t="s">
        <v>199</v>
      </c>
      <c r="CZ32">
        <v>1</v>
      </c>
      <c r="DA32">
        <v>2</v>
      </c>
      <c r="DB32">
        <v>45013</v>
      </c>
      <c r="DC32">
        <v>45139</v>
      </c>
      <c r="DE32">
        <v>30</v>
      </c>
      <c r="DF32" t="s">
        <v>281</v>
      </c>
      <c r="DG32" t="s">
        <v>282</v>
      </c>
      <c r="DH32">
        <v>120</v>
      </c>
      <c r="DI32">
        <v>0</v>
      </c>
      <c r="DJ32">
        <v>0</v>
      </c>
      <c r="DK32">
        <v>1</v>
      </c>
      <c r="DL32">
        <v>2</v>
      </c>
      <c r="DM32">
        <v>1</v>
      </c>
      <c r="DN32">
        <v>0</v>
      </c>
      <c r="DP32">
        <v>4</v>
      </c>
      <c r="DQ32">
        <v>4</v>
      </c>
      <c r="DR32">
        <v>4</v>
      </c>
      <c r="DS32">
        <v>4</v>
      </c>
      <c r="DT32">
        <v>4</v>
      </c>
      <c r="DU32">
        <v>4</v>
      </c>
      <c r="DV32">
        <v>5</v>
      </c>
      <c r="DW32">
        <v>4</v>
      </c>
      <c r="DX32">
        <v>4</v>
      </c>
      <c r="DY32">
        <v>4</v>
      </c>
      <c r="DZ32">
        <v>5</v>
      </c>
      <c r="EA32">
        <v>2</v>
      </c>
      <c r="ED32">
        <v>4</v>
      </c>
      <c r="EE32">
        <v>4</v>
      </c>
      <c r="EF32">
        <v>4</v>
      </c>
      <c r="EG32">
        <v>3</v>
      </c>
      <c r="EH32">
        <v>4</v>
      </c>
      <c r="EI32">
        <v>3</v>
      </c>
      <c r="EJ32">
        <v>5</v>
      </c>
      <c r="EK32">
        <v>3</v>
      </c>
      <c r="EL32">
        <v>3</v>
      </c>
      <c r="EM32">
        <v>4</v>
      </c>
      <c r="EN32">
        <v>5</v>
      </c>
      <c r="EQ32">
        <v>4</v>
      </c>
      <c r="ER32">
        <v>3</v>
      </c>
      <c r="ES32">
        <v>3</v>
      </c>
      <c r="ET32">
        <v>3</v>
      </c>
      <c r="EU32">
        <v>5</v>
      </c>
      <c r="EV32">
        <v>3</v>
      </c>
      <c r="EW32">
        <v>1</v>
      </c>
      <c r="EX32">
        <v>4</v>
      </c>
      <c r="EY32">
        <v>3</v>
      </c>
      <c r="EZ32">
        <v>3</v>
      </c>
      <c r="FA32">
        <v>3</v>
      </c>
      <c r="FL32">
        <v>0.38603670634920634</v>
      </c>
      <c r="FM32">
        <v>0.41622925685425682</v>
      </c>
      <c r="FN32">
        <v>0.36126984126984124</v>
      </c>
      <c r="FO32">
        <v>0.45744047619047618</v>
      </c>
      <c r="FP32">
        <v>0.40524407016594516</v>
      </c>
      <c r="FR32">
        <v>0.41039332399626516</v>
      </c>
      <c r="FS32">
        <v>0.43334235209235206</v>
      </c>
      <c r="FT32">
        <v>0.36126984126984124</v>
      </c>
      <c r="FU32">
        <v>0.41746933621933618</v>
      </c>
      <c r="FV32">
        <v>0.40561871339444866</v>
      </c>
    </row>
    <row r="33" spans="1:178" x14ac:dyDescent="0.2">
      <c r="A33" t="s">
        <v>119</v>
      </c>
      <c r="C33" t="s">
        <v>283</v>
      </c>
      <c r="E33" t="s">
        <v>269</v>
      </c>
      <c r="G33">
        <v>0.27777777777777779</v>
      </c>
      <c r="H33" t="s">
        <v>111</v>
      </c>
      <c r="I33">
        <v>0.33333333333333331</v>
      </c>
      <c r="J33">
        <v>0.48529411764705882</v>
      </c>
      <c r="K33">
        <v>0.50396825396825395</v>
      </c>
      <c r="M33">
        <v>861</v>
      </c>
      <c r="N33">
        <v>2</v>
      </c>
      <c r="O33">
        <v>1</v>
      </c>
      <c r="P33">
        <v>1</v>
      </c>
      <c r="Q33">
        <v>1</v>
      </c>
      <c r="R33">
        <v>1</v>
      </c>
      <c r="T33">
        <v>0.51818181818181819</v>
      </c>
      <c r="U33" t="s">
        <v>111</v>
      </c>
      <c r="V33">
        <v>0</v>
      </c>
      <c r="W33">
        <v>0.19047619047619047</v>
      </c>
      <c r="X33">
        <v>0.24999999999999997</v>
      </c>
      <c r="Z33">
        <v>861</v>
      </c>
      <c r="AA33">
        <v>2</v>
      </c>
      <c r="AB33">
        <v>1</v>
      </c>
      <c r="AC33">
        <v>1</v>
      </c>
      <c r="AD33">
        <v>1</v>
      </c>
      <c r="AE33">
        <v>1</v>
      </c>
      <c r="AG33">
        <v>0.26041666666666663</v>
      </c>
      <c r="AH33">
        <v>0.27407407407407408</v>
      </c>
      <c r="AI33">
        <v>0.5</v>
      </c>
      <c r="AJ33">
        <v>6.0606060606060608E-2</v>
      </c>
      <c r="AK33">
        <v>0.20158730158730162</v>
      </c>
      <c r="AM33">
        <v>477</v>
      </c>
      <c r="AN33">
        <v>9.5</v>
      </c>
      <c r="AO33">
        <v>1</v>
      </c>
      <c r="AP33">
        <v>1.5</v>
      </c>
      <c r="AQ33">
        <v>1.5</v>
      </c>
      <c r="AR33">
        <v>1</v>
      </c>
      <c r="AT33">
        <v>0</v>
      </c>
      <c r="AU33">
        <v>0.27407407407407408</v>
      </c>
      <c r="AV33">
        <v>0</v>
      </c>
      <c r="AW33">
        <v>0</v>
      </c>
      <c r="AX33">
        <v>0.24166666666666667</v>
      </c>
      <c r="AZ33">
        <v>658</v>
      </c>
      <c r="BA33">
        <v>9</v>
      </c>
      <c r="BB33">
        <v>1</v>
      </c>
      <c r="BC33">
        <v>1.5</v>
      </c>
      <c r="BD33">
        <v>1</v>
      </c>
      <c r="BE33">
        <v>1</v>
      </c>
      <c r="BG33">
        <v>0.27777777777777779</v>
      </c>
      <c r="BH33" t="s">
        <v>111</v>
      </c>
      <c r="BI33">
        <v>0.33333333333333331</v>
      </c>
      <c r="BJ33">
        <v>0.5625</v>
      </c>
      <c r="BK33">
        <v>0.50396825396825395</v>
      </c>
      <c r="BM33">
        <v>0</v>
      </c>
      <c r="BN33">
        <v>0.27407407407407408</v>
      </c>
      <c r="BO33">
        <v>0</v>
      </c>
      <c r="BP33">
        <v>0</v>
      </c>
      <c r="BQ33">
        <v>0.24166666666666667</v>
      </c>
      <c r="BS33">
        <v>0.51818181818181819</v>
      </c>
      <c r="BT33" t="s">
        <v>111</v>
      </c>
      <c r="BU33">
        <v>0</v>
      </c>
      <c r="BV33">
        <v>0.375</v>
      </c>
      <c r="BW33">
        <v>0.24999999999999997</v>
      </c>
      <c r="BY33">
        <v>0.26041666666666663</v>
      </c>
      <c r="BZ33">
        <v>0.27407407407407408</v>
      </c>
      <c r="CA33">
        <v>0.5</v>
      </c>
      <c r="CB33">
        <v>0.22222222222222221</v>
      </c>
      <c r="CC33">
        <v>0.20158730158730162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Y33" t="s">
        <v>207</v>
      </c>
      <c r="CZ33">
        <v>1</v>
      </c>
      <c r="DA33">
        <v>2</v>
      </c>
      <c r="DB33">
        <v>45013</v>
      </c>
      <c r="DC33">
        <v>45093</v>
      </c>
      <c r="DE33">
        <v>22</v>
      </c>
      <c r="DF33" t="s">
        <v>284</v>
      </c>
      <c r="DG33" t="s">
        <v>271</v>
      </c>
      <c r="DH33">
        <v>48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P33">
        <v>4</v>
      </c>
      <c r="DQ33">
        <v>4</v>
      </c>
      <c r="DR33">
        <v>4</v>
      </c>
      <c r="DS33">
        <v>4</v>
      </c>
      <c r="DT33">
        <v>4</v>
      </c>
      <c r="DU33">
        <v>5</v>
      </c>
      <c r="DV33">
        <v>5</v>
      </c>
      <c r="DW33">
        <v>4</v>
      </c>
      <c r="DX33">
        <v>3</v>
      </c>
      <c r="DY33">
        <v>4</v>
      </c>
      <c r="DZ33">
        <v>4</v>
      </c>
      <c r="EA33">
        <v>0</v>
      </c>
      <c r="ED33">
        <v>4</v>
      </c>
      <c r="EE33">
        <v>4</v>
      </c>
      <c r="EF33">
        <v>4</v>
      </c>
      <c r="EG33">
        <v>2</v>
      </c>
      <c r="EH33">
        <v>4</v>
      </c>
      <c r="EI33">
        <v>3</v>
      </c>
      <c r="EJ33">
        <v>5</v>
      </c>
      <c r="EK33">
        <v>3</v>
      </c>
      <c r="EL33">
        <v>3</v>
      </c>
      <c r="EM33">
        <v>4</v>
      </c>
      <c r="EN33">
        <v>5</v>
      </c>
      <c r="EQ33">
        <v>4</v>
      </c>
      <c r="ER33">
        <v>2</v>
      </c>
      <c r="ES33">
        <v>2</v>
      </c>
      <c r="ET33">
        <v>2</v>
      </c>
      <c r="EU33">
        <v>5</v>
      </c>
      <c r="EV33">
        <v>3</v>
      </c>
      <c r="EW33">
        <v>2</v>
      </c>
      <c r="EX33">
        <v>2</v>
      </c>
      <c r="EY33">
        <v>3</v>
      </c>
      <c r="EZ33">
        <v>3</v>
      </c>
      <c r="FA33">
        <v>2</v>
      </c>
      <c r="FL33">
        <v>0.41939484126984128</v>
      </c>
      <c r="FM33">
        <v>0.28579545454545452</v>
      </c>
      <c r="FN33">
        <v>0.10314814814814814</v>
      </c>
      <c r="FO33">
        <v>0.29166005291005292</v>
      </c>
      <c r="FP33">
        <v>0.27499962421837421</v>
      </c>
      <c r="FR33">
        <v>0.400093370681606</v>
      </c>
      <c r="FS33">
        <v>0.23966450216450216</v>
      </c>
      <c r="FT33">
        <v>0.10314814814814814</v>
      </c>
      <c r="FU33">
        <v>0.25933682058682056</v>
      </c>
      <c r="FV33">
        <v>0.25056071039526923</v>
      </c>
    </row>
    <row r="34" spans="1:178" x14ac:dyDescent="0.2">
      <c r="A34" t="s">
        <v>120</v>
      </c>
      <c r="C34" t="s">
        <v>285</v>
      </c>
      <c r="E34" t="s">
        <v>269</v>
      </c>
      <c r="G34">
        <v>5.5555555555555552E-2</v>
      </c>
      <c r="H34" t="s">
        <v>111</v>
      </c>
      <c r="I34">
        <v>0.25</v>
      </c>
      <c r="J34">
        <v>0.41176470588235292</v>
      </c>
      <c r="K34">
        <v>0.51388888888888895</v>
      </c>
      <c r="M34">
        <v>1200</v>
      </c>
      <c r="N34">
        <v>30</v>
      </c>
      <c r="O34">
        <v>2</v>
      </c>
      <c r="P34">
        <v>2</v>
      </c>
      <c r="Q34">
        <v>1.5</v>
      </c>
      <c r="R34">
        <v>2</v>
      </c>
      <c r="T34">
        <v>0.38181818181818183</v>
      </c>
      <c r="U34" t="s">
        <v>111</v>
      </c>
      <c r="V34">
        <v>0.14285714285714285</v>
      </c>
      <c r="W34">
        <v>0.5</v>
      </c>
      <c r="X34">
        <v>0.66666666666666663</v>
      </c>
      <c r="Z34">
        <v>1200</v>
      </c>
      <c r="AA34">
        <v>30</v>
      </c>
      <c r="AB34">
        <v>2</v>
      </c>
      <c r="AC34">
        <v>2</v>
      </c>
      <c r="AD34">
        <v>1.5</v>
      </c>
      <c r="AE34">
        <v>2</v>
      </c>
      <c r="AG34">
        <v>0.19583333333333333</v>
      </c>
      <c r="AH34">
        <v>0.57777777777777783</v>
      </c>
      <c r="AI34">
        <v>0</v>
      </c>
      <c r="AJ34">
        <v>0.22222222222222221</v>
      </c>
      <c r="AK34">
        <v>0.47301587301587306</v>
      </c>
      <c r="AM34">
        <v>774</v>
      </c>
      <c r="AN34">
        <v>12.5</v>
      </c>
      <c r="AO34">
        <v>2</v>
      </c>
      <c r="AP34">
        <v>1</v>
      </c>
      <c r="AQ34">
        <v>1.5</v>
      </c>
      <c r="AR34">
        <v>1</v>
      </c>
      <c r="AT34">
        <v>0.27777777777777779</v>
      </c>
      <c r="AU34">
        <v>0.57777777777777783</v>
      </c>
      <c r="AV34">
        <v>0.25</v>
      </c>
      <c r="AW34">
        <v>0.27083333333333331</v>
      </c>
      <c r="AX34">
        <v>0.47936507936507944</v>
      </c>
      <c r="AZ34">
        <v>873</v>
      </c>
      <c r="BA34">
        <v>12</v>
      </c>
      <c r="BB34">
        <v>2</v>
      </c>
      <c r="BC34">
        <v>1.5</v>
      </c>
      <c r="BD34">
        <v>1.5</v>
      </c>
      <c r="BE34">
        <v>2</v>
      </c>
      <c r="BG34">
        <v>5.5555555555555552E-2</v>
      </c>
      <c r="BH34" t="s">
        <v>111</v>
      </c>
      <c r="BI34">
        <v>0.25</v>
      </c>
      <c r="BJ34">
        <v>0.40625</v>
      </c>
      <c r="BK34">
        <v>0.51388888888888895</v>
      </c>
      <c r="BM34">
        <v>0.27777777777777779</v>
      </c>
      <c r="BN34">
        <v>0.57777777777777783</v>
      </c>
      <c r="BO34">
        <v>0.25</v>
      </c>
      <c r="BP34">
        <v>0.28240740740740738</v>
      </c>
      <c r="BQ34">
        <v>0.47936507936507944</v>
      </c>
      <c r="BS34">
        <v>0.38181818181818183</v>
      </c>
      <c r="BT34" t="s">
        <v>111</v>
      </c>
      <c r="BU34">
        <v>0.14285714285714285</v>
      </c>
      <c r="BV34">
        <v>0.58333333333333326</v>
      </c>
      <c r="BW34">
        <v>0.66666666666666663</v>
      </c>
      <c r="BY34">
        <v>0.19583333333333333</v>
      </c>
      <c r="BZ34">
        <v>0.57777777777777783</v>
      </c>
      <c r="CA34">
        <v>0</v>
      </c>
      <c r="CB34">
        <v>0.22222222222222221</v>
      </c>
      <c r="CC34">
        <v>0.47301587301587306</v>
      </c>
      <c r="CF34">
        <v>0</v>
      </c>
      <c r="CG34">
        <v>0</v>
      </c>
      <c r="CH34">
        <v>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0.5</v>
      </c>
      <c r="CS34">
        <v>0</v>
      </c>
      <c r="CT34">
        <v>1</v>
      </c>
      <c r="CU34">
        <v>0.5</v>
      </c>
      <c r="CV34">
        <v>1.5</v>
      </c>
      <c r="CY34" t="s">
        <v>207</v>
      </c>
      <c r="CZ34">
        <v>1</v>
      </c>
      <c r="DA34">
        <v>2</v>
      </c>
      <c r="DB34">
        <v>45013</v>
      </c>
      <c r="DC34">
        <v>45153</v>
      </c>
      <c r="DE34">
        <v>19</v>
      </c>
      <c r="DF34" t="s">
        <v>286</v>
      </c>
      <c r="DG34" t="s">
        <v>220</v>
      </c>
      <c r="DH34">
        <v>12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P34">
        <v>5</v>
      </c>
      <c r="DQ34">
        <v>4</v>
      </c>
      <c r="DR34">
        <v>2</v>
      </c>
      <c r="DS34">
        <v>4</v>
      </c>
      <c r="DT34">
        <v>4</v>
      </c>
      <c r="DU34">
        <v>2</v>
      </c>
      <c r="DV34">
        <v>5</v>
      </c>
      <c r="DW34">
        <v>1</v>
      </c>
      <c r="DX34">
        <v>3</v>
      </c>
      <c r="DY34">
        <v>2</v>
      </c>
      <c r="DZ34">
        <v>4</v>
      </c>
      <c r="EA34">
        <v>1</v>
      </c>
      <c r="ED34">
        <v>5</v>
      </c>
      <c r="EE34">
        <v>4</v>
      </c>
      <c r="EF34">
        <v>4</v>
      </c>
      <c r="EG34">
        <v>1</v>
      </c>
      <c r="EH34">
        <v>2</v>
      </c>
      <c r="EI34">
        <v>1</v>
      </c>
      <c r="EJ34">
        <v>5</v>
      </c>
      <c r="EK34">
        <v>1</v>
      </c>
      <c r="EL34">
        <v>1</v>
      </c>
      <c r="EM34">
        <v>1</v>
      </c>
      <c r="EN34">
        <v>4</v>
      </c>
      <c r="EQ34">
        <v>5</v>
      </c>
      <c r="ER34">
        <v>2</v>
      </c>
      <c r="ES34">
        <v>1</v>
      </c>
      <c r="ET34">
        <v>1</v>
      </c>
      <c r="EU34">
        <v>4</v>
      </c>
      <c r="EV34">
        <v>3</v>
      </c>
      <c r="EW34">
        <v>1</v>
      </c>
      <c r="EX34">
        <v>1</v>
      </c>
      <c r="EY34">
        <v>2</v>
      </c>
      <c r="EZ34">
        <v>2</v>
      </c>
      <c r="FA34">
        <v>2</v>
      </c>
      <c r="FL34">
        <v>0.30642361111111116</v>
      </c>
      <c r="FM34">
        <v>0.44366883116883116</v>
      </c>
      <c r="FN34">
        <v>0.3734656084656085</v>
      </c>
      <c r="FO34">
        <v>0.29376984126984129</v>
      </c>
      <c r="FP34">
        <v>0.35433197300384806</v>
      </c>
      <c r="FR34">
        <v>0.30780228758169936</v>
      </c>
      <c r="FS34">
        <v>0.42283549783549779</v>
      </c>
      <c r="FT34">
        <v>0.37115079365079368</v>
      </c>
      <c r="FU34">
        <v>0.29376984126984129</v>
      </c>
      <c r="FV34">
        <v>0.34888960508445804</v>
      </c>
    </row>
    <row r="35" spans="1:178" x14ac:dyDescent="0.2">
      <c r="A35" t="s">
        <v>122</v>
      </c>
      <c r="C35" t="s">
        <v>287</v>
      </c>
      <c r="E35" t="s">
        <v>269</v>
      </c>
      <c r="G35">
        <v>0</v>
      </c>
      <c r="H35" t="s">
        <v>111</v>
      </c>
      <c r="I35">
        <v>0.25</v>
      </c>
      <c r="J35">
        <v>0.20588235294117646</v>
      </c>
      <c r="K35">
        <v>0.44841269841269837</v>
      </c>
      <c r="M35">
        <v>739</v>
      </c>
      <c r="N35">
        <v>14</v>
      </c>
      <c r="O35">
        <v>2</v>
      </c>
      <c r="P35">
        <v>1</v>
      </c>
      <c r="Q35">
        <v>2.5</v>
      </c>
      <c r="R35">
        <v>1</v>
      </c>
      <c r="T35">
        <v>0.51818181818181819</v>
      </c>
      <c r="U35" t="s">
        <v>111</v>
      </c>
      <c r="V35">
        <v>0.14285714285714285</v>
      </c>
      <c r="W35">
        <v>0.46428571428571425</v>
      </c>
      <c r="X35">
        <v>0.50396825396825395</v>
      </c>
      <c r="Z35">
        <v>739</v>
      </c>
      <c r="AA35">
        <v>14</v>
      </c>
      <c r="AB35">
        <v>2</v>
      </c>
      <c r="AC35">
        <v>1</v>
      </c>
      <c r="AD35">
        <v>2.5</v>
      </c>
      <c r="AE35">
        <v>1</v>
      </c>
      <c r="AG35">
        <v>0.4458333333333333</v>
      </c>
      <c r="AH35">
        <v>0.37777777777777777</v>
      </c>
      <c r="AI35">
        <v>0.5</v>
      </c>
      <c r="AJ35">
        <v>0.4386724386724386</v>
      </c>
      <c r="AK35">
        <v>0.71349206349206329</v>
      </c>
      <c r="AM35">
        <v>960</v>
      </c>
      <c r="AN35">
        <v>41.5</v>
      </c>
      <c r="AO35">
        <v>1.5</v>
      </c>
      <c r="AP35">
        <v>2</v>
      </c>
      <c r="AQ35">
        <v>3</v>
      </c>
      <c r="AR35">
        <v>2.5</v>
      </c>
      <c r="AT35">
        <v>0.37698412698412698</v>
      </c>
      <c r="AU35">
        <v>0.37777777777777777</v>
      </c>
      <c r="AV35">
        <v>0</v>
      </c>
      <c r="AW35">
        <v>0.3125</v>
      </c>
      <c r="AX35">
        <v>0.54920634920634914</v>
      </c>
      <c r="AZ35">
        <v>1049</v>
      </c>
      <c r="BA35">
        <v>19</v>
      </c>
      <c r="BB35">
        <v>1.5</v>
      </c>
      <c r="BC35">
        <v>1.5</v>
      </c>
      <c r="BD35">
        <v>2.5</v>
      </c>
      <c r="BE35">
        <v>2</v>
      </c>
      <c r="BG35">
        <v>0</v>
      </c>
      <c r="BH35" t="s">
        <v>111</v>
      </c>
      <c r="BI35">
        <v>0.25</v>
      </c>
      <c r="BJ35">
        <v>0.125</v>
      </c>
      <c r="BK35">
        <v>0.44841269841269837</v>
      </c>
      <c r="BM35">
        <v>0.30555555555555558</v>
      </c>
      <c r="BN35">
        <v>0.37777777777777777</v>
      </c>
      <c r="BO35">
        <v>0</v>
      </c>
      <c r="BP35">
        <v>0.3611111111111111</v>
      </c>
      <c r="BQ35">
        <v>0.54920634920634914</v>
      </c>
      <c r="BS35">
        <v>0.51818181818181819</v>
      </c>
      <c r="BT35" t="s">
        <v>111</v>
      </c>
      <c r="BU35">
        <v>0.14285714285714285</v>
      </c>
      <c r="BV35">
        <v>0.39583333333333331</v>
      </c>
      <c r="BW35">
        <v>0.50396825396825395</v>
      </c>
      <c r="BY35">
        <v>0.4458333333333333</v>
      </c>
      <c r="BZ35">
        <v>0.37777777777777777</v>
      </c>
      <c r="CA35">
        <v>0.5</v>
      </c>
      <c r="CB35">
        <v>0.80555555555555547</v>
      </c>
      <c r="CC35">
        <v>0.71349206349206329</v>
      </c>
      <c r="CF35">
        <v>0</v>
      </c>
      <c r="CG35">
        <v>0</v>
      </c>
      <c r="CH35">
        <v>0</v>
      </c>
      <c r="CI35">
        <v>0</v>
      </c>
      <c r="CJ35">
        <v>0.5</v>
      </c>
      <c r="CK35">
        <v>0</v>
      </c>
      <c r="CL35">
        <v>0.5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1</v>
      </c>
      <c r="CY35" t="s">
        <v>199</v>
      </c>
      <c r="CZ35">
        <v>2</v>
      </c>
      <c r="DA35">
        <v>2</v>
      </c>
      <c r="DB35">
        <v>45013</v>
      </c>
      <c r="DC35">
        <v>45100</v>
      </c>
      <c r="DE35">
        <v>24</v>
      </c>
      <c r="DF35" t="s">
        <v>288</v>
      </c>
      <c r="DG35" s="33">
        <v>45765</v>
      </c>
      <c r="DH35">
        <v>72</v>
      </c>
      <c r="DI35">
        <v>0</v>
      </c>
      <c r="DJ35">
        <v>0</v>
      </c>
      <c r="DK35">
        <v>1</v>
      </c>
      <c r="DL35">
        <v>1</v>
      </c>
      <c r="DM35">
        <v>0</v>
      </c>
      <c r="DN35">
        <v>0</v>
      </c>
      <c r="DP35">
        <v>4</v>
      </c>
      <c r="DQ35">
        <v>4</v>
      </c>
      <c r="DR35">
        <v>5</v>
      </c>
      <c r="DS35">
        <v>4</v>
      </c>
      <c r="DT35">
        <v>5</v>
      </c>
      <c r="DU35">
        <v>3</v>
      </c>
      <c r="DV35">
        <v>4</v>
      </c>
      <c r="DW35">
        <v>3</v>
      </c>
      <c r="DX35">
        <v>4</v>
      </c>
      <c r="DY35">
        <v>3</v>
      </c>
      <c r="DZ35">
        <v>5</v>
      </c>
      <c r="EA35">
        <v>0.5</v>
      </c>
      <c r="ED35">
        <v>4</v>
      </c>
      <c r="EE35">
        <v>4</v>
      </c>
      <c r="EF35">
        <v>3</v>
      </c>
      <c r="EG35">
        <v>3</v>
      </c>
      <c r="EH35">
        <v>4</v>
      </c>
      <c r="EI35">
        <v>2</v>
      </c>
      <c r="EJ35">
        <v>4</v>
      </c>
      <c r="EK35">
        <v>2</v>
      </c>
      <c r="EL35">
        <v>1</v>
      </c>
      <c r="EM35">
        <v>3</v>
      </c>
      <c r="EN35">
        <v>5</v>
      </c>
      <c r="EQ35">
        <v>4</v>
      </c>
      <c r="ER35">
        <v>1</v>
      </c>
      <c r="ES35">
        <v>1</v>
      </c>
      <c r="ET35">
        <v>2</v>
      </c>
      <c r="EU35">
        <v>4</v>
      </c>
      <c r="EV35">
        <v>2</v>
      </c>
      <c r="EW35">
        <v>1</v>
      </c>
      <c r="EX35">
        <v>3</v>
      </c>
      <c r="EY35">
        <v>1</v>
      </c>
      <c r="EZ35">
        <v>2</v>
      </c>
      <c r="FA35">
        <v>2</v>
      </c>
      <c r="FL35">
        <v>0.20585317460317459</v>
      </c>
      <c r="FM35">
        <v>0.39021013708513708</v>
      </c>
      <c r="FN35">
        <v>0.31873015873015875</v>
      </c>
      <c r="FO35">
        <v>0.56853174603174594</v>
      </c>
      <c r="FP35">
        <v>0.37083130411255405</v>
      </c>
      <c r="FR35">
        <v>0.22607376283846869</v>
      </c>
      <c r="FS35">
        <v>0.40732323232323231</v>
      </c>
      <c r="FT35">
        <v>0.32329365079365074</v>
      </c>
      <c r="FU35">
        <v>0.49515512265512263</v>
      </c>
      <c r="FV35">
        <v>0.36296144215261861</v>
      </c>
    </row>
    <row r="36" spans="1:178" x14ac:dyDescent="0.2">
      <c r="A36" t="s">
        <v>123</v>
      </c>
      <c r="C36" t="s">
        <v>289</v>
      </c>
      <c r="E36" t="s">
        <v>269</v>
      </c>
      <c r="G36">
        <v>0.33333333333333331</v>
      </c>
      <c r="H36" t="s">
        <v>111</v>
      </c>
      <c r="I36">
        <v>0.58333333333333326</v>
      </c>
      <c r="J36">
        <v>0.7720588235294118</v>
      </c>
      <c r="K36">
        <v>0.66468253968253965</v>
      </c>
      <c r="M36">
        <v>852</v>
      </c>
      <c r="N36">
        <v>67.5</v>
      </c>
      <c r="O36">
        <v>3.5</v>
      </c>
      <c r="P36">
        <v>4</v>
      </c>
      <c r="Q36">
        <v>3</v>
      </c>
      <c r="R36">
        <v>4</v>
      </c>
      <c r="T36">
        <v>0.7</v>
      </c>
      <c r="U36" t="s">
        <v>111</v>
      </c>
      <c r="V36">
        <v>0.42857142857142855</v>
      </c>
      <c r="W36">
        <v>0.71428571428571419</v>
      </c>
      <c r="X36">
        <v>0.85515873015873012</v>
      </c>
      <c r="Z36">
        <v>852</v>
      </c>
      <c r="AA36">
        <v>67.5</v>
      </c>
      <c r="AB36">
        <v>3.5</v>
      </c>
      <c r="AC36">
        <v>4</v>
      </c>
      <c r="AD36">
        <v>3</v>
      </c>
      <c r="AE36">
        <v>4</v>
      </c>
      <c r="AG36">
        <v>0.54166666666666663</v>
      </c>
      <c r="AH36">
        <v>0.50370370370370376</v>
      </c>
      <c r="AI36">
        <v>0.5</v>
      </c>
      <c r="AJ36">
        <v>0.40836940836940833</v>
      </c>
      <c r="AK36">
        <v>0.75396825396825395</v>
      </c>
      <c r="AM36">
        <v>758</v>
      </c>
      <c r="AN36">
        <v>40</v>
      </c>
      <c r="AO36">
        <v>3.5</v>
      </c>
      <c r="AP36">
        <v>2.5</v>
      </c>
      <c r="AQ36">
        <v>2.5</v>
      </c>
      <c r="AR36">
        <v>2.5</v>
      </c>
      <c r="AT36">
        <v>0.69444444444444442</v>
      </c>
      <c r="AU36">
        <v>0.50370370370370376</v>
      </c>
      <c r="AV36">
        <v>0.5</v>
      </c>
      <c r="AW36">
        <v>0.5446428571428571</v>
      </c>
      <c r="AX36">
        <v>0.74841269841269842</v>
      </c>
      <c r="AZ36">
        <v>1162</v>
      </c>
      <c r="BA36">
        <v>55</v>
      </c>
      <c r="BB36">
        <v>3.5</v>
      </c>
      <c r="BC36">
        <v>3</v>
      </c>
      <c r="BD36">
        <v>3</v>
      </c>
      <c r="BE36">
        <v>2.5</v>
      </c>
      <c r="BG36">
        <v>0.33333333333333331</v>
      </c>
      <c r="BH36" t="s">
        <v>111</v>
      </c>
      <c r="BI36">
        <v>0.58333333333333326</v>
      </c>
      <c r="BJ36">
        <v>0.84375</v>
      </c>
      <c r="BK36">
        <v>0.66468253968253965</v>
      </c>
      <c r="BM36">
        <v>0.69444444444444442</v>
      </c>
      <c r="BN36">
        <v>0.50370370370370376</v>
      </c>
      <c r="BO36">
        <v>0.5</v>
      </c>
      <c r="BP36">
        <v>0.76851851851851849</v>
      </c>
      <c r="BQ36">
        <v>0.74841269841269842</v>
      </c>
      <c r="BS36">
        <v>0.7</v>
      </c>
      <c r="BT36" t="s">
        <v>111</v>
      </c>
      <c r="BU36">
        <v>0.42857142857142855</v>
      </c>
      <c r="BV36">
        <v>0.83333333333333326</v>
      </c>
      <c r="BW36">
        <v>0.85515873015873012</v>
      </c>
      <c r="BY36">
        <v>0.54166666666666663</v>
      </c>
      <c r="BZ36">
        <v>0.50370370370370376</v>
      </c>
      <c r="CA36">
        <v>0.5</v>
      </c>
      <c r="CB36">
        <v>0.80555555555555547</v>
      </c>
      <c r="CC36">
        <v>0.75396825396825395</v>
      </c>
      <c r="CF36">
        <v>0.5</v>
      </c>
      <c r="CG36">
        <v>1</v>
      </c>
      <c r="CH36">
        <v>1</v>
      </c>
      <c r="CI36">
        <v>1</v>
      </c>
      <c r="CJ36">
        <v>0.5</v>
      </c>
      <c r="CK36">
        <v>0</v>
      </c>
      <c r="CL36">
        <v>0</v>
      </c>
      <c r="CM36">
        <v>0</v>
      </c>
      <c r="CN36">
        <v>1</v>
      </c>
      <c r="CO36">
        <v>0</v>
      </c>
      <c r="CP36">
        <v>0</v>
      </c>
      <c r="CQ36">
        <v>0</v>
      </c>
      <c r="CR36">
        <v>0</v>
      </c>
      <c r="CS36">
        <v>0.5</v>
      </c>
      <c r="CT36">
        <v>3.5</v>
      </c>
      <c r="CU36">
        <v>2</v>
      </c>
      <c r="CV36">
        <v>5.5</v>
      </c>
      <c r="CY36" t="s">
        <v>199</v>
      </c>
      <c r="CZ36">
        <v>1</v>
      </c>
      <c r="DA36">
        <v>2</v>
      </c>
      <c r="DB36">
        <v>45013</v>
      </c>
      <c r="DC36">
        <v>45083</v>
      </c>
      <c r="DE36">
        <v>21</v>
      </c>
      <c r="DF36" t="s">
        <v>204</v>
      </c>
      <c r="DG36" t="s">
        <v>241</v>
      </c>
      <c r="DH36">
        <v>24</v>
      </c>
      <c r="DI36">
        <v>0</v>
      </c>
      <c r="DJ36">
        <v>0</v>
      </c>
      <c r="DK36">
        <v>1</v>
      </c>
      <c r="DL36">
        <v>1</v>
      </c>
      <c r="DM36">
        <v>0</v>
      </c>
      <c r="DN36">
        <v>0</v>
      </c>
      <c r="DP36">
        <v>4</v>
      </c>
      <c r="DQ36">
        <v>4</v>
      </c>
      <c r="DR36">
        <v>4</v>
      </c>
      <c r="DS36">
        <v>3</v>
      </c>
      <c r="DT36">
        <v>3</v>
      </c>
      <c r="DU36">
        <v>4</v>
      </c>
      <c r="DV36">
        <v>5</v>
      </c>
      <c r="DW36">
        <v>4</v>
      </c>
      <c r="DX36">
        <v>4</v>
      </c>
      <c r="DY36">
        <v>3</v>
      </c>
      <c r="DZ36">
        <v>4</v>
      </c>
      <c r="EA36">
        <v>0</v>
      </c>
      <c r="ED36">
        <v>4</v>
      </c>
      <c r="EE36">
        <v>4</v>
      </c>
      <c r="EF36">
        <v>4</v>
      </c>
      <c r="EG36">
        <v>3</v>
      </c>
      <c r="EH36">
        <v>3</v>
      </c>
      <c r="EI36">
        <v>3</v>
      </c>
      <c r="EJ36">
        <v>5</v>
      </c>
      <c r="EK36">
        <v>4</v>
      </c>
      <c r="EL36">
        <v>4</v>
      </c>
      <c r="EM36">
        <v>4</v>
      </c>
      <c r="EN36">
        <v>5</v>
      </c>
      <c r="EQ36">
        <v>3</v>
      </c>
      <c r="ER36">
        <v>2</v>
      </c>
      <c r="ES36">
        <v>2</v>
      </c>
      <c r="ET36">
        <v>3</v>
      </c>
      <c r="EU36">
        <v>5</v>
      </c>
      <c r="EV36">
        <v>4</v>
      </c>
      <c r="EW36">
        <v>3</v>
      </c>
      <c r="EX36">
        <v>2</v>
      </c>
      <c r="EY36">
        <v>3</v>
      </c>
      <c r="EZ36">
        <v>4</v>
      </c>
      <c r="FA36">
        <v>4</v>
      </c>
      <c r="FL36">
        <v>0.60627480158730152</v>
      </c>
      <c r="FM36">
        <v>0.70426587301587296</v>
      </c>
      <c r="FN36">
        <v>0.64301587301587304</v>
      </c>
      <c r="FO36">
        <v>0.62097883597883596</v>
      </c>
      <c r="FP36">
        <v>0.64363384589947081</v>
      </c>
      <c r="FR36">
        <v>0.58835200746965444</v>
      </c>
      <c r="FS36">
        <v>0.67450396825396819</v>
      </c>
      <c r="FT36">
        <v>0.59824074074074074</v>
      </c>
      <c r="FU36">
        <v>0.54154160654160655</v>
      </c>
      <c r="FV36">
        <v>0.60065958075149251</v>
      </c>
    </row>
    <row r="37" spans="1:178" x14ac:dyDescent="0.2">
      <c r="A37" t="s">
        <v>124</v>
      </c>
      <c r="C37" t="s">
        <v>290</v>
      </c>
      <c r="E37" t="s">
        <v>269</v>
      </c>
      <c r="G37">
        <v>0.1111111111111111</v>
      </c>
      <c r="H37" t="s">
        <v>111</v>
      </c>
      <c r="I37">
        <v>0.58333333333333326</v>
      </c>
      <c r="J37">
        <v>0.66911764705882359</v>
      </c>
      <c r="K37">
        <v>0.57936507936507931</v>
      </c>
      <c r="M37">
        <v>1200</v>
      </c>
      <c r="N37">
        <v>23.5</v>
      </c>
      <c r="O37">
        <v>3</v>
      </c>
      <c r="P37">
        <v>2</v>
      </c>
      <c r="Q37">
        <v>2.5</v>
      </c>
      <c r="R37">
        <v>1.5</v>
      </c>
      <c r="T37">
        <v>0.23636363636363636</v>
      </c>
      <c r="U37" t="s">
        <v>111</v>
      </c>
      <c r="V37">
        <v>0.4642857142857143</v>
      </c>
      <c r="W37">
        <v>0.46428571428571425</v>
      </c>
      <c r="X37">
        <v>0.60119047619047616</v>
      </c>
      <c r="Z37">
        <v>1200</v>
      </c>
      <c r="AA37">
        <v>23.5</v>
      </c>
      <c r="AB37">
        <v>3</v>
      </c>
      <c r="AC37">
        <v>2</v>
      </c>
      <c r="AD37">
        <v>2.5</v>
      </c>
      <c r="AE37">
        <v>1.5</v>
      </c>
      <c r="AG37">
        <v>0.37291666666666662</v>
      </c>
      <c r="AH37">
        <v>0.60740740740740751</v>
      </c>
      <c r="AI37">
        <v>0.5</v>
      </c>
      <c r="AJ37">
        <v>0.45057720057720058</v>
      </c>
      <c r="AK37">
        <v>0.70317460317460334</v>
      </c>
      <c r="AM37">
        <v>776</v>
      </c>
      <c r="AN37">
        <v>30</v>
      </c>
      <c r="AO37">
        <v>2.5</v>
      </c>
      <c r="AP37">
        <v>2</v>
      </c>
      <c r="AQ37">
        <v>2.5</v>
      </c>
      <c r="AR37">
        <v>2</v>
      </c>
      <c r="AT37">
        <v>0.31507936507936507</v>
      </c>
      <c r="AU37">
        <v>0.60740740740740751</v>
      </c>
      <c r="AV37">
        <v>0.5</v>
      </c>
      <c r="AW37">
        <v>0.125</v>
      </c>
      <c r="AX37">
        <v>0.71904761904761916</v>
      </c>
      <c r="AZ37">
        <v>858</v>
      </c>
      <c r="BA37">
        <v>29</v>
      </c>
      <c r="BB37">
        <v>2.5</v>
      </c>
      <c r="BC37">
        <v>2</v>
      </c>
      <c r="BD37">
        <v>3</v>
      </c>
      <c r="BE37">
        <v>2</v>
      </c>
      <c r="BG37">
        <v>0.1111111111111111</v>
      </c>
      <c r="BH37" t="s">
        <v>111</v>
      </c>
      <c r="BI37">
        <v>0.58333333333333326</v>
      </c>
      <c r="BJ37">
        <v>0.6875</v>
      </c>
      <c r="BK37">
        <v>0.57936507936507931</v>
      </c>
      <c r="BM37">
        <v>0.17222222222222222</v>
      </c>
      <c r="BN37">
        <v>0.60740740740740751</v>
      </c>
      <c r="BO37">
        <v>0.5</v>
      </c>
      <c r="BP37">
        <v>0.15740740740740741</v>
      </c>
      <c r="BQ37">
        <v>0.71904761904761916</v>
      </c>
      <c r="BS37">
        <v>0.23636363636363636</v>
      </c>
      <c r="BT37" t="s">
        <v>111</v>
      </c>
      <c r="BU37">
        <v>0.4642857142857143</v>
      </c>
      <c r="BV37">
        <v>0.39583333333333331</v>
      </c>
      <c r="BW37">
        <v>0.60119047619047616</v>
      </c>
      <c r="BY37">
        <v>0.37291666666666662</v>
      </c>
      <c r="BZ37">
        <v>0.60740740740740751</v>
      </c>
      <c r="CA37">
        <v>0.5</v>
      </c>
      <c r="CB37">
        <v>0.84722222222222221</v>
      </c>
      <c r="CC37">
        <v>0.70317460317460334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0.5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0.5</v>
      </c>
      <c r="CV37">
        <v>0.5</v>
      </c>
      <c r="CY37" t="s">
        <v>207</v>
      </c>
      <c r="CZ37">
        <v>1</v>
      </c>
      <c r="DA37">
        <v>2</v>
      </c>
      <c r="DB37">
        <v>45013</v>
      </c>
      <c r="DC37">
        <v>45086</v>
      </c>
      <c r="DE37">
        <v>20</v>
      </c>
      <c r="DF37" t="s">
        <v>249</v>
      </c>
      <c r="DG37" t="s">
        <v>291</v>
      </c>
      <c r="DH37">
        <v>18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1</v>
      </c>
      <c r="DP37">
        <v>4</v>
      </c>
      <c r="DQ37">
        <v>5</v>
      </c>
      <c r="DR37">
        <v>4</v>
      </c>
      <c r="DS37">
        <v>4</v>
      </c>
      <c r="DT37">
        <v>3</v>
      </c>
      <c r="DU37">
        <v>4</v>
      </c>
      <c r="DV37">
        <v>4</v>
      </c>
      <c r="DW37">
        <v>3</v>
      </c>
      <c r="DX37">
        <v>3</v>
      </c>
      <c r="DY37">
        <v>4</v>
      </c>
      <c r="DZ37">
        <v>5</v>
      </c>
      <c r="EA37">
        <v>0</v>
      </c>
      <c r="ED37">
        <v>5</v>
      </c>
      <c r="EE37">
        <v>5</v>
      </c>
      <c r="EF37">
        <v>5</v>
      </c>
      <c r="EG37">
        <v>3</v>
      </c>
      <c r="EH37">
        <v>3</v>
      </c>
      <c r="EI37">
        <v>2</v>
      </c>
      <c r="EJ37">
        <v>3</v>
      </c>
      <c r="EK37">
        <v>1</v>
      </c>
      <c r="EL37">
        <v>3</v>
      </c>
      <c r="EM37">
        <v>2</v>
      </c>
      <c r="EN37">
        <v>5</v>
      </c>
      <c r="EQ37">
        <v>5</v>
      </c>
      <c r="ER37">
        <v>2</v>
      </c>
      <c r="ES37">
        <v>2</v>
      </c>
      <c r="ET37">
        <v>3</v>
      </c>
      <c r="EU37">
        <v>5</v>
      </c>
      <c r="EV37">
        <v>4</v>
      </c>
      <c r="EW37">
        <v>1</v>
      </c>
      <c r="EX37">
        <v>4</v>
      </c>
      <c r="EY37">
        <v>2</v>
      </c>
      <c r="EZ37">
        <v>4</v>
      </c>
      <c r="FA37">
        <v>3</v>
      </c>
      <c r="FL37">
        <v>0.49032738095238093</v>
      </c>
      <c r="FM37">
        <v>0.42441829004329001</v>
      </c>
      <c r="FN37">
        <v>0.43121693121693128</v>
      </c>
      <c r="FO37">
        <v>0.6061441798941799</v>
      </c>
      <c r="FP37">
        <v>0.48802669552669553</v>
      </c>
      <c r="FR37">
        <v>0.48573179271708683</v>
      </c>
      <c r="FS37">
        <v>0.44153138528138525</v>
      </c>
      <c r="FT37">
        <v>0.45330687830687832</v>
      </c>
      <c r="FU37">
        <v>0.52681517556517554</v>
      </c>
      <c r="FV37">
        <v>0.4768463079676315</v>
      </c>
    </row>
    <row r="38" spans="1:178" x14ac:dyDescent="0.2">
      <c r="A38" t="s">
        <v>128</v>
      </c>
      <c r="C38" t="s">
        <v>292</v>
      </c>
      <c r="E38" t="s">
        <v>269</v>
      </c>
      <c r="G38">
        <v>0.1111111111111111</v>
      </c>
      <c r="H38" t="s">
        <v>111</v>
      </c>
      <c r="I38">
        <v>0.25</v>
      </c>
      <c r="J38">
        <v>0.48529411764705882</v>
      </c>
      <c r="K38">
        <v>0.26785714285714285</v>
      </c>
      <c r="M38">
        <v>424</v>
      </c>
      <c r="N38">
        <v>37.5</v>
      </c>
      <c r="O38">
        <v>2</v>
      </c>
      <c r="P38">
        <v>2</v>
      </c>
      <c r="Q38">
        <v>2</v>
      </c>
      <c r="R38">
        <v>2</v>
      </c>
      <c r="T38">
        <v>0.29090909090909089</v>
      </c>
      <c r="U38" t="s">
        <v>111</v>
      </c>
      <c r="V38">
        <v>0.2857142857142857</v>
      </c>
      <c r="W38">
        <v>0.54613095238095233</v>
      </c>
      <c r="X38">
        <v>0.41071428571428564</v>
      </c>
      <c r="Z38">
        <v>424</v>
      </c>
      <c r="AA38">
        <v>37.5</v>
      </c>
      <c r="AB38">
        <v>2</v>
      </c>
      <c r="AC38">
        <v>2</v>
      </c>
      <c r="AD38">
        <v>2</v>
      </c>
      <c r="AE38">
        <v>2</v>
      </c>
      <c r="AG38">
        <v>0.3125</v>
      </c>
      <c r="AH38">
        <v>0.3</v>
      </c>
      <c r="AI38">
        <v>0.5</v>
      </c>
      <c r="AJ38">
        <v>0.29797979797979796</v>
      </c>
      <c r="AK38">
        <v>0.42698412698412697</v>
      </c>
      <c r="AM38">
        <v>473</v>
      </c>
      <c r="AN38">
        <v>14</v>
      </c>
      <c r="AO38">
        <v>1</v>
      </c>
      <c r="AP38">
        <v>1</v>
      </c>
      <c r="AQ38">
        <v>1.5</v>
      </c>
      <c r="AR38">
        <v>1</v>
      </c>
      <c r="AT38">
        <v>0.33333333333333331</v>
      </c>
      <c r="AU38">
        <v>0.3</v>
      </c>
      <c r="AV38">
        <v>0.5</v>
      </c>
      <c r="AW38">
        <v>0.20833333333333334</v>
      </c>
      <c r="AX38">
        <v>0.2904761904761905</v>
      </c>
      <c r="AZ38">
        <v>578</v>
      </c>
      <c r="BA38">
        <v>15.5</v>
      </c>
      <c r="BB38">
        <v>1</v>
      </c>
      <c r="BC38">
        <v>1</v>
      </c>
      <c r="BD38">
        <v>1</v>
      </c>
      <c r="BE38">
        <v>1</v>
      </c>
      <c r="BG38">
        <v>0.1111111111111111</v>
      </c>
      <c r="BH38" t="s">
        <v>111</v>
      </c>
      <c r="BI38">
        <v>0.25</v>
      </c>
      <c r="BJ38">
        <v>0.5625</v>
      </c>
      <c r="BK38">
        <v>0.26785714285714285</v>
      </c>
      <c r="BM38">
        <v>0.33333333333333331</v>
      </c>
      <c r="BN38">
        <v>0.3</v>
      </c>
      <c r="BO38">
        <v>0.5</v>
      </c>
      <c r="BP38">
        <v>0.24074074074074073</v>
      </c>
      <c r="BQ38">
        <v>0.2904761904761905</v>
      </c>
      <c r="BS38">
        <v>0.29090909090909089</v>
      </c>
      <c r="BT38" t="s">
        <v>111</v>
      </c>
      <c r="BU38">
        <v>0.2857142857142857</v>
      </c>
      <c r="BV38">
        <v>0.52083333333333326</v>
      </c>
      <c r="BW38">
        <v>0.41071428571428564</v>
      </c>
      <c r="BY38">
        <v>0.3125</v>
      </c>
      <c r="BZ38">
        <v>0.3</v>
      </c>
      <c r="CA38">
        <v>0.5</v>
      </c>
      <c r="CB38">
        <v>0.5</v>
      </c>
      <c r="CC38">
        <v>0.42698412698412697</v>
      </c>
      <c r="CF38">
        <v>0</v>
      </c>
      <c r="CG38">
        <v>1</v>
      </c>
      <c r="CH38">
        <v>0.5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1.5</v>
      </c>
      <c r="CU38">
        <v>0</v>
      </c>
      <c r="CV38">
        <v>1.5</v>
      </c>
      <c r="CY38" t="s">
        <v>199</v>
      </c>
      <c r="CZ38">
        <v>2</v>
      </c>
      <c r="DA38">
        <v>2</v>
      </c>
      <c r="DB38">
        <v>45013</v>
      </c>
      <c r="DC38">
        <v>45090</v>
      </c>
      <c r="DE38">
        <v>22</v>
      </c>
      <c r="DF38" t="s">
        <v>111</v>
      </c>
      <c r="DG38" t="s">
        <v>216</v>
      </c>
      <c r="DH38">
        <v>6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P38">
        <v>4</v>
      </c>
      <c r="DQ38">
        <v>3</v>
      </c>
      <c r="DR38">
        <v>3</v>
      </c>
      <c r="DS38">
        <v>4</v>
      </c>
      <c r="DT38">
        <v>5</v>
      </c>
      <c r="DU38">
        <v>3</v>
      </c>
      <c r="DV38">
        <v>5</v>
      </c>
      <c r="DW38">
        <v>2</v>
      </c>
      <c r="DX38">
        <v>4</v>
      </c>
      <c r="DY38">
        <v>3</v>
      </c>
      <c r="DZ38">
        <v>5</v>
      </c>
      <c r="EA38">
        <v>0</v>
      </c>
      <c r="ED38">
        <v>4</v>
      </c>
      <c r="EE38">
        <v>2</v>
      </c>
      <c r="EF38">
        <v>4</v>
      </c>
      <c r="EG38">
        <v>4</v>
      </c>
      <c r="EH38">
        <v>4</v>
      </c>
      <c r="EI38">
        <v>3</v>
      </c>
      <c r="EJ38">
        <v>5</v>
      </c>
      <c r="EK38">
        <v>3</v>
      </c>
      <c r="EL38">
        <v>4</v>
      </c>
      <c r="EM38">
        <v>4</v>
      </c>
      <c r="EN38">
        <v>5</v>
      </c>
      <c r="EQ38">
        <v>3</v>
      </c>
      <c r="ER38">
        <v>2</v>
      </c>
      <c r="ES38">
        <v>2</v>
      </c>
      <c r="ET38">
        <v>3</v>
      </c>
      <c r="EU38">
        <v>5</v>
      </c>
      <c r="EV38">
        <v>3</v>
      </c>
      <c r="EW38">
        <v>1</v>
      </c>
      <c r="EX38">
        <v>1</v>
      </c>
      <c r="EY38">
        <v>3</v>
      </c>
      <c r="EZ38">
        <v>4</v>
      </c>
      <c r="FA38">
        <v>4</v>
      </c>
      <c r="FL38">
        <v>0.29786706349206349</v>
      </c>
      <c r="FM38">
        <v>0.37704274891774886</v>
      </c>
      <c r="FN38">
        <v>0.33291005291005293</v>
      </c>
      <c r="FO38">
        <v>0.40789682539682542</v>
      </c>
      <c r="FP38">
        <v>0.35392917267917262</v>
      </c>
      <c r="FR38">
        <v>0.27856559290382821</v>
      </c>
      <c r="FS38">
        <v>0.38336715367965363</v>
      </c>
      <c r="FT38">
        <v>0.3264285714285714</v>
      </c>
      <c r="FU38">
        <v>0.36749278499278504</v>
      </c>
      <c r="FV38">
        <v>0.33896352575120958</v>
      </c>
    </row>
    <row r="39" spans="1:178" x14ac:dyDescent="0.2">
      <c r="A39" t="s">
        <v>129</v>
      </c>
      <c r="C39" t="s">
        <v>293</v>
      </c>
      <c r="E39" t="s">
        <v>269</v>
      </c>
      <c r="G39">
        <v>0</v>
      </c>
      <c r="H39" t="s">
        <v>111</v>
      </c>
      <c r="I39">
        <v>0.41666666666666663</v>
      </c>
      <c r="J39">
        <v>0.3970588235294118</v>
      </c>
      <c r="K39">
        <v>0.13293650793650794</v>
      </c>
      <c r="M39">
        <v>191</v>
      </c>
      <c r="N39">
        <v>22.5</v>
      </c>
      <c r="O39">
        <v>2</v>
      </c>
      <c r="P39">
        <v>1</v>
      </c>
      <c r="Q39">
        <v>1.5</v>
      </c>
      <c r="R39">
        <v>1</v>
      </c>
      <c r="T39">
        <v>0.29090909090909089</v>
      </c>
      <c r="U39" t="s">
        <v>111</v>
      </c>
      <c r="V39">
        <v>0.39285714285714285</v>
      </c>
      <c r="W39">
        <v>0.5</v>
      </c>
      <c r="X39">
        <v>0.33928571428571425</v>
      </c>
      <c r="Z39">
        <v>191</v>
      </c>
      <c r="AA39">
        <v>22.5</v>
      </c>
      <c r="AB39">
        <v>2</v>
      </c>
      <c r="AC39">
        <v>1</v>
      </c>
      <c r="AD39">
        <v>1.5</v>
      </c>
      <c r="AE39">
        <v>1</v>
      </c>
      <c r="AG39">
        <v>0.16666666666666666</v>
      </c>
      <c r="AH39">
        <v>0.26666666666666666</v>
      </c>
      <c r="AI39">
        <v>0.5</v>
      </c>
      <c r="AJ39">
        <v>3.0303030303030304E-2</v>
      </c>
      <c r="AK39">
        <v>0.15873015873015872</v>
      </c>
      <c r="AM39">
        <v>101</v>
      </c>
      <c r="AN39">
        <v>22</v>
      </c>
      <c r="AO39">
        <v>2.5</v>
      </c>
      <c r="AP39">
        <v>1</v>
      </c>
      <c r="AQ39">
        <v>1.5</v>
      </c>
      <c r="AR39">
        <v>1</v>
      </c>
      <c r="AT39">
        <v>0</v>
      </c>
      <c r="AU39">
        <v>0.26666666666666666</v>
      </c>
      <c r="AV39">
        <v>0.5</v>
      </c>
      <c r="AW39">
        <v>0.16666666666666666</v>
      </c>
      <c r="AX39">
        <v>0.31468253968253967</v>
      </c>
      <c r="AZ39">
        <v>106</v>
      </c>
      <c r="BA39">
        <v>6</v>
      </c>
      <c r="BB39">
        <v>2.5</v>
      </c>
      <c r="BC39">
        <v>1</v>
      </c>
      <c r="BD39">
        <v>1</v>
      </c>
      <c r="BE39">
        <v>1</v>
      </c>
      <c r="BG39">
        <v>0</v>
      </c>
      <c r="BH39" t="s">
        <v>111</v>
      </c>
      <c r="BI39">
        <v>0.41666666666666663</v>
      </c>
      <c r="BJ39">
        <v>0.25</v>
      </c>
      <c r="BK39">
        <v>0.13293650793650794</v>
      </c>
      <c r="BM39">
        <v>0</v>
      </c>
      <c r="BN39">
        <v>0.26666666666666666</v>
      </c>
      <c r="BO39">
        <v>0.5</v>
      </c>
      <c r="BP39">
        <v>0.16666666666666666</v>
      </c>
      <c r="BQ39">
        <v>0.31468253968253967</v>
      </c>
      <c r="BS39">
        <v>0.29090909090909089</v>
      </c>
      <c r="BT39" t="s">
        <v>111</v>
      </c>
      <c r="BU39">
        <v>0.39285714285714285</v>
      </c>
      <c r="BV39">
        <v>0.58333333333333326</v>
      </c>
      <c r="BW39">
        <v>0.33928571428571425</v>
      </c>
      <c r="BY39">
        <v>0.16666666666666666</v>
      </c>
      <c r="BZ39">
        <v>0.26666666666666666</v>
      </c>
      <c r="CA39">
        <v>0.5</v>
      </c>
      <c r="CB39">
        <v>0.1111111111111111</v>
      </c>
      <c r="CC39">
        <v>0.15873015873015872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Y39" t="s">
        <v>207</v>
      </c>
      <c r="CZ39">
        <v>2</v>
      </c>
      <c r="DA39">
        <v>2</v>
      </c>
      <c r="DB39">
        <v>45013</v>
      </c>
      <c r="DC39">
        <v>45090</v>
      </c>
      <c r="DE39">
        <v>32</v>
      </c>
      <c r="DF39" t="s">
        <v>294</v>
      </c>
      <c r="DG39" t="s">
        <v>200</v>
      </c>
      <c r="DH39">
        <v>48</v>
      </c>
      <c r="DI39">
        <v>0</v>
      </c>
      <c r="DJ39">
        <v>0</v>
      </c>
      <c r="DK39">
        <v>1</v>
      </c>
      <c r="DL39">
        <v>1</v>
      </c>
      <c r="DM39">
        <v>1</v>
      </c>
      <c r="DN39">
        <v>0</v>
      </c>
      <c r="DP39">
        <v>5</v>
      </c>
      <c r="DQ39">
        <v>4</v>
      </c>
      <c r="DR39">
        <v>4</v>
      </c>
      <c r="DS39">
        <v>4</v>
      </c>
      <c r="DT39">
        <v>4</v>
      </c>
      <c r="DU39">
        <v>4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D39">
        <v>5</v>
      </c>
      <c r="EE39">
        <v>4</v>
      </c>
      <c r="EF39">
        <v>4</v>
      </c>
      <c r="EG39">
        <v>3</v>
      </c>
      <c r="EH39">
        <v>4</v>
      </c>
      <c r="EI39">
        <v>4</v>
      </c>
      <c r="EJ39">
        <v>4</v>
      </c>
      <c r="EK39">
        <v>3</v>
      </c>
      <c r="EL39">
        <v>3</v>
      </c>
      <c r="EM39">
        <v>3</v>
      </c>
      <c r="EN39">
        <v>4</v>
      </c>
      <c r="EQ39">
        <v>4</v>
      </c>
      <c r="ER39">
        <v>2</v>
      </c>
      <c r="ES39">
        <v>2</v>
      </c>
      <c r="ET39">
        <v>3</v>
      </c>
      <c r="EU39">
        <v>4</v>
      </c>
      <c r="EV39">
        <v>3</v>
      </c>
      <c r="EW39">
        <v>1</v>
      </c>
      <c r="EX39">
        <v>3</v>
      </c>
      <c r="EY39">
        <v>5</v>
      </c>
      <c r="EZ39">
        <v>1</v>
      </c>
      <c r="FA39">
        <v>2</v>
      </c>
      <c r="FL39">
        <v>0.19990079365079363</v>
      </c>
      <c r="FM39">
        <v>0.40159632034632031</v>
      </c>
      <c r="FN39">
        <v>0.2496031746031746</v>
      </c>
      <c r="FO39">
        <v>0.24063492063492067</v>
      </c>
      <c r="FP39">
        <v>0.27293380230880232</v>
      </c>
      <c r="FR39">
        <v>0.23666549953314658</v>
      </c>
      <c r="FS39">
        <v>0.380762987012987</v>
      </c>
      <c r="FT39">
        <v>0.2496031746031746</v>
      </c>
      <c r="FU39">
        <v>0.22447330447330449</v>
      </c>
      <c r="FV39">
        <v>0.27287624140565314</v>
      </c>
    </row>
    <row r="40" spans="1:178" x14ac:dyDescent="0.2">
      <c r="A40" t="s">
        <v>144</v>
      </c>
      <c r="C40" t="s">
        <v>295</v>
      </c>
      <c r="E40" t="s">
        <v>269</v>
      </c>
      <c r="G40">
        <v>0</v>
      </c>
      <c r="H40" t="s">
        <v>111</v>
      </c>
      <c r="I40">
        <v>0.33333333333333331</v>
      </c>
      <c r="J40">
        <v>0.2720588235294118</v>
      </c>
      <c r="K40">
        <v>6.7460317460317457E-2</v>
      </c>
      <c r="M40">
        <v>1200</v>
      </c>
      <c r="N40">
        <v>10</v>
      </c>
      <c r="O40">
        <v>1</v>
      </c>
      <c r="P40">
        <v>1</v>
      </c>
      <c r="Q40">
        <v>1</v>
      </c>
      <c r="R40">
        <v>1</v>
      </c>
      <c r="T40">
        <v>0.2</v>
      </c>
      <c r="U40" t="s">
        <v>111</v>
      </c>
      <c r="V40">
        <v>7.1428571428571425E-2</v>
      </c>
      <c r="W40">
        <v>0.45238095238095233</v>
      </c>
      <c r="X40">
        <v>1.1904761904761904E-2</v>
      </c>
      <c r="Z40">
        <v>1200</v>
      </c>
      <c r="AA40">
        <v>10</v>
      </c>
      <c r="AB40">
        <v>1</v>
      </c>
      <c r="AC40">
        <v>1</v>
      </c>
      <c r="AD40">
        <v>1</v>
      </c>
      <c r="AE40">
        <v>1</v>
      </c>
      <c r="AG40">
        <v>0</v>
      </c>
      <c r="AH40">
        <v>0.3481481481481481</v>
      </c>
      <c r="AI40">
        <v>0</v>
      </c>
      <c r="AJ40">
        <v>0</v>
      </c>
      <c r="AK40">
        <v>3.5714285714285712E-2</v>
      </c>
      <c r="AM40">
        <v>604</v>
      </c>
      <c r="AN40">
        <v>10</v>
      </c>
      <c r="AO40">
        <v>1</v>
      </c>
      <c r="AP40">
        <v>1</v>
      </c>
      <c r="AQ40">
        <v>1</v>
      </c>
      <c r="AR40">
        <v>1</v>
      </c>
      <c r="AT40">
        <v>2.7777777777777776E-2</v>
      </c>
      <c r="AU40">
        <v>0.3481481481481481</v>
      </c>
      <c r="AV40">
        <v>0</v>
      </c>
      <c r="AW40">
        <v>8.3333333333333329E-2</v>
      </c>
      <c r="AX40">
        <v>0</v>
      </c>
      <c r="AZ40">
        <v>476</v>
      </c>
      <c r="BA40">
        <v>10</v>
      </c>
      <c r="BB40">
        <v>1</v>
      </c>
      <c r="BC40">
        <v>1</v>
      </c>
      <c r="BD40">
        <v>1</v>
      </c>
      <c r="BE40">
        <v>1</v>
      </c>
      <c r="BG40">
        <v>0</v>
      </c>
      <c r="BH40" t="s">
        <v>111</v>
      </c>
      <c r="BI40">
        <v>0.33333333333333331</v>
      </c>
      <c r="BJ40">
        <v>0.125</v>
      </c>
      <c r="BK40">
        <v>6.7460317460317457E-2</v>
      </c>
      <c r="BM40">
        <v>2.7777777777777776E-2</v>
      </c>
      <c r="BN40">
        <v>0.3481481481481481</v>
      </c>
      <c r="BO40">
        <v>0</v>
      </c>
      <c r="BP40">
        <v>8.3333333333333329E-2</v>
      </c>
      <c r="BQ40">
        <v>0</v>
      </c>
      <c r="BS40">
        <v>0.2</v>
      </c>
      <c r="BT40" t="s">
        <v>111</v>
      </c>
      <c r="BU40">
        <v>7.1428571428571425E-2</v>
      </c>
      <c r="BV40">
        <v>0.33333333333333331</v>
      </c>
      <c r="BW40">
        <v>1.1904761904761904E-2</v>
      </c>
      <c r="BY40">
        <v>0</v>
      </c>
      <c r="BZ40">
        <v>0.3481481481481481</v>
      </c>
      <c r="CA40">
        <v>0</v>
      </c>
      <c r="CB40">
        <v>0</v>
      </c>
      <c r="CC40">
        <v>3.5714285714285712E-2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Y40" t="s">
        <v>207</v>
      </c>
      <c r="CZ40">
        <v>1</v>
      </c>
      <c r="DA40">
        <v>3</v>
      </c>
      <c r="DB40">
        <v>45104</v>
      </c>
      <c r="DC40">
        <v>45244</v>
      </c>
      <c r="DE40">
        <v>20</v>
      </c>
      <c r="DF40" t="s">
        <v>296</v>
      </c>
      <c r="DG40" t="s">
        <v>252</v>
      </c>
      <c r="DH40">
        <v>12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P40">
        <v>5</v>
      </c>
      <c r="DQ40">
        <v>5</v>
      </c>
      <c r="DR40">
        <v>4</v>
      </c>
      <c r="DS40">
        <v>5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D40">
        <v>4</v>
      </c>
      <c r="EE40">
        <v>4</v>
      </c>
      <c r="EF40">
        <v>4</v>
      </c>
      <c r="EG40">
        <v>4</v>
      </c>
      <c r="EH40">
        <v>3</v>
      </c>
      <c r="EI40">
        <v>4</v>
      </c>
      <c r="EJ40">
        <v>4</v>
      </c>
      <c r="EK40">
        <v>2</v>
      </c>
      <c r="EL40">
        <v>3</v>
      </c>
      <c r="EM40">
        <v>3</v>
      </c>
      <c r="EN40">
        <v>5</v>
      </c>
      <c r="EQ40">
        <v>4</v>
      </c>
      <c r="ER40">
        <v>2</v>
      </c>
      <c r="ES40">
        <v>2</v>
      </c>
      <c r="ET40">
        <v>2</v>
      </c>
      <c r="EU40">
        <v>5</v>
      </c>
      <c r="EV40">
        <v>2</v>
      </c>
      <c r="EW40">
        <v>2</v>
      </c>
      <c r="EX40">
        <v>2</v>
      </c>
      <c r="EY40">
        <v>2</v>
      </c>
      <c r="EZ40">
        <v>2</v>
      </c>
      <c r="FA40">
        <v>2</v>
      </c>
      <c r="FL40">
        <v>0.1314484126984127</v>
      </c>
      <c r="FM40">
        <v>0.15416666666666667</v>
      </c>
      <c r="FN40">
        <v>9.1851851851851837E-2</v>
      </c>
      <c r="FO40">
        <v>7.6772486772486756E-2</v>
      </c>
      <c r="FP40">
        <v>0.11355985449735449</v>
      </c>
      <c r="FR40">
        <v>0.16821311858076565</v>
      </c>
      <c r="FS40">
        <v>0.18392857142857141</v>
      </c>
      <c r="FT40">
        <v>9.1851851851851837E-2</v>
      </c>
      <c r="FU40">
        <v>7.6772486772486756E-2</v>
      </c>
      <c r="FV40">
        <v>0.1301915071584189</v>
      </c>
    </row>
    <row r="41" spans="1:178" x14ac:dyDescent="0.2">
      <c r="A41" t="s">
        <v>141</v>
      </c>
      <c r="C41" t="s">
        <v>297</v>
      </c>
      <c r="E41" t="s">
        <v>269</v>
      </c>
      <c r="G41">
        <v>0</v>
      </c>
      <c r="H41" t="s">
        <v>111</v>
      </c>
      <c r="I41">
        <v>0.5</v>
      </c>
      <c r="J41">
        <v>0.34558823529411764</v>
      </c>
      <c r="K41">
        <v>0.5357142857142857</v>
      </c>
      <c r="M41">
        <v>249</v>
      </c>
      <c r="N41">
        <v>15</v>
      </c>
      <c r="O41">
        <v>3.5</v>
      </c>
      <c r="P41">
        <v>1</v>
      </c>
      <c r="Q41">
        <v>2</v>
      </c>
      <c r="R41">
        <v>1</v>
      </c>
      <c r="T41">
        <v>0.24545454545454548</v>
      </c>
      <c r="U41" t="s">
        <v>111</v>
      </c>
      <c r="V41">
        <v>0.39285714285714285</v>
      </c>
      <c r="W41">
        <v>0.13095238095238093</v>
      </c>
      <c r="X41">
        <v>0.71626984126984128</v>
      </c>
      <c r="Z41">
        <v>249</v>
      </c>
      <c r="AA41">
        <v>15</v>
      </c>
      <c r="AB41">
        <v>3.5</v>
      </c>
      <c r="AC41">
        <v>1</v>
      </c>
      <c r="AD41">
        <v>2</v>
      </c>
      <c r="AE41">
        <v>1</v>
      </c>
      <c r="AG41">
        <v>0.39583333333333331</v>
      </c>
      <c r="AH41">
        <v>0.34074074074074079</v>
      </c>
      <c r="AI41">
        <v>0.5</v>
      </c>
      <c r="AJ41">
        <v>0.4386724386724386</v>
      </c>
      <c r="AK41">
        <v>0.71825396825396826</v>
      </c>
      <c r="AM41">
        <v>619</v>
      </c>
      <c r="AN41">
        <v>28.5</v>
      </c>
      <c r="AO41">
        <v>2.5</v>
      </c>
      <c r="AP41">
        <v>1</v>
      </c>
      <c r="AQ41">
        <v>2.5</v>
      </c>
      <c r="AR41">
        <v>1.5</v>
      </c>
      <c r="AT41">
        <v>6.9444444444444448E-2</v>
      </c>
      <c r="AU41">
        <v>0.34074074074074079</v>
      </c>
      <c r="AV41">
        <v>0.5</v>
      </c>
      <c r="AW41">
        <v>0.21279761904761904</v>
      </c>
      <c r="AX41">
        <v>0.75436507936507935</v>
      </c>
      <c r="AZ41">
        <v>687</v>
      </c>
      <c r="BA41">
        <v>20</v>
      </c>
      <c r="BB41">
        <v>2.5</v>
      </c>
      <c r="BC41">
        <v>1</v>
      </c>
      <c r="BD41">
        <v>2.5</v>
      </c>
      <c r="BE41">
        <v>1.5</v>
      </c>
      <c r="BG41">
        <v>0</v>
      </c>
      <c r="BH41" t="s">
        <v>111</v>
      </c>
      <c r="BI41">
        <v>0.5</v>
      </c>
      <c r="BJ41">
        <v>0.28125</v>
      </c>
      <c r="BK41">
        <v>0.5357142857142857</v>
      </c>
      <c r="BM41">
        <v>0.15277777777777779</v>
      </c>
      <c r="BN41">
        <v>0.34074074074074079</v>
      </c>
      <c r="BO41">
        <v>0.5</v>
      </c>
      <c r="BP41">
        <v>0.26851851851851855</v>
      </c>
      <c r="BQ41">
        <v>0.75436507936507935</v>
      </c>
      <c r="BS41">
        <v>0.24545454545454548</v>
      </c>
      <c r="BT41" t="s">
        <v>111</v>
      </c>
      <c r="BU41">
        <v>0.39285714285714285</v>
      </c>
      <c r="BV41">
        <v>6.25E-2</v>
      </c>
      <c r="BW41">
        <v>0.71626984126984128</v>
      </c>
      <c r="BY41">
        <v>0.39583333333333331</v>
      </c>
      <c r="BZ41">
        <v>0.34074074074074079</v>
      </c>
      <c r="CA41">
        <v>0.5</v>
      </c>
      <c r="CB41">
        <v>0.80555555555555547</v>
      </c>
      <c r="CC41">
        <v>0.71825396825396826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0.5</v>
      </c>
      <c r="CL41">
        <v>0.5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0.5</v>
      </c>
      <c r="CT41">
        <v>0</v>
      </c>
      <c r="CU41">
        <v>1.5</v>
      </c>
      <c r="CV41">
        <v>1.5</v>
      </c>
      <c r="CY41" t="s">
        <v>207</v>
      </c>
      <c r="CZ41">
        <v>2</v>
      </c>
      <c r="DA41">
        <v>3</v>
      </c>
      <c r="DB41">
        <v>45104</v>
      </c>
      <c r="DC41">
        <v>45195</v>
      </c>
      <c r="DE41">
        <v>30</v>
      </c>
      <c r="DF41" t="s">
        <v>298</v>
      </c>
      <c r="DG41" t="s">
        <v>299</v>
      </c>
      <c r="DH41">
        <v>132</v>
      </c>
      <c r="DI41">
        <v>0</v>
      </c>
      <c r="DJ41">
        <v>0</v>
      </c>
      <c r="DK41">
        <v>1</v>
      </c>
      <c r="DL41">
        <v>1</v>
      </c>
      <c r="DM41">
        <v>0</v>
      </c>
      <c r="DN41">
        <v>0</v>
      </c>
      <c r="DP41">
        <v>5</v>
      </c>
      <c r="DQ41">
        <v>5</v>
      </c>
      <c r="DR41">
        <v>5</v>
      </c>
      <c r="DS41">
        <v>5</v>
      </c>
      <c r="DT41">
        <v>5</v>
      </c>
      <c r="DU41">
        <v>5</v>
      </c>
      <c r="DV41">
        <v>5</v>
      </c>
      <c r="DW41">
        <v>5</v>
      </c>
      <c r="DX41">
        <v>5</v>
      </c>
      <c r="DY41">
        <v>5</v>
      </c>
      <c r="DZ41">
        <v>5</v>
      </c>
      <c r="EA41">
        <v>1</v>
      </c>
      <c r="ED41">
        <v>5</v>
      </c>
      <c r="EE41">
        <v>5</v>
      </c>
      <c r="EF41">
        <v>4</v>
      </c>
      <c r="EG41">
        <v>3</v>
      </c>
      <c r="EH41">
        <v>5</v>
      </c>
      <c r="EI41">
        <v>4</v>
      </c>
      <c r="EJ41">
        <v>5</v>
      </c>
      <c r="EK41">
        <v>4</v>
      </c>
      <c r="EL41">
        <v>3</v>
      </c>
      <c r="EM41">
        <v>3</v>
      </c>
      <c r="EN41">
        <v>5</v>
      </c>
      <c r="EQ41">
        <v>5</v>
      </c>
      <c r="ER41">
        <v>3</v>
      </c>
      <c r="ES41">
        <v>2</v>
      </c>
      <c r="ET41">
        <v>4</v>
      </c>
      <c r="EU41">
        <v>5</v>
      </c>
      <c r="EV41">
        <v>3</v>
      </c>
      <c r="EW41">
        <v>1</v>
      </c>
      <c r="EX41">
        <v>4</v>
      </c>
      <c r="EY41">
        <v>1</v>
      </c>
      <c r="EZ41">
        <v>4</v>
      </c>
      <c r="FA41">
        <v>4</v>
      </c>
      <c r="FL41">
        <v>0.3292410714285714</v>
      </c>
      <c r="FM41">
        <v>0.35427038239538244</v>
      </c>
      <c r="FN41">
        <v>0.40328042328042335</v>
      </c>
      <c r="FO41">
        <v>0.55207671957671955</v>
      </c>
      <c r="FP41">
        <v>0.40971714917027419</v>
      </c>
      <c r="FR41">
        <v>0.34532563025210083</v>
      </c>
      <c r="FS41">
        <v>0.37138347763347768</v>
      </c>
      <c r="FT41">
        <v>0.3754695767195767</v>
      </c>
      <c r="FU41">
        <v>0.47870009620009613</v>
      </c>
      <c r="FV41">
        <v>0.39271969520131289</v>
      </c>
    </row>
    <row r="42" spans="1:178" x14ac:dyDescent="0.2">
      <c r="A42" t="s">
        <v>140</v>
      </c>
      <c r="C42" t="s">
        <v>300</v>
      </c>
      <c r="E42" t="s">
        <v>269</v>
      </c>
      <c r="G42">
        <v>0.25</v>
      </c>
      <c r="H42" t="s">
        <v>111</v>
      </c>
      <c r="I42">
        <v>0.75</v>
      </c>
      <c r="J42">
        <v>0.45506535947712418</v>
      </c>
      <c r="K42">
        <v>0.36309523809523808</v>
      </c>
      <c r="M42">
        <v>1200</v>
      </c>
      <c r="N42">
        <v>7.5</v>
      </c>
      <c r="O42">
        <v>2.5</v>
      </c>
      <c r="P42">
        <v>1</v>
      </c>
      <c r="Q42">
        <v>1</v>
      </c>
      <c r="R42">
        <v>1</v>
      </c>
      <c r="T42">
        <v>0.35909090909090913</v>
      </c>
      <c r="U42" t="s">
        <v>111</v>
      </c>
      <c r="V42">
        <v>7.1428571428571425E-2</v>
      </c>
      <c r="W42">
        <v>0.47619047619047616</v>
      </c>
      <c r="X42">
        <v>0.32936507936507936</v>
      </c>
      <c r="Z42">
        <v>1200</v>
      </c>
      <c r="AA42">
        <v>7.5</v>
      </c>
      <c r="AB42">
        <v>2.5</v>
      </c>
      <c r="AC42">
        <v>1</v>
      </c>
      <c r="AD42">
        <v>1</v>
      </c>
      <c r="AE42">
        <v>1</v>
      </c>
      <c r="AG42">
        <v>0.6875</v>
      </c>
      <c r="AH42">
        <v>0.71851851851851867</v>
      </c>
      <c r="AI42">
        <v>0.5</v>
      </c>
      <c r="AJ42">
        <v>0.52308802308802305</v>
      </c>
      <c r="AK42">
        <v>0.44087301587301586</v>
      </c>
      <c r="AM42">
        <v>882</v>
      </c>
      <c r="AN42">
        <v>22.5</v>
      </c>
      <c r="AO42">
        <v>2.5</v>
      </c>
      <c r="AP42">
        <v>1</v>
      </c>
      <c r="AQ42">
        <v>1.5</v>
      </c>
      <c r="AR42">
        <v>1</v>
      </c>
      <c r="AT42">
        <v>0.21944444444444447</v>
      </c>
      <c r="AU42">
        <v>0.71851851851851867</v>
      </c>
      <c r="AV42">
        <v>0.5</v>
      </c>
      <c r="AW42">
        <v>0.3125</v>
      </c>
      <c r="AX42">
        <v>0.47420634920634924</v>
      </c>
      <c r="AZ42">
        <v>424</v>
      </c>
      <c r="BA42">
        <v>22.5</v>
      </c>
      <c r="BB42">
        <v>2.5</v>
      </c>
      <c r="BC42">
        <v>1.5</v>
      </c>
      <c r="BD42">
        <v>1.5</v>
      </c>
      <c r="BE42">
        <v>1</v>
      </c>
      <c r="BG42">
        <v>0.25</v>
      </c>
      <c r="BH42" t="s">
        <v>111</v>
      </c>
      <c r="BI42">
        <v>0.75</v>
      </c>
      <c r="BJ42">
        <v>0.59375</v>
      </c>
      <c r="BK42">
        <v>0.36309523809523808</v>
      </c>
      <c r="BM42">
        <v>0.21944444444444447</v>
      </c>
      <c r="BN42">
        <v>0.71851851851851867</v>
      </c>
      <c r="BO42">
        <v>0.5</v>
      </c>
      <c r="BP42">
        <v>0.3611111111111111</v>
      </c>
      <c r="BQ42">
        <v>0.47420634920634924</v>
      </c>
      <c r="BS42">
        <v>0.35909090909090913</v>
      </c>
      <c r="BT42" t="s">
        <v>111</v>
      </c>
      <c r="BU42">
        <v>7.1428571428571425E-2</v>
      </c>
      <c r="BV42">
        <v>0.45833333333333331</v>
      </c>
      <c r="BW42">
        <v>0.32936507936507936</v>
      </c>
      <c r="BY42">
        <v>0.6875</v>
      </c>
      <c r="BZ42">
        <v>0.71851851851851867</v>
      </c>
      <c r="CA42">
        <v>0.5</v>
      </c>
      <c r="CB42">
        <v>0.80555555555555547</v>
      </c>
      <c r="CC42">
        <v>0.44087301587301586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1</v>
      </c>
      <c r="CM42">
        <v>0</v>
      </c>
      <c r="CN42">
        <v>1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3</v>
      </c>
      <c r="CV42">
        <v>3</v>
      </c>
      <c r="CY42" t="s">
        <v>207</v>
      </c>
      <c r="CZ42">
        <v>1</v>
      </c>
      <c r="DA42">
        <v>3</v>
      </c>
      <c r="DB42">
        <v>45104</v>
      </c>
      <c r="DC42">
        <v>45251</v>
      </c>
      <c r="DE42">
        <v>20</v>
      </c>
      <c r="DF42" t="s">
        <v>249</v>
      </c>
      <c r="DG42" t="s">
        <v>242</v>
      </c>
      <c r="DH42">
        <v>24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P42">
        <v>5</v>
      </c>
      <c r="DQ42">
        <v>4</v>
      </c>
      <c r="DR42">
        <v>5</v>
      </c>
      <c r="DS42">
        <v>4</v>
      </c>
      <c r="DT42">
        <v>5</v>
      </c>
      <c r="DU42">
        <v>3</v>
      </c>
      <c r="DV42">
        <v>5</v>
      </c>
      <c r="DW42">
        <v>4</v>
      </c>
      <c r="DX42">
        <v>5</v>
      </c>
      <c r="DY42">
        <v>3</v>
      </c>
      <c r="DZ42">
        <v>5</v>
      </c>
      <c r="EA42">
        <v>1</v>
      </c>
      <c r="ED42">
        <v>5</v>
      </c>
      <c r="EE42">
        <v>4</v>
      </c>
      <c r="EF42">
        <v>5</v>
      </c>
      <c r="EG42">
        <v>4</v>
      </c>
      <c r="EH42">
        <v>5</v>
      </c>
      <c r="EI42">
        <v>3</v>
      </c>
      <c r="EJ42">
        <v>5</v>
      </c>
      <c r="EK42">
        <v>4</v>
      </c>
      <c r="EL42">
        <v>5</v>
      </c>
      <c r="EM42">
        <v>3</v>
      </c>
      <c r="EN42">
        <v>5</v>
      </c>
      <c r="EQ42">
        <v>5</v>
      </c>
      <c r="ER42">
        <v>3</v>
      </c>
      <c r="ES42">
        <v>3</v>
      </c>
      <c r="ET42">
        <v>4</v>
      </c>
      <c r="EU42">
        <v>5</v>
      </c>
      <c r="EV42">
        <v>4</v>
      </c>
      <c r="EW42">
        <v>1</v>
      </c>
      <c r="EX42">
        <v>5</v>
      </c>
      <c r="EY42">
        <v>3</v>
      </c>
      <c r="EZ42">
        <v>3</v>
      </c>
      <c r="FA42">
        <v>1</v>
      </c>
      <c r="FL42">
        <v>0.48921130952380953</v>
      </c>
      <c r="FM42">
        <v>0.30455447330447327</v>
      </c>
      <c r="FN42">
        <v>0.45465608465608465</v>
      </c>
      <c r="FO42">
        <v>0.63048941798941804</v>
      </c>
      <c r="FP42">
        <v>0.46972782136844637</v>
      </c>
      <c r="FR42">
        <v>0.45454014939309056</v>
      </c>
      <c r="FS42">
        <v>0.30901875901875903</v>
      </c>
      <c r="FT42">
        <v>0.44493386243386246</v>
      </c>
      <c r="FU42">
        <v>0.57399591149591145</v>
      </c>
      <c r="FV42">
        <v>0.44562217058540587</v>
      </c>
    </row>
    <row r="43" spans="1:178" x14ac:dyDescent="0.2">
      <c r="A43" t="s">
        <v>139</v>
      </c>
      <c r="C43" t="s">
        <v>301</v>
      </c>
      <c r="E43" t="s">
        <v>269</v>
      </c>
      <c r="G43">
        <v>0</v>
      </c>
      <c r="H43" t="s">
        <v>111</v>
      </c>
      <c r="I43">
        <v>0.58333333333333326</v>
      </c>
      <c r="J43">
        <v>0.11764705882352941</v>
      </c>
      <c r="K43">
        <v>0.27380952380952378</v>
      </c>
      <c r="M43">
        <v>880</v>
      </c>
      <c r="N43">
        <v>25</v>
      </c>
      <c r="O43">
        <v>2</v>
      </c>
      <c r="P43">
        <v>1</v>
      </c>
      <c r="Q43">
        <v>2</v>
      </c>
      <c r="R43">
        <v>2</v>
      </c>
      <c r="T43">
        <v>0.60909090909090913</v>
      </c>
      <c r="U43" t="s">
        <v>111</v>
      </c>
      <c r="V43">
        <v>0.6071428571428571</v>
      </c>
      <c r="W43">
        <v>0.35416666666666663</v>
      </c>
      <c r="X43">
        <v>0.42063492063492064</v>
      </c>
      <c r="Z43">
        <v>880</v>
      </c>
      <c r="AA43">
        <v>25</v>
      </c>
      <c r="AB43">
        <v>2</v>
      </c>
      <c r="AC43">
        <v>1</v>
      </c>
      <c r="AD43">
        <v>2</v>
      </c>
      <c r="AE43">
        <v>2</v>
      </c>
      <c r="AG43">
        <v>0.25</v>
      </c>
      <c r="AH43">
        <v>0.6518518518518519</v>
      </c>
      <c r="AI43">
        <v>0.5</v>
      </c>
      <c r="AJ43">
        <v>0.26984126984126983</v>
      </c>
      <c r="AK43">
        <v>0.26428571428571429</v>
      </c>
      <c r="AM43">
        <v>282</v>
      </c>
      <c r="AN43">
        <v>10</v>
      </c>
      <c r="AO43">
        <v>3</v>
      </c>
      <c r="AP43">
        <v>1</v>
      </c>
      <c r="AQ43">
        <v>1</v>
      </c>
      <c r="AR43">
        <v>1</v>
      </c>
      <c r="AT43">
        <v>0.22857142857142854</v>
      </c>
      <c r="AU43">
        <v>0.6518518518518519</v>
      </c>
      <c r="AV43">
        <v>0.5</v>
      </c>
      <c r="AW43">
        <v>0.25</v>
      </c>
      <c r="AX43">
        <v>0.29523809523809524</v>
      </c>
      <c r="AZ43">
        <v>545</v>
      </c>
      <c r="BA43">
        <v>10</v>
      </c>
      <c r="BB43">
        <v>3</v>
      </c>
      <c r="BC43">
        <v>1</v>
      </c>
      <c r="BD43">
        <v>1</v>
      </c>
      <c r="BE43">
        <v>1</v>
      </c>
      <c r="BG43">
        <v>0</v>
      </c>
      <c r="BH43" t="s">
        <v>111</v>
      </c>
      <c r="BI43">
        <v>0.58333333333333326</v>
      </c>
      <c r="BJ43">
        <v>0.25</v>
      </c>
      <c r="BK43">
        <v>0.27380952380952378</v>
      </c>
      <c r="BM43">
        <v>8.5714285714285715E-2</v>
      </c>
      <c r="BN43">
        <v>0.6518518518518519</v>
      </c>
      <c r="BO43">
        <v>0.5</v>
      </c>
      <c r="BP43">
        <v>0.25</v>
      </c>
      <c r="BQ43">
        <v>0.29523809523809524</v>
      </c>
      <c r="BS43">
        <v>0.60909090909090913</v>
      </c>
      <c r="BT43" t="s">
        <v>111</v>
      </c>
      <c r="BU43">
        <v>0.6071428571428571</v>
      </c>
      <c r="BV43">
        <v>0.33333333333333331</v>
      </c>
      <c r="BW43">
        <v>0.42063492063492064</v>
      </c>
      <c r="BY43">
        <v>0.25</v>
      </c>
      <c r="BZ43">
        <v>0.6518518518518519</v>
      </c>
      <c r="CA43">
        <v>0.5</v>
      </c>
      <c r="CB43">
        <v>0.38888888888888884</v>
      </c>
      <c r="CC43">
        <v>0.26428571428571429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Y43" t="s">
        <v>207</v>
      </c>
      <c r="CZ43">
        <v>1</v>
      </c>
      <c r="DA43">
        <v>3</v>
      </c>
      <c r="DB43">
        <v>45104</v>
      </c>
      <c r="DC43">
        <v>45223</v>
      </c>
      <c r="DE43">
        <v>28</v>
      </c>
      <c r="DF43" t="s">
        <v>302</v>
      </c>
      <c r="DG43" t="s">
        <v>303</v>
      </c>
      <c r="DH43">
        <v>72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P43">
        <v>4</v>
      </c>
      <c r="DQ43">
        <v>4</v>
      </c>
      <c r="DR43">
        <v>4</v>
      </c>
      <c r="DS43">
        <v>5</v>
      </c>
      <c r="DT43">
        <v>5</v>
      </c>
      <c r="DU43">
        <v>4</v>
      </c>
      <c r="DV43">
        <v>5</v>
      </c>
      <c r="DW43">
        <v>4</v>
      </c>
      <c r="DX43">
        <v>4</v>
      </c>
      <c r="DY43">
        <v>3</v>
      </c>
      <c r="DZ43">
        <v>5</v>
      </c>
      <c r="EA43">
        <v>2</v>
      </c>
      <c r="ED43">
        <v>4</v>
      </c>
      <c r="EE43">
        <v>4</v>
      </c>
      <c r="EF43">
        <v>3</v>
      </c>
      <c r="EG43">
        <v>3</v>
      </c>
      <c r="EH43">
        <v>5</v>
      </c>
      <c r="EI43">
        <v>2</v>
      </c>
      <c r="EJ43">
        <v>5</v>
      </c>
      <c r="EK43">
        <v>2</v>
      </c>
      <c r="EL43">
        <v>2</v>
      </c>
      <c r="EM43">
        <v>3</v>
      </c>
      <c r="EN43">
        <v>5</v>
      </c>
      <c r="EQ43">
        <v>4</v>
      </c>
      <c r="ER43">
        <v>2</v>
      </c>
      <c r="ES43">
        <v>2</v>
      </c>
      <c r="ET43">
        <v>2</v>
      </c>
      <c r="EU43">
        <v>5</v>
      </c>
      <c r="EV43">
        <v>2</v>
      </c>
      <c r="EW43">
        <v>2</v>
      </c>
      <c r="EX43">
        <v>5</v>
      </c>
      <c r="EY43">
        <v>2</v>
      </c>
      <c r="EZ43">
        <v>2</v>
      </c>
      <c r="FA43">
        <v>2</v>
      </c>
      <c r="FL43">
        <v>0.27678571428571425</v>
      </c>
      <c r="FM43">
        <v>0.49255050505050502</v>
      </c>
      <c r="FN43">
        <v>0.35656084656084663</v>
      </c>
      <c r="FO43">
        <v>0.41100529100529098</v>
      </c>
      <c r="FP43">
        <v>0.38422558922558919</v>
      </c>
      <c r="FR43">
        <v>0.24369747899159661</v>
      </c>
      <c r="FS43">
        <v>0.49775883838383833</v>
      </c>
      <c r="FT43">
        <v>0.38513227513227516</v>
      </c>
      <c r="FU43">
        <v>0.3871957671957672</v>
      </c>
      <c r="FV43">
        <v>0.37844608992586937</v>
      </c>
    </row>
    <row r="44" spans="1:178" x14ac:dyDescent="0.2">
      <c r="A44" t="s">
        <v>138</v>
      </c>
      <c r="C44" t="s">
        <v>304</v>
      </c>
      <c r="E44" t="s">
        <v>269</v>
      </c>
      <c r="G44">
        <v>0.1111111111111111</v>
      </c>
      <c r="H44" t="s">
        <v>111</v>
      </c>
      <c r="I44">
        <v>0.58333333333333326</v>
      </c>
      <c r="J44">
        <v>0.69117647058823528</v>
      </c>
      <c r="K44">
        <v>0.92063492063492058</v>
      </c>
      <c r="M44">
        <v>1200</v>
      </c>
      <c r="N44">
        <v>40</v>
      </c>
      <c r="O44">
        <v>4</v>
      </c>
      <c r="P44">
        <v>2</v>
      </c>
      <c r="Q44">
        <v>3</v>
      </c>
      <c r="R44">
        <v>2</v>
      </c>
      <c r="T44">
        <v>0.29090909090909089</v>
      </c>
      <c r="U44" t="s">
        <v>111</v>
      </c>
      <c r="V44">
        <v>0.4642857142857143</v>
      </c>
      <c r="W44">
        <v>0.47619047619047616</v>
      </c>
      <c r="X44">
        <v>0.71825396825396826</v>
      </c>
      <c r="Z44">
        <v>1200</v>
      </c>
      <c r="AA44">
        <v>40</v>
      </c>
      <c r="AB44">
        <v>4</v>
      </c>
      <c r="AC44">
        <v>2</v>
      </c>
      <c r="AD44">
        <v>3</v>
      </c>
      <c r="AE44">
        <v>2</v>
      </c>
      <c r="AG44">
        <v>0.60416666666666663</v>
      </c>
      <c r="AH44">
        <v>0.2074074074074074</v>
      </c>
      <c r="AI44">
        <v>0.5</v>
      </c>
      <c r="AJ44">
        <v>0.55339105339105332</v>
      </c>
      <c r="AK44">
        <v>0.84126984126984128</v>
      </c>
      <c r="AM44">
        <v>871</v>
      </c>
      <c r="AN44">
        <v>65</v>
      </c>
      <c r="AO44">
        <v>3</v>
      </c>
      <c r="AP44">
        <v>3</v>
      </c>
      <c r="AQ44">
        <v>3</v>
      </c>
      <c r="AR44">
        <v>3</v>
      </c>
      <c r="AT44">
        <v>0.58333333333333326</v>
      </c>
      <c r="AU44">
        <v>0.2074074074074074</v>
      </c>
      <c r="AV44">
        <v>0.5</v>
      </c>
      <c r="AW44">
        <v>0.5714285714285714</v>
      </c>
      <c r="AX44">
        <v>0.97619047619047616</v>
      </c>
      <c r="AZ44">
        <v>858</v>
      </c>
      <c r="BA44">
        <v>90</v>
      </c>
      <c r="BB44">
        <v>3</v>
      </c>
      <c r="BC44">
        <v>3</v>
      </c>
      <c r="BD44">
        <v>4</v>
      </c>
      <c r="BE44">
        <v>4</v>
      </c>
      <c r="BG44">
        <v>0.1111111111111111</v>
      </c>
      <c r="BH44" t="s">
        <v>111</v>
      </c>
      <c r="BI44">
        <v>0.58333333333333326</v>
      </c>
      <c r="BJ44">
        <v>0.625</v>
      </c>
      <c r="BK44">
        <v>0.92063492063492058</v>
      </c>
      <c r="BM44">
        <v>0.58333333333333326</v>
      </c>
      <c r="BN44">
        <v>0.2074074074074074</v>
      </c>
      <c r="BO44">
        <v>0.5</v>
      </c>
      <c r="BP44">
        <v>0.68518518518518512</v>
      </c>
      <c r="BQ44">
        <v>0.97619047619047616</v>
      </c>
      <c r="BS44">
        <v>0.29090909090909089</v>
      </c>
      <c r="BT44" t="s">
        <v>111</v>
      </c>
      <c r="BU44">
        <v>0.4642857142857143</v>
      </c>
      <c r="BV44">
        <v>0.45833333333333331</v>
      </c>
      <c r="BW44">
        <v>0.71825396825396826</v>
      </c>
      <c r="BY44">
        <v>0.60416666666666663</v>
      </c>
      <c r="BZ44">
        <v>0.2074074074074074</v>
      </c>
      <c r="CA44">
        <v>0.5</v>
      </c>
      <c r="CB44">
        <v>0.80555555555555547</v>
      </c>
      <c r="CC44">
        <v>0.84126984126984128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0</v>
      </c>
      <c r="CQ44">
        <v>1</v>
      </c>
      <c r="CR44">
        <v>0</v>
      </c>
      <c r="CS44">
        <v>1</v>
      </c>
      <c r="CT44">
        <v>1</v>
      </c>
      <c r="CU44">
        <v>7</v>
      </c>
      <c r="CV44">
        <v>8</v>
      </c>
      <c r="CY44" t="s">
        <v>207</v>
      </c>
      <c r="CZ44">
        <v>1</v>
      </c>
      <c r="DA44">
        <v>3</v>
      </c>
      <c r="DB44">
        <v>45104</v>
      </c>
      <c r="DC44">
        <v>45237</v>
      </c>
      <c r="DE44">
        <v>19</v>
      </c>
      <c r="DF44" t="s">
        <v>249</v>
      </c>
      <c r="DG44" t="s">
        <v>242</v>
      </c>
      <c r="DH44">
        <v>12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P44">
        <v>4</v>
      </c>
      <c r="DQ44">
        <v>4</v>
      </c>
      <c r="DR44">
        <v>4</v>
      </c>
      <c r="DS44">
        <v>3</v>
      </c>
      <c r="DT44">
        <v>4</v>
      </c>
      <c r="DU44">
        <v>3</v>
      </c>
      <c r="DV44">
        <v>5</v>
      </c>
      <c r="DW44">
        <v>3</v>
      </c>
      <c r="DX44">
        <v>3</v>
      </c>
      <c r="DY44">
        <v>3</v>
      </c>
      <c r="DZ44">
        <v>5</v>
      </c>
      <c r="EA44">
        <v>0</v>
      </c>
      <c r="ED44">
        <v>3</v>
      </c>
      <c r="EE44">
        <v>4</v>
      </c>
      <c r="EF44">
        <v>4</v>
      </c>
      <c r="EG44">
        <v>2</v>
      </c>
      <c r="EH44">
        <v>3</v>
      </c>
      <c r="EI44">
        <v>3</v>
      </c>
      <c r="EJ44">
        <v>5</v>
      </c>
      <c r="EK44">
        <v>3</v>
      </c>
      <c r="EL44">
        <v>2</v>
      </c>
      <c r="EM44">
        <v>4</v>
      </c>
      <c r="EN44">
        <v>5</v>
      </c>
      <c r="EQ44">
        <v>4</v>
      </c>
      <c r="ER44">
        <v>2</v>
      </c>
      <c r="ES44">
        <v>2</v>
      </c>
      <c r="ET44">
        <v>2</v>
      </c>
      <c r="EU44">
        <v>5</v>
      </c>
      <c r="EV44">
        <v>3</v>
      </c>
      <c r="EW44">
        <v>1</v>
      </c>
      <c r="EX44">
        <v>2</v>
      </c>
      <c r="EY44">
        <v>2</v>
      </c>
      <c r="EZ44">
        <v>3</v>
      </c>
      <c r="FA44">
        <v>3</v>
      </c>
      <c r="FL44">
        <v>0.56001984126984128</v>
      </c>
      <c r="FM44">
        <v>0.48294552669552671</v>
      </c>
      <c r="FN44">
        <v>0.59042328042328041</v>
      </c>
      <c r="FO44">
        <v>0.59167989417989419</v>
      </c>
      <c r="FP44">
        <v>0.5562671356421357</v>
      </c>
      <c r="FR44">
        <v>0.57656395891690004</v>
      </c>
      <c r="FS44">
        <v>0.4874098124098124</v>
      </c>
      <c r="FT44">
        <v>0.56767195767195766</v>
      </c>
      <c r="FU44">
        <v>0.5412469937469937</v>
      </c>
      <c r="FV44">
        <v>0.54322318068641595</v>
      </c>
    </row>
    <row r="45" spans="1:178" s="28" customFormat="1" x14ac:dyDescent="0.2">
      <c r="A45" s="28" t="s">
        <v>135</v>
      </c>
      <c r="C45" s="28" t="s">
        <v>305</v>
      </c>
      <c r="E45" s="28" t="s">
        <v>269</v>
      </c>
      <c r="G45" s="28">
        <v>0.1111111111111111</v>
      </c>
      <c r="H45" s="28" t="s">
        <v>111</v>
      </c>
      <c r="I45" s="28">
        <v>0.58333333333333326</v>
      </c>
      <c r="J45" s="28">
        <v>0.54411764705882359</v>
      </c>
      <c r="K45" s="28">
        <v>0.7142857142857143</v>
      </c>
      <c r="M45" s="28" t="s">
        <v>111</v>
      </c>
      <c r="N45" s="28">
        <v>20</v>
      </c>
      <c r="O45" s="28">
        <v>4</v>
      </c>
      <c r="P45" s="28">
        <v>2</v>
      </c>
      <c r="Q45" s="28">
        <v>2</v>
      </c>
      <c r="R45" s="28">
        <v>2</v>
      </c>
      <c r="T45" s="28">
        <v>0.24545454545454548</v>
      </c>
      <c r="U45" s="28" t="s">
        <v>111</v>
      </c>
      <c r="V45" s="28">
        <v>0.6071428571428571</v>
      </c>
      <c r="W45" s="28">
        <v>0.47619047619047616</v>
      </c>
      <c r="X45" s="28">
        <v>0.76190476190476186</v>
      </c>
      <c r="Z45" s="28" t="s">
        <v>111</v>
      </c>
      <c r="AA45" s="28">
        <v>20</v>
      </c>
      <c r="AB45" s="28">
        <v>4</v>
      </c>
      <c r="AC45" s="28">
        <v>2</v>
      </c>
      <c r="AD45" s="28">
        <v>2</v>
      </c>
      <c r="AE45" s="28">
        <v>2</v>
      </c>
      <c r="AG45" s="28">
        <v>0.8</v>
      </c>
      <c r="AH45" s="28">
        <v>0.50370370370370376</v>
      </c>
      <c r="AI45" s="28">
        <v>0.5</v>
      </c>
      <c r="AJ45" s="28">
        <v>0.60101010101010088</v>
      </c>
      <c r="AK45" s="28">
        <v>0.89761904761904765</v>
      </c>
      <c r="AM45" s="28" t="s">
        <v>111</v>
      </c>
      <c r="AN45" s="28">
        <v>80</v>
      </c>
      <c r="AO45" s="28">
        <v>2</v>
      </c>
      <c r="AP45" s="28">
        <v>3</v>
      </c>
      <c r="AQ45" s="28">
        <v>3</v>
      </c>
      <c r="AR45" s="28">
        <v>4</v>
      </c>
      <c r="AT45" s="28">
        <v>0.40952380952380951</v>
      </c>
      <c r="AU45" s="28">
        <v>0.50370370370370376</v>
      </c>
      <c r="AV45" s="28">
        <v>0.5</v>
      </c>
      <c r="AW45" s="28">
        <v>0.3125</v>
      </c>
      <c r="AX45" s="28">
        <v>0.8738095238095237</v>
      </c>
      <c r="AZ45" s="28" t="s">
        <v>111</v>
      </c>
      <c r="BA45" s="28">
        <v>30</v>
      </c>
      <c r="BB45" s="28">
        <v>2</v>
      </c>
      <c r="BC45" s="28">
        <v>2</v>
      </c>
      <c r="BD45" s="28">
        <v>3</v>
      </c>
      <c r="BE45" s="28">
        <v>2</v>
      </c>
      <c r="BG45" s="28">
        <v>0.1111111111111111</v>
      </c>
      <c r="BH45" s="28" t="s">
        <v>111</v>
      </c>
      <c r="BI45" s="28">
        <v>0.58333333333333326</v>
      </c>
      <c r="BJ45" s="28">
        <v>0.5625</v>
      </c>
      <c r="BK45" s="28">
        <v>0.7142857142857143</v>
      </c>
      <c r="BM45" s="28">
        <v>0.26666666666666672</v>
      </c>
      <c r="BN45" s="28">
        <v>0.50370370370370376</v>
      </c>
      <c r="BO45" s="28">
        <v>0.5</v>
      </c>
      <c r="BP45" s="28">
        <v>0.3611111111111111</v>
      </c>
      <c r="BQ45" s="28">
        <v>0.8738095238095237</v>
      </c>
      <c r="BS45" s="28">
        <v>0.24545454545454548</v>
      </c>
      <c r="BT45" s="28" t="s">
        <v>111</v>
      </c>
      <c r="BU45" s="28">
        <v>0.6071428571428571</v>
      </c>
      <c r="BV45" s="28">
        <v>0.45833333333333331</v>
      </c>
      <c r="BW45" s="28">
        <v>0.76190476190476186</v>
      </c>
      <c r="BY45" s="28">
        <v>0.8</v>
      </c>
      <c r="BZ45" s="28">
        <v>0.50370370370370376</v>
      </c>
      <c r="CA45" s="28">
        <v>0.5</v>
      </c>
      <c r="CB45" s="28">
        <v>0.80555555555555547</v>
      </c>
      <c r="CC45" s="28">
        <v>0.89761904761904765</v>
      </c>
      <c r="CF45" s="28">
        <v>0</v>
      </c>
      <c r="CG45" s="28">
        <v>0</v>
      </c>
      <c r="CH45" s="28">
        <v>0</v>
      </c>
      <c r="CI45" s="28">
        <v>0</v>
      </c>
      <c r="CJ45" s="28">
        <v>1</v>
      </c>
      <c r="CK45" s="28">
        <v>1</v>
      </c>
      <c r="CL45" s="28">
        <v>1</v>
      </c>
      <c r="CM45" s="28">
        <v>1</v>
      </c>
      <c r="CN45" s="28">
        <v>1</v>
      </c>
      <c r="CO45" s="28">
        <v>0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5</v>
      </c>
      <c r="CV45" s="28">
        <v>5</v>
      </c>
      <c r="CY45" s="28" t="s">
        <v>199</v>
      </c>
      <c r="CZ45" s="28">
        <v>1</v>
      </c>
      <c r="DA45" s="28">
        <v>3</v>
      </c>
      <c r="DB45" s="28">
        <v>45104</v>
      </c>
      <c r="DC45" s="28">
        <v>45247</v>
      </c>
      <c r="DE45" s="28">
        <v>27</v>
      </c>
      <c r="DF45" s="28" t="s">
        <v>306</v>
      </c>
      <c r="DG45" s="28" t="s">
        <v>307</v>
      </c>
      <c r="DH45" s="28">
        <v>84</v>
      </c>
      <c r="DI45" s="28">
        <v>0</v>
      </c>
      <c r="DJ45" s="28">
        <v>0</v>
      </c>
      <c r="DK45" s="28">
        <v>1</v>
      </c>
      <c r="DL45" s="28">
        <v>1</v>
      </c>
      <c r="DM45" s="28">
        <v>0</v>
      </c>
      <c r="DN45" s="28">
        <v>0</v>
      </c>
      <c r="DP45" s="28">
        <v>5</v>
      </c>
      <c r="DQ45" s="28">
        <v>4</v>
      </c>
      <c r="DR45" s="28">
        <v>4</v>
      </c>
      <c r="DS45" s="28">
        <v>4</v>
      </c>
      <c r="DT45" s="28">
        <v>5</v>
      </c>
      <c r="DU45" s="28">
        <v>5</v>
      </c>
      <c r="DV45" s="28">
        <v>5</v>
      </c>
      <c r="DW45" s="28">
        <v>4</v>
      </c>
      <c r="DX45" s="28">
        <v>4</v>
      </c>
      <c r="DY45" s="28">
        <v>4</v>
      </c>
      <c r="DZ45" s="28">
        <v>5</v>
      </c>
      <c r="EA45" s="28">
        <v>2</v>
      </c>
      <c r="ED45" s="28">
        <v>4</v>
      </c>
      <c r="EE45" s="28">
        <v>4</v>
      </c>
      <c r="EF45" s="28">
        <v>4</v>
      </c>
      <c r="EG45" s="28">
        <v>3</v>
      </c>
      <c r="EH45" s="28">
        <v>4</v>
      </c>
      <c r="EI45" s="28">
        <v>3</v>
      </c>
      <c r="EJ45" s="28">
        <v>5</v>
      </c>
      <c r="EK45" s="28">
        <v>3</v>
      </c>
      <c r="EL45" s="28">
        <v>3</v>
      </c>
      <c r="EM45" s="28">
        <v>4</v>
      </c>
      <c r="EN45" s="28">
        <v>5</v>
      </c>
      <c r="EQ45" s="28">
        <v>5</v>
      </c>
      <c r="ER45" s="28">
        <v>4</v>
      </c>
      <c r="ES45" s="28">
        <v>3</v>
      </c>
      <c r="ET45" s="28">
        <v>3</v>
      </c>
      <c r="EU45" s="28">
        <v>5</v>
      </c>
      <c r="EV45" s="28">
        <v>3</v>
      </c>
      <c r="EW45" s="28">
        <v>1</v>
      </c>
      <c r="EX45" s="28">
        <v>3</v>
      </c>
      <c r="EY45" s="28">
        <v>3</v>
      </c>
      <c r="EZ45" s="28">
        <v>3</v>
      </c>
      <c r="FA45" s="28">
        <v>3</v>
      </c>
      <c r="FL45" s="28">
        <v>0.49280753968253965</v>
      </c>
      <c r="FM45" s="28">
        <v>0.51820887445887442</v>
      </c>
      <c r="FN45" s="28">
        <v>0.50105820105820109</v>
      </c>
      <c r="FO45" s="28">
        <v>0.70137566137566132</v>
      </c>
      <c r="FP45" s="28">
        <v>0.55336256914381921</v>
      </c>
      <c r="FR45" s="28">
        <v>0.48821195144724561</v>
      </c>
      <c r="FS45" s="28">
        <v>0.52267316017316012</v>
      </c>
      <c r="FT45" s="28">
        <v>0.51990740740740748</v>
      </c>
      <c r="FU45" s="28">
        <v>0.66046657046657042</v>
      </c>
      <c r="FV45" s="28">
        <v>0.54781477237359599</v>
      </c>
    </row>
    <row r="46" spans="1:178" x14ac:dyDescent="0.2">
      <c r="A46" t="s">
        <v>134</v>
      </c>
      <c r="C46" t="s">
        <v>308</v>
      </c>
      <c r="E46" t="s">
        <v>269</v>
      </c>
      <c r="G46">
        <v>0.1111111111111111</v>
      </c>
      <c r="H46" t="s">
        <v>111</v>
      </c>
      <c r="I46">
        <v>0.58333333333333326</v>
      </c>
      <c r="J46">
        <v>0.66911764705882359</v>
      </c>
      <c r="K46">
        <v>0.42857142857142855</v>
      </c>
      <c r="M46">
        <v>944</v>
      </c>
      <c r="N46">
        <v>25</v>
      </c>
      <c r="O46">
        <v>2</v>
      </c>
      <c r="P46">
        <v>2</v>
      </c>
      <c r="Q46">
        <v>2</v>
      </c>
      <c r="R46">
        <v>1</v>
      </c>
      <c r="T46">
        <v>0.56363636363636371</v>
      </c>
      <c r="U46" t="s">
        <v>111</v>
      </c>
      <c r="V46">
        <v>0.4642857142857143</v>
      </c>
      <c r="W46">
        <v>0.3571428571428571</v>
      </c>
      <c r="X46">
        <v>0.35714285714285715</v>
      </c>
      <c r="Z46">
        <v>944</v>
      </c>
      <c r="AA46">
        <v>25</v>
      </c>
      <c r="AB46">
        <v>2</v>
      </c>
      <c r="AC46">
        <v>2</v>
      </c>
      <c r="AD46">
        <v>2</v>
      </c>
      <c r="AE46">
        <v>1</v>
      </c>
      <c r="AG46">
        <v>0.2583333333333333</v>
      </c>
      <c r="AH46">
        <v>0.54074074074074074</v>
      </c>
      <c r="AI46">
        <v>0.5</v>
      </c>
      <c r="AJ46">
        <v>0.37806637806637805</v>
      </c>
      <c r="AK46">
        <v>0.3436507936507936</v>
      </c>
      <c r="AM46">
        <v>646</v>
      </c>
      <c r="AN46">
        <v>30</v>
      </c>
      <c r="AO46">
        <v>4</v>
      </c>
      <c r="AP46">
        <v>2</v>
      </c>
      <c r="AQ46">
        <v>3</v>
      </c>
      <c r="AR46">
        <v>2</v>
      </c>
      <c r="AT46">
        <v>0.61507936507936511</v>
      </c>
      <c r="AU46">
        <v>0.54074074074074074</v>
      </c>
      <c r="AV46">
        <v>0.5</v>
      </c>
      <c r="AW46">
        <v>0.41369047619047622</v>
      </c>
      <c r="AX46">
        <v>0.81904761904761914</v>
      </c>
      <c r="AZ46">
        <v>598</v>
      </c>
      <c r="BA46">
        <v>60</v>
      </c>
      <c r="BB46">
        <v>4</v>
      </c>
      <c r="BC46">
        <v>3</v>
      </c>
      <c r="BD46">
        <v>4</v>
      </c>
      <c r="BE46">
        <v>3</v>
      </c>
      <c r="BG46">
        <v>0.1111111111111111</v>
      </c>
      <c r="BH46" t="s">
        <v>111</v>
      </c>
      <c r="BI46">
        <v>0.58333333333333326</v>
      </c>
      <c r="BJ46">
        <v>0.6875</v>
      </c>
      <c r="BK46">
        <v>0.42857142857142855</v>
      </c>
      <c r="BM46">
        <v>0.63888888888888884</v>
      </c>
      <c r="BN46">
        <v>0.54074074074074074</v>
      </c>
      <c r="BO46">
        <v>0.5</v>
      </c>
      <c r="BP46">
        <v>0.62037037037037035</v>
      </c>
      <c r="BQ46">
        <v>0.81904761904761914</v>
      </c>
      <c r="BS46">
        <v>0.56363636363636371</v>
      </c>
      <c r="BT46" t="s">
        <v>111</v>
      </c>
      <c r="BU46">
        <v>0.4642857142857143</v>
      </c>
      <c r="BV46">
        <v>0.45833333333333331</v>
      </c>
      <c r="BW46">
        <v>0.35714285714285715</v>
      </c>
      <c r="BY46">
        <v>0.2583333333333333</v>
      </c>
      <c r="BZ46">
        <v>0.54074074074074074</v>
      </c>
      <c r="CA46">
        <v>0.5</v>
      </c>
      <c r="CB46">
        <v>0.61111111111111105</v>
      </c>
      <c r="CC46">
        <v>0.3436507936507936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</v>
      </c>
      <c r="CV46">
        <v>1</v>
      </c>
      <c r="CY46" t="s">
        <v>199</v>
      </c>
      <c r="CZ46">
        <v>1</v>
      </c>
      <c r="DA46">
        <v>3</v>
      </c>
      <c r="DB46">
        <v>45104</v>
      </c>
      <c r="DC46">
        <v>45233</v>
      </c>
      <c r="DE46">
        <v>22</v>
      </c>
      <c r="DF46" t="s">
        <v>309</v>
      </c>
      <c r="DG46" t="s">
        <v>204</v>
      </c>
      <c r="DH46">
        <v>24</v>
      </c>
      <c r="DI46">
        <v>0</v>
      </c>
      <c r="DJ46">
        <v>0</v>
      </c>
      <c r="DK46">
        <v>1</v>
      </c>
      <c r="DL46">
        <v>2</v>
      </c>
      <c r="DM46">
        <v>0</v>
      </c>
      <c r="DN46">
        <v>0</v>
      </c>
      <c r="DP46">
        <v>5</v>
      </c>
      <c r="DQ46">
        <v>5</v>
      </c>
      <c r="DR46">
        <v>4</v>
      </c>
      <c r="DS46">
        <v>3</v>
      </c>
      <c r="DT46">
        <v>4</v>
      </c>
      <c r="DU46">
        <v>3</v>
      </c>
      <c r="DV46">
        <v>5</v>
      </c>
      <c r="DW46">
        <v>3</v>
      </c>
      <c r="DX46">
        <v>4</v>
      </c>
      <c r="DY46">
        <v>3</v>
      </c>
      <c r="DZ46">
        <v>5</v>
      </c>
      <c r="EA46">
        <v>0</v>
      </c>
      <c r="ED46">
        <v>4</v>
      </c>
      <c r="EE46">
        <v>4</v>
      </c>
      <c r="EF46">
        <v>4</v>
      </c>
      <c r="EG46">
        <v>2</v>
      </c>
      <c r="EH46">
        <v>5</v>
      </c>
      <c r="EI46">
        <v>2</v>
      </c>
      <c r="EJ46">
        <v>5</v>
      </c>
      <c r="EK46">
        <v>2</v>
      </c>
      <c r="EL46">
        <v>3</v>
      </c>
      <c r="EM46">
        <v>2</v>
      </c>
      <c r="EN46">
        <v>5</v>
      </c>
      <c r="EQ46">
        <v>4</v>
      </c>
      <c r="ER46">
        <v>2</v>
      </c>
      <c r="ES46">
        <v>2</v>
      </c>
      <c r="ET46">
        <v>2</v>
      </c>
      <c r="EU46">
        <v>5</v>
      </c>
      <c r="EV46">
        <v>2</v>
      </c>
      <c r="EW46">
        <v>1</v>
      </c>
      <c r="EX46">
        <v>1</v>
      </c>
      <c r="EY46">
        <v>1</v>
      </c>
      <c r="EZ46">
        <v>2</v>
      </c>
      <c r="FA46">
        <v>2</v>
      </c>
      <c r="FL46">
        <v>0.45262896825396826</v>
      </c>
      <c r="FM46">
        <v>0.46084956709956709</v>
      </c>
      <c r="FN46">
        <v>0.62380952380952381</v>
      </c>
      <c r="FO46">
        <v>0.45076719576719582</v>
      </c>
      <c r="FP46">
        <v>0.4970138137325637</v>
      </c>
      <c r="FR46">
        <v>0.44803338001867415</v>
      </c>
      <c r="FS46">
        <v>0.43555194805194808</v>
      </c>
      <c r="FT46">
        <v>0.57771164021164023</v>
      </c>
      <c r="FU46">
        <v>0.40415824915824911</v>
      </c>
      <c r="FV46">
        <v>0.46636380436012792</v>
      </c>
    </row>
    <row r="47" spans="1:178" x14ac:dyDescent="0.2">
      <c r="A47" t="s">
        <v>131</v>
      </c>
      <c r="C47" t="s">
        <v>310</v>
      </c>
      <c r="E47" t="s">
        <v>269</v>
      </c>
      <c r="G47">
        <v>0.25</v>
      </c>
      <c r="H47" t="s">
        <v>111</v>
      </c>
      <c r="I47">
        <v>0.41666666666666663</v>
      </c>
      <c r="J47">
        <v>0.63235294117647056</v>
      </c>
      <c r="K47">
        <v>0.52579365079365081</v>
      </c>
      <c r="M47">
        <v>415</v>
      </c>
      <c r="N47">
        <v>22.5</v>
      </c>
      <c r="O47">
        <v>2</v>
      </c>
      <c r="P47">
        <v>1.5</v>
      </c>
      <c r="Q47">
        <v>2</v>
      </c>
      <c r="R47">
        <v>1</v>
      </c>
      <c r="T47">
        <v>0.38181818181818183</v>
      </c>
      <c r="U47" t="s">
        <v>111</v>
      </c>
      <c r="V47">
        <v>0.4821428571428571</v>
      </c>
      <c r="W47">
        <v>0.54761904761904756</v>
      </c>
      <c r="X47">
        <v>0.51984126984126977</v>
      </c>
      <c r="Z47">
        <v>415</v>
      </c>
      <c r="AA47">
        <v>22.5</v>
      </c>
      <c r="AB47">
        <v>2</v>
      </c>
      <c r="AC47">
        <v>1.5</v>
      </c>
      <c r="AD47">
        <v>2</v>
      </c>
      <c r="AE47">
        <v>1</v>
      </c>
      <c r="AG47">
        <v>0.4375</v>
      </c>
      <c r="AH47">
        <v>0.3444444444444445</v>
      </c>
      <c r="AI47">
        <v>0.5</v>
      </c>
      <c r="AJ47">
        <v>0.48088023088023085</v>
      </c>
      <c r="AK47">
        <v>0.65992063492063491</v>
      </c>
      <c r="AM47">
        <v>644</v>
      </c>
      <c r="AN47">
        <v>35</v>
      </c>
      <c r="AO47">
        <v>1.5</v>
      </c>
      <c r="AP47">
        <v>2.5</v>
      </c>
      <c r="AQ47">
        <v>2</v>
      </c>
      <c r="AR47">
        <v>2</v>
      </c>
      <c r="AT47">
        <v>0.375</v>
      </c>
      <c r="AU47">
        <v>0.3444444444444445</v>
      </c>
      <c r="AV47">
        <v>0.5</v>
      </c>
      <c r="AW47">
        <v>0.375</v>
      </c>
      <c r="AX47">
        <v>0.43650793650793651</v>
      </c>
      <c r="AZ47">
        <v>1200</v>
      </c>
      <c r="BA47">
        <v>22.5</v>
      </c>
      <c r="BB47">
        <v>1.5</v>
      </c>
      <c r="BC47">
        <v>1.5</v>
      </c>
      <c r="BD47">
        <v>2</v>
      </c>
      <c r="BE47">
        <v>1.5</v>
      </c>
      <c r="BG47">
        <v>0.25</v>
      </c>
      <c r="BH47" t="s">
        <v>111</v>
      </c>
      <c r="BI47">
        <v>0.41666666666666663</v>
      </c>
      <c r="BJ47">
        <v>0.625</v>
      </c>
      <c r="BK47">
        <v>0.52579365079365081</v>
      </c>
      <c r="BM47">
        <v>0.375</v>
      </c>
      <c r="BN47">
        <v>0.3444444444444445</v>
      </c>
      <c r="BO47">
        <v>0.5</v>
      </c>
      <c r="BP47">
        <v>0.43518518518518517</v>
      </c>
      <c r="BQ47">
        <v>0.43650793650793651</v>
      </c>
      <c r="BS47">
        <v>0.38181818181818183</v>
      </c>
      <c r="BT47" t="s">
        <v>111</v>
      </c>
      <c r="BU47">
        <v>0.4821428571428571</v>
      </c>
      <c r="BV47">
        <v>0.58333333333333326</v>
      </c>
      <c r="BW47">
        <v>0.51984126984126977</v>
      </c>
      <c r="BY47">
        <v>0.4375</v>
      </c>
      <c r="BZ47">
        <v>0.3444444444444445</v>
      </c>
      <c r="CA47">
        <v>0.5</v>
      </c>
      <c r="CB47">
        <v>0.76388888888888884</v>
      </c>
      <c r="CC47">
        <v>0.65992063492063491</v>
      </c>
      <c r="CF47">
        <v>1</v>
      </c>
      <c r="CG47">
        <v>1</v>
      </c>
      <c r="CH47">
        <v>0</v>
      </c>
      <c r="CI47">
        <v>0</v>
      </c>
      <c r="CJ47">
        <v>1</v>
      </c>
      <c r="CK47">
        <v>0</v>
      </c>
      <c r="CL47">
        <v>1</v>
      </c>
      <c r="CM47">
        <v>0</v>
      </c>
      <c r="CN47">
        <v>1</v>
      </c>
      <c r="CO47">
        <v>1</v>
      </c>
      <c r="CP47">
        <v>0</v>
      </c>
      <c r="CQ47">
        <v>0</v>
      </c>
      <c r="CR47">
        <v>0</v>
      </c>
      <c r="CS47">
        <v>0</v>
      </c>
      <c r="CT47">
        <v>2</v>
      </c>
      <c r="CU47">
        <v>4</v>
      </c>
      <c r="CV47">
        <v>6</v>
      </c>
      <c r="CY47" t="s">
        <v>199</v>
      </c>
      <c r="CZ47">
        <v>1</v>
      </c>
      <c r="DA47">
        <v>3</v>
      </c>
      <c r="DB47">
        <v>45104</v>
      </c>
      <c r="DC47">
        <v>45261</v>
      </c>
      <c r="DE47">
        <v>26</v>
      </c>
      <c r="DF47" t="s">
        <v>311</v>
      </c>
      <c r="DG47" t="s">
        <v>312</v>
      </c>
      <c r="DH47">
        <v>96</v>
      </c>
      <c r="DI47">
        <v>0</v>
      </c>
      <c r="DJ47">
        <v>0</v>
      </c>
      <c r="DK47">
        <v>1</v>
      </c>
      <c r="DL47">
        <v>2</v>
      </c>
      <c r="DM47">
        <v>0</v>
      </c>
      <c r="DN47">
        <v>0</v>
      </c>
      <c r="DP47">
        <v>5</v>
      </c>
      <c r="DQ47">
        <v>4</v>
      </c>
      <c r="DR47">
        <v>5</v>
      </c>
      <c r="DS47">
        <v>5</v>
      </c>
      <c r="DT47">
        <v>5</v>
      </c>
      <c r="DU47">
        <v>5</v>
      </c>
      <c r="DV47">
        <v>4</v>
      </c>
      <c r="DW47">
        <v>3</v>
      </c>
      <c r="DX47">
        <v>3</v>
      </c>
      <c r="DY47">
        <v>4</v>
      </c>
      <c r="DZ47">
        <v>4</v>
      </c>
      <c r="EA47">
        <v>1</v>
      </c>
      <c r="ED47">
        <v>5</v>
      </c>
      <c r="EE47">
        <v>4</v>
      </c>
      <c r="EF47">
        <v>4</v>
      </c>
      <c r="EG47">
        <v>4</v>
      </c>
      <c r="EH47">
        <v>4</v>
      </c>
      <c r="EI47">
        <v>4</v>
      </c>
      <c r="EJ47">
        <v>5</v>
      </c>
      <c r="EK47">
        <v>4</v>
      </c>
      <c r="EL47">
        <v>3</v>
      </c>
      <c r="EM47">
        <v>4</v>
      </c>
      <c r="EN47">
        <v>4</v>
      </c>
      <c r="EQ47">
        <v>4</v>
      </c>
      <c r="ER47">
        <v>3</v>
      </c>
      <c r="ES47">
        <v>3</v>
      </c>
      <c r="ET47">
        <v>3</v>
      </c>
      <c r="EU47">
        <v>5</v>
      </c>
      <c r="EV47">
        <v>3</v>
      </c>
      <c r="EW47">
        <v>1</v>
      </c>
      <c r="EX47">
        <v>4</v>
      </c>
      <c r="EY47">
        <v>3</v>
      </c>
      <c r="EZ47">
        <v>3</v>
      </c>
      <c r="FA47">
        <v>3</v>
      </c>
      <c r="FL47">
        <v>0.45436507936507931</v>
      </c>
      <c r="FM47">
        <v>0.49178391053391046</v>
      </c>
      <c r="FN47">
        <v>0.41822751322751317</v>
      </c>
      <c r="FO47">
        <v>0.54115079365079366</v>
      </c>
      <c r="FP47">
        <v>0.47638182419432418</v>
      </c>
      <c r="FR47">
        <v>0.45620331465919695</v>
      </c>
      <c r="FS47">
        <v>0.48285533910533907</v>
      </c>
      <c r="FT47">
        <v>0.40619047619047616</v>
      </c>
      <c r="FU47">
        <v>0.48454906204906206</v>
      </c>
      <c r="FV47">
        <v>0.45744954800101856</v>
      </c>
    </row>
    <row r="48" spans="1:178" s="28" customFormat="1" x14ac:dyDescent="0.2">
      <c r="A48" s="28" t="s">
        <v>133</v>
      </c>
      <c r="C48" s="28" t="s">
        <v>313</v>
      </c>
      <c r="E48" s="28" t="s">
        <v>269</v>
      </c>
      <c r="G48" s="28">
        <v>0.16666666666666666</v>
      </c>
      <c r="H48" s="28" t="s">
        <v>111</v>
      </c>
      <c r="I48" s="28">
        <v>0.20833333333333331</v>
      </c>
      <c r="J48" s="28">
        <v>0.56617647058823528</v>
      </c>
      <c r="K48" s="28">
        <v>0.53174603174603174</v>
      </c>
      <c r="M48" s="28" t="s">
        <v>111</v>
      </c>
      <c r="N48" s="28">
        <v>17.5</v>
      </c>
      <c r="O48" s="28">
        <v>2</v>
      </c>
      <c r="P48" s="28">
        <v>1</v>
      </c>
      <c r="Q48" s="28">
        <v>1.5</v>
      </c>
      <c r="R48" s="28">
        <v>1</v>
      </c>
      <c r="T48" s="28">
        <v>0.65454545454545454</v>
      </c>
      <c r="U48" s="28" t="s">
        <v>111</v>
      </c>
      <c r="V48" s="28">
        <v>0.4642857142857143</v>
      </c>
      <c r="W48" s="28">
        <v>0.63095238095238093</v>
      </c>
      <c r="X48" s="28">
        <v>0.53968253968253965</v>
      </c>
      <c r="Z48" s="28" t="s">
        <v>111</v>
      </c>
      <c r="AA48" s="28">
        <v>17.5</v>
      </c>
      <c r="AB48" s="28">
        <v>2</v>
      </c>
      <c r="AC48" s="28">
        <v>1</v>
      </c>
      <c r="AD48" s="28">
        <v>1.5</v>
      </c>
      <c r="AE48" s="28">
        <v>1</v>
      </c>
      <c r="AG48" s="28">
        <v>0.58125000000000004</v>
      </c>
      <c r="AH48" s="28">
        <v>0.3666666666666667</v>
      </c>
      <c r="AI48" s="28">
        <v>0.25</v>
      </c>
      <c r="AJ48" s="28">
        <v>0.30375180375180372</v>
      </c>
      <c r="AK48" s="28">
        <v>0.74047619047619051</v>
      </c>
      <c r="AM48" s="28">
        <v>319</v>
      </c>
      <c r="AN48" s="28">
        <v>23</v>
      </c>
      <c r="AO48" s="28">
        <v>1</v>
      </c>
      <c r="AP48" s="28">
        <v>1.5</v>
      </c>
      <c r="AQ48" s="28">
        <v>1.5</v>
      </c>
      <c r="AR48" s="28">
        <v>1</v>
      </c>
      <c r="AT48" s="28">
        <v>0.19444444444444445</v>
      </c>
      <c r="AU48" s="28">
        <v>0.3666666666666667</v>
      </c>
      <c r="AV48" s="28">
        <v>0.25</v>
      </c>
      <c r="AW48" s="28">
        <v>0.46130952380952378</v>
      </c>
      <c r="AX48" s="28">
        <v>0.62142857142857144</v>
      </c>
      <c r="AZ48" s="28">
        <v>343</v>
      </c>
      <c r="BA48" s="28">
        <v>14</v>
      </c>
      <c r="BB48" s="28">
        <v>1</v>
      </c>
      <c r="BC48" s="28">
        <v>1</v>
      </c>
      <c r="BD48" s="28">
        <v>1.5</v>
      </c>
      <c r="BE48" s="28">
        <v>1</v>
      </c>
      <c r="BG48" s="28">
        <v>0.16666666666666666</v>
      </c>
      <c r="BH48" s="28" t="s">
        <v>111</v>
      </c>
      <c r="BI48" s="28">
        <v>0.20833333333333331</v>
      </c>
      <c r="BJ48" s="28">
        <v>0.53125</v>
      </c>
      <c r="BK48" s="28">
        <v>0.53174603174603174</v>
      </c>
      <c r="BM48" s="28">
        <v>0.19444444444444445</v>
      </c>
      <c r="BN48" s="28">
        <v>0.3666666666666667</v>
      </c>
      <c r="BO48" s="28">
        <v>0.25</v>
      </c>
      <c r="BP48" s="28">
        <v>0.65277777777777779</v>
      </c>
      <c r="BQ48" s="28">
        <v>0.62142857142857144</v>
      </c>
      <c r="BS48" s="28">
        <v>0.65454545454545454</v>
      </c>
      <c r="BT48" s="28" t="s">
        <v>111</v>
      </c>
      <c r="BU48" s="28">
        <v>0.4642857142857143</v>
      </c>
      <c r="BV48" s="28">
        <v>0.5625</v>
      </c>
      <c r="BW48" s="28">
        <v>0.53968253968253965</v>
      </c>
      <c r="BY48" s="28">
        <v>0.58125000000000004</v>
      </c>
      <c r="BZ48" s="28">
        <v>0.3666666666666667</v>
      </c>
      <c r="CA48" s="28">
        <v>0.25</v>
      </c>
      <c r="CB48" s="28">
        <v>0.5</v>
      </c>
      <c r="CC48" s="28">
        <v>0.74047619047619051</v>
      </c>
      <c r="CF48" s="28">
        <v>0</v>
      </c>
      <c r="CG48" s="28">
        <v>0</v>
      </c>
      <c r="CH48" s="28">
        <v>0</v>
      </c>
      <c r="CI48" s="28">
        <v>0</v>
      </c>
      <c r="CJ48" s="28">
        <v>0.5</v>
      </c>
      <c r="CK48" s="28">
        <v>0</v>
      </c>
      <c r="CL48" s="28">
        <v>0.5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0.5</v>
      </c>
      <c r="CT48" s="28">
        <v>0</v>
      </c>
      <c r="CU48" s="28">
        <v>1.5</v>
      </c>
      <c r="CV48" s="28">
        <v>1.5</v>
      </c>
      <c r="CY48" s="28" t="s">
        <v>207</v>
      </c>
      <c r="CZ48" s="28">
        <v>1</v>
      </c>
      <c r="DA48" s="28">
        <v>3</v>
      </c>
      <c r="DB48" s="29">
        <v>45104</v>
      </c>
      <c r="DC48" s="29">
        <v>45184</v>
      </c>
      <c r="DE48" s="28">
        <v>27</v>
      </c>
      <c r="DF48" s="30" t="s">
        <v>314</v>
      </c>
      <c r="DG48" s="30" t="s">
        <v>204</v>
      </c>
      <c r="DH48" s="28">
        <v>24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P48" s="28">
        <v>5</v>
      </c>
      <c r="DQ48" s="28">
        <v>4</v>
      </c>
      <c r="DR48" s="28">
        <v>3</v>
      </c>
      <c r="DS48" s="28">
        <v>5</v>
      </c>
      <c r="DT48" s="28">
        <v>4</v>
      </c>
      <c r="DU48" s="28">
        <v>4</v>
      </c>
      <c r="DV48" s="28">
        <v>5</v>
      </c>
      <c r="DW48" s="28">
        <v>4</v>
      </c>
      <c r="DX48" s="28">
        <v>3</v>
      </c>
      <c r="DY48" s="28">
        <v>4</v>
      </c>
      <c r="DZ48" s="28">
        <v>5</v>
      </c>
      <c r="EA48" s="28">
        <v>1</v>
      </c>
      <c r="ED48" s="28">
        <v>4</v>
      </c>
      <c r="EE48" s="28">
        <v>4</v>
      </c>
      <c r="EF48" s="28">
        <v>3</v>
      </c>
      <c r="EG48" s="28">
        <v>3</v>
      </c>
      <c r="EH48" s="28">
        <v>4</v>
      </c>
      <c r="EI48" s="28">
        <v>4</v>
      </c>
      <c r="EJ48" s="28">
        <v>5</v>
      </c>
      <c r="EK48" s="28">
        <v>4</v>
      </c>
      <c r="EL48" s="28">
        <v>2</v>
      </c>
      <c r="EM48" s="28">
        <v>4</v>
      </c>
      <c r="EN48" s="28">
        <v>5</v>
      </c>
      <c r="EQ48" s="28">
        <v>5</v>
      </c>
      <c r="ER48" s="28">
        <v>2</v>
      </c>
      <c r="ES48" s="28">
        <v>3</v>
      </c>
      <c r="ET48" s="28">
        <v>4</v>
      </c>
      <c r="EU48" s="28">
        <v>5</v>
      </c>
      <c r="EV48" s="28">
        <v>4</v>
      </c>
      <c r="EW48" s="28">
        <v>1</v>
      </c>
      <c r="EX48" s="28">
        <v>3</v>
      </c>
      <c r="EY48" s="28">
        <v>3</v>
      </c>
      <c r="EZ48" s="28">
        <v>2</v>
      </c>
      <c r="FA48" s="28">
        <v>4</v>
      </c>
      <c r="FL48" s="28">
        <v>0.35949900793650791</v>
      </c>
      <c r="FM48" s="28">
        <v>0.55525342712842707</v>
      </c>
      <c r="FN48" s="28">
        <v>0.41706349206349208</v>
      </c>
      <c r="FO48" s="28">
        <v>0.48767857142857152</v>
      </c>
      <c r="FP48" s="28">
        <v>0.45487362463924963</v>
      </c>
      <c r="FR48" s="28">
        <v>0.36823062558356678</v>
      </c>
      <c r="FS48" s="28">
        <v>0.5723665223665223</v>
      </c>
      <c r="FT48" s="28">
        <v>0.37876984126984126</v>
      </c>
      <c r="FU48" s="28">
        <v>0.4484289321789322</v>
      </c>
      <c r="FV48" s="28">
        <v>0.44194898034971564</v>
      </c>
    </row>
    <row r="49" spans="1:178" s="13" customFormat="1" x14ac:dyDescent="0.2"/>
    <row r="50" spans="1:178" x14ac:dyDescent="0.2">
      <c r="A50" t="s">
        <v>103</v>
      </c>
      <c r="C50" t="s">
        <v>315</v>
      </c>
      <c r="E50" t="s">
        <v>110</v>
      </c>
      <c r="G50">
        <v>0.3888888888888889</v>
      </c>
      <c r="H50" t="s">
        <v>111</v>
      </c>
      <c r="I50">
        <v>0.83333333333333326</v>
      </c>
      <c r="J50">
        <v>0.60294117647058831</v>
      </c>
      <c r="K50">
        <v>0.95238095238095222</v>
      </c>
      <c r="M50">
        <v>1200</v>
      </c>
      <c r="N50">
        <v>45</v>
      </c>
      <c r="O50">
        <v>4</v>
      </c>
      <c r="P50">
        <v>2.5</v>
      </c>
      <c r="Q50">
        <v>4.5</v>
      </c>
      <c r="R50">
        <v>2</v>
      </c>
      <c r="T50">
        <v>0.7</v>
      </c>
      <c r="U50" t="s">
        <v>111</v>
      </c>
      <c r="V50">
        <v>0.75</v>
      </c>
      <c r="W50">
        <v>0.52380952380952372</v>
      </c>
      <c r="X50">
        <v>0.77777777777777779</v>
      </c>
      <c r="Z50">
        <v>1200</v>
      </c>
      <c r="AA50">
        <v>45</v>
      </c>
      <c r="AB50">
        <v>4</v>
      </c>
      <c r="AC50">
        <v>2.5</v>
      </c>
      <c r="AD50">
        <v>4.5</v>
      </c>
      <c r="AE50">
        <v>2</v>
      </c>
      <c r="AG50">
        <v>0.8</v>
      </c>
      <c r="AH50">
        <v>0.44444444444444448</v>
      </c>
      <c r="AI50">
        <v>1</v>
      </c>
      <c r="AJ50">
        <v>0.43217893217893216</v>
      </c>
      <c r="AK50">
        <v>0.794047619047619</v>
      </c>
      <c r="AM50">
        <v>1200</v>
      </c>
      <c r="AN50">
        <v>47.5</v>
      </c>
      <c r="AO50">
        <v>4</v>
      </c>
      <c r="AP50">
        <v>3</v>
      </c>
      <c r="AQ50">
        <v>4.5</v>
      </c>
      <c r="AR50">
        <v>2.5</v>
      </c>
      <c r="AT50">
        <v>0.66944444444444451</v>
      </c>
      <c r="AU50">
        <v>0.44444444444444448</v>
      </c>
      <c r="AV50">
        <v>1</v>
      </c>
      <c r="AW50">
        <v>0.32291666666666669</v>
      </c>
      <c r="AX50">
        <v>0.87341269841269842</v>
      </c>
      <c r="AZ50">
        <v>1200</v>
      </c>
      <c r="BA50">
        <v>59</v>
      </c>
      <c r="BB50">
        <v>4</v>
      </c>
      <c r="BC50">
        <v>4</v>
      </c>
      <c r="BD50">
        <v>4.5</v>
      </c>
      <c r="BE50">
        <v>3</v>
      </c>
      <c r="BG50">
        <v>0.3888888888888889</v>
      </c>
      <c r="BH50" t="s">
        <v>111</v>
      </c>
      <c r="BI50">
        <v>0.83333333333333326</v>
      </c>
      <c r="BJ50">
        <v>0.6875</v>
      </c>
      <c r="BK50">
        <v>0.95238095238095222</v>
      </c>
      <c r="BM50">
        <v>0.66944444444444451</v>
      </c>
      <c r="BN50">
        <v>0.44444444444444448</v>
      </c>
      <c r="BO50">
        <v>1</v>
      </c>
      <c r="BP50">
        <v>0.37962962962962959</v>
      </c>
      <c r="BQ50">
        <v>0.87341269841269842</v>
      </c>
      <c r="BS50">
        <v>0.7</v>
      </c>
      <c r="BT50" t="s">
        <v>111</v>
      </c>
      <c r="BU50">
        <v>0.75</v>
      </c>
      <c r="BV50">
        <v>0.70833333333333326</v>
      </c>
      <c r="BW50">
        <v>0.77777777777777779</v>
      </c>
      <c r="BY50">
        <v>0.8</v>
      </c>
      <c r="BZ50">
        <v>0.44444444444444448</v>
      </c>
      <c r="CA50">
        <v>1</v>
      </c>
      <c r="CB50">
        <v>0.88888888888888884</v>
      </c>
      <c r="CC50">
        <v>0.794047619047619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0.5</v>
      </c>
      <c r="CL50">
        <v>0</v>
      </c>
      <c r="CM50">
        <v>0</v>
      </c>
      <c r="CN50">
        <v>1</v>
      </c>
      <c r="CO50">
        <v>0.5</v>
      </c>
      <c r="CP50">
        <v>0.5</v>
      </c>
      <c r="CQ50">
        <v>1</v>
      </c>
      <c r="CR50">
        <v>0</v>
      </c>
      <c r="CS50">
        <v>0</v>
      </c>
      <c r="CT50">
        <v>0</v>
      </c>
      <c r="CU50">
        <v>3.5</v>
      </c>
      <c r="CV50">
        <v>3.5</v>
      </c>
      <c r="CY50" t="s">
        <v>207</v>
      </c>
      <c r="CZ50">
        <v>2</v>
      </c>
      <c r="DA50">
        <v>1</v>
      </c>
      <c r="DB50" t="s">
        <v>270</v>
      </c>
      <c r="DC50">
        <v>44988</v>
      </c>
      <c r="DE50">
        <v>20</v>
      </c>
      <c r="DF50" t="s">
        <v>316</v>
      </c>
      <c r="DG50" t="s">
        <v>242</v>
      </c>
      <c r="DH50">
        <v>4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P50">
        <v>4</v>
      </c>
      <c r="DQ50">
        <v>4</v>
      </c>
      <c r="DR50">
        <v>4</v>
      </c>
      <c r="DS50">
        <v>4</v>
      </c>
      <c r="DT50">
        <v>4</v>
      </c>
      <c r="DU50">
        <v>4</v>
      </c>
      <c r="DV50">
        <v>4</v>
      </c>
      <c r="DW50">
        <v>4</v>
      </c>
      <c r="DX50">
        <v>3</v>
      </c>
      <c r="DY50">
        <v>4</v>
      </c>
      <c r="DZ50">
        <v>4</v>
      </c>
      <c r="EA50">
        <v>0</v>
      </c>
      <c r="ED50">
        <v>4</v>
      </c>
      <c r="EE50">
        <v>4</v>
      </c>
      <c r="EF50">
        <v>4</v>
      </c>
      <c r="EG50">
        <v>4</v>
      </c>
      <c r="EH50">
        <v>4</v>
      </c>
      <c r="EI50">
        <v>4</v>
      </c>
      <c r="EJ50">
        <v>4</v>
      </c>
      <c r="EK50">
        <v>4</v>
      </c>
      <c r="EL50">
        <v>4</v>
      </c>
      <c r="EM50">
        <v>4</v>
      </c>
      <c r="EN50">
        <v>4</v>
      </c>
      <c r="EQ50">
        <v>4</v>
      </c>
      <c r="ER50">
        <v>3</v>
      </c>
      <c r="ES50">
        <v>3</v>
      </c>
      <c r="ET50">
        <v>4</v>
      </c>
      <c r="EU50">
        <v>4</v>
      </c>
      <c r="EV50">
        <v>3</v>
      </c>
      <c r="EW50">
        <v>2</v>
      </c>
      <c r="EX50">
        <v>3</v>
      </c>
      <c r="EY50">
        <v>4</v>
      </c>
      <c r="EZ50">
        <v>3</v>
      </c>
      <c r="FA50">
        <v>4</v>
      </c>
      <c r="FL50">
        <v>0.71552579365079361</v>
      </c>
      <c r="FM50">
        <v>0.73402777777777772</v>
      </c>
      <c r="FN50">
        <v>0.67338624338624342</v>
      </c>
      <c r="FO50">
        <v>0.78547619047619044</v>
      </c>
      <c r="FP50">
        <v>0.72710400132275133</v>
      </c>
      <c r="FR50">
        <v>0.69438608776844069</v>
      </c>
      <c r="FS50">
        <v>0.6878968253968254</v>
      </c>
      <c r="FT50">
        <v>0.6620436507936508</v>
      </c>
      <c r="FU50">
        <v>0.69413419913419916</v>
      </c>
      <c r="FV50">
        <v>0.68461519077327893</v>
      </c>
    </row>
    <row r="51" spans="1:178" x14ac:dyDescent="0.2">
      <c r="A51" t="s">
        <v>105</v>
      </c>
      <c r="C51" t="s">
        <v>317</v>
      </c>
      <c r="E51" t="s">
        <v>110</v>
      </c>
      <c r="G51">
        <v>0.3888888888888889</v>
      </c>
      <c r="H51" t="s">
        <v>111</v>
      </c>
      <c r="I51">
        <v>0.41666666666666663</v>
      </c>
      <c r="J51">
        <v>0.66911764705882359</v>
      </c>
      <c r="K51">
        <v>0.76984126984126977</v>
      </c>
      <c r="M51">
        <v>1200</v>
      </c>
      <c r="N51">
        <v>36</v>
      </c>
      <c r="O51">
        <v>3</v>
      </c>
      <c r="P51">
        <v>2</v>
      </c>
      <c r="Q51">
        <v>3</v>
      </c>
      <c r="R51">
        <v>2</v>
      </c>
      <c r="T51">
        <v>0.65454545454545454</v>
      </c>
      <c r="U51" t="s">
        <v>111</v>
      </c>
      <c r="V51">
        <v>0.39285714285714285</v>
      </c>
      <c r="W51">
        <v>0.40476190476190477</v>
      </c>
      <c r="X51">
        <v>0.74603174603174605</v>
      </c>
      <c r="Z51">
        <v>1200</v>
      </c>
      <c r="AA51">
        <v>36</v>
      </c>
      <c r="AB51">
        <v>3</v>
      </c>
      <c r="AC51">
        <v>2</v>
      </c>
      <c r="AD51">
        <v>3</v>
      </c>
      <c r="AE51">
        <v>2</v>
      </c>
      <c r="AG51">
        <v>0.66666666666666663</v>
      </c>
      <c r="AH51">
        <v>0.40740740740740738</v>
      </c>
      <c r="AI51">
        <v>0.5</v>
      </c>
      <c r="AJ51">
        <v>0.46897546897546899</v>
      </c>
      <c r="AK51">
        <v>0.68333333333333324</v>
      </c>
      <c r="AM51">
        <v>1200</v>
      </c>
      <c r="AN51">
        <v>55</v>
      </c>
      <c r="AO51">
        <v>3</v>
      </c>
      <c r="AP51">
        <v>2</v>
      </c>
      <c r="AQ51">
        <v>3</v>
      </c>
      <c r="AR51">
        <v>2</v>
      </c>
      <c r="AT51">
        <v>0.7857142857142857</v>
      </c>
      <c r="AU51">
        <v>0.40740740740740738</v>
      </c>
      <c r="AV51">
        <v>0.5</v>
      </c>
      <c r="AW51">
        <v>0.5</v>
      </c>
      <c r="AX51">
        <v>0.74682539682539684</v>
      </c>
      <c r="AZ51">
        <v>1200</v>
      </c>
      <c r="BA51">
        <v>60</v>
      </c>
      <c r="BB51">
        <v>3</v>
      </c>
      <c r="BC51">
        <v>4</v>
      </c>
      <c r="BD51">
        <v>3</v>
      </c>
      <c r="BE51">
        <v>3</v>
      </c>
      <c r="BG51">
        <v>0.3888888888888889</v>
      </c>
      <c r="BH51" t="s">
        <v>111</v>
      </c>
      <c r="BI51">
        <v>0.41666666666666663</v>
      </c>
      <c r="BJ51">
        <v>0.8125</v>
      </c>
      <c r="BK51">
        <v>0.76984126984126977</v>
      </c>
      <c r="BM51">
        <v>0.7857142857142857</v>
      </c>
      <c r="BN51">
        <v>0.40740740740740738</v>
      </c>
      <c r="BO51">
        <v>0.5</v>
      </c>
      <c r="BP51">
        <v>0.50925925925925919</v>
      </c>
      <c r="BQ51">
        <v>0.74682539682539684</v>
      </c>
      <c r="BS51">
        <v>0.65454545454545454</v>
      </c>
      <c r="BT51" t="s">
        <v>111</v>
      </c>
      <c r="BU51">
        <v>0.39285714285714285</v>
      </c>
      <c r="BV51">
        <v>0.45833333333333331</v>
      </c>
      <c r="BW51">
        <v>0.74603174603174605</v>
      </c>
      <c r="BY51">
        <v>0.66666666666666663</v>
      </c>
      <c r="BZ51">
        <v>0.40740740740740738</v>
      </c>
      <c r="CA51">
        <v>0.5</v>
      </c>
      <c r="CB51">
        <v>0.88888888888888884</v>
      </c>
      <c r="CC51">
        <v>0.68333333333333324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0</v>
      </c>
      <c r="CS51">
        <v>0</v>
      </c>
      <c r="CT51">
        <v>0</v>
      </c>
      <c r="CU51">
        <v>5</v>
      </c>
      <c r="CV51">
        <v>5</v>
      </c>
      <c r="CY51" t="s">
        <v>207</v>
      </c>
      <c r="CZ51">
        <v>1</v>
      </c>
      <c r="DA51">
        <v>1</v>
      </c>
      <c r="DB51" t="s">
        <v>270</v>
      </c>
      <c r="DC51">
        <v>44992</v>
      </c>
      <c r="DE51">
        <v>23</v>
      </c>
      <c r="DF51" t="s">
        <v>318</v>
      </c>
      <c r="DG51" t="s">
        <v>212</v>
      </c>
      <c r="DH51">
        <v>18</v>
      </c>
      <c r="DI51">
        <v>0</v>
      </c>
      <c r="DJ51">
        <v>0</v>
      </c>
      <c r="DK51">
        <v>1</v>
      </c>
      <c r="DL51">
        <v>1</v>
      </c>
      <c r="DM51">
        <v>1</v>
      </c>
      <c r="DN51">
        <v>0</v>
      </c>
      <c r="DP51">
        <v>4</v>
      </c>
      <c r="DQ51">
        <v>4</v>
      </c>
      <c r="DR51">
        <v>4</v>
      </c>
      <c r="DS51">
        <v>4</v>
      </c>
      <c r="DT51">
        <v>4</v>
      </c>
      <c r="DU51">
        <v>3</v>
      </c>
      <c r="DV51">
        <v>5</v>
      </c>
      <c r="DW51">
        <v>3</v>
      </c>
      <c r="DX51">
        <v>3</v>
      </c>
      <c r="DY51">
        <v>3</v>
      </c>
      <c r="DZ51">
        <v>4</v>
      </c>
      <c r="EA51">
        <v>2</v>
      </c>
      <c r="ED51">
        <v>4</v>
      </c>
      <c r="EE51">
        <v>4</v>
      </c>
      <c r="EF51">
        <v>4</v>
      </c>
      <c r="EG51">
        <v>4</v>
      </c>
      <c r="EH51">
        <v>4</v>
      </c>
      <c r="EI51">
        <v>3</v>
      </c>
      <c r="EJ51">
        <v>5</v>
      </c>
      <c r="EK51">
        <v>4</v>
      </c>
      <c r="EL51">
        <v>3</v>
      </c>
      <c r="EM51">
        <v>4</v>
      </c>
      <c r="EN51">
        <v>4</v>
      </c>
      <c r="EQ51">
        <v>3</v>
      </c>
      <c r="ER51">
        <v>3</v>
      </c>
      <c r="ES51">
        <v>2</v>
      </c>
      <c r="ET51">
        <v>4</v>
      </c>
      <c r="EU51">
        <v>5</v>
      </c>
      <c r="EV51">
        <v>3</v>
      </c>
      <c r="EW51">
        <v>1</v>
      </c>
      <c r="EX51">
        <v>1</v>
      </c>
      <c r="EY51">
        <v>2</v>
      </c>
      <c r="EZ51">
        <v>3</v>
      </c>
      <c r="FA51">
        <v>3</v>
      </c>
      <c r="FL51">
        <v>0.59697420634920628</v>
      </c>
      <c r="FM51">
        <v>0.56294191919191916</v>
      </c>
      <c r="FN51">
        <v>0.58984126984126983</v>
      </c>
      <c r="FO51">
        <v>0.62925925925925918</v>
      </c>
      <c r="FP51">
        <v>0.59475416366041367</v>
      </c>
      <c r="FR51">
        <v>0.56112861811391224</v>
      </c>
      <c r="FS51">
        <v>0.54954906204906206</v>
      </c>
      <c r="FT51">
        <v>0.58798941798941795</v>
      </c>
      <c r="FU51">
        <v>0.54527657527657525</v>
      </c>
      <c r="FV51">
        <v>0.56098591835724188</v>
      </c>
    </row>
    <row r="52" spans="1:178" x14ac:dyDescent="0.2">
      <c r="A52" t="s">
        <v>106</v>
      </c>
      <c r="C52" t="s">
        <v>319</v>
      </c>
      <c r="E52" t="s">
        <v>110</v>
      </c>
      <c r="G52">
        <v>0.3888888888888889</v>
      </c>
      <c r="H52" t="s">
        <v>111</v>
      </c>
      <c r="I52">
        <v>0.33333333333333331</v>
      </c>
      <c r="J52">
        <v>0.47794117647058826</v>
      </c>
      <c r="K52">
        <v>0.67063492063492058</v>
      </c>
      <c r="M52">
        <v>1200</v>
      </c>
      <c r="N52">
        <v>30</v>
      </c>
      <c r="O52">
        <v>3.5</v>
      </c>
      <c r="P52">
        <v>3.5</v>
      </c>
      <c r="Q52">
        <v>4.5</v>
      </c>
      <c r="R52">
        <v>2.5</v>
      </c>
      <c r="T52">
        <v>0.7</v>
      </c>
      <c r="U52" t="s">
        <v>111</v>
      </c>
      <c r="V52">
        <v>0.42857142857142855</v>
      </c>
      <c r="W52">
        <v>0.53422619047619047</v>
      </c>
      <c r="X52">
        <v>0.78373015873015872</v>
      </c>
      <c r="Z52">
        <v>1200</v>
      </c>
      <c r="AA52">
        <v>30</v>
      </c>
      <c r="AB52">
        <v>3.5</v>
      </c>
      <c r="AC52">
        <v>3.5</v>
      </c>
      <c r="AD52">
        <v>4.5</v>
      </c>
      <c r="AE52">
        <v>2.5</v>
      </c>
      <c r="AG52">
        <v>0.8</v>
      </c>
      <c r="AH52">
        <v>0.72222222222222232</v>
      </c>
      <c r="AI52">
        <v>0.5</v>
      </c>
      <c r="AJ52">
        <v>0.21428571428571422</v>
      </c>
      <c r="AK52">
        <v>0.64603174603174607</v>
      </c>
      <c r="AM52">
        <v>1200</v>
      </c>
      <c r="AN52">
        <v>25</v>
      </c>
      <c r="AO52">
        <v>3.5</v>
      </c>
      <c r="AP52">
        <v>3</v>
      </c>
      <c r="AQ52">
        <v>3.5</v>
      </c>
      <c r="AR52">
        <v>2</v>
      </c>
      <c r="AT52">
        <v>0.69444444444444442</v>
      </c>
      <c r="AU52">
        <v>0.72222222222222232</v>
      </c>
      <c r="AV52">
        <v>0.5</v>
      </c>
      <c r="AW52">
        <v>0.24107142857142858</v>
      </c>
      <c r="AX52">
        <v>0.57658730158730165</v>
      </c>
      <c r="AZ52">
        <v>1200</v>
      </c>
      <c r="BA52">
        <v>35</v>
      </c>
      <c r="BB52">
        <v>3.5</v>
      </c>
      <c r="BC52">
        <v>2.5</v>
      </c>
      <c r="BD52">
        <v>3.5</v>
      </c>
      <c r="BE52">
        <v>2.5</v>
      </c>
      <c r="BG52">
        <v>0.3888888888888889</v>
      </c>
      <c r="BH52" t="s">
        <v>111</v>
      </c>
      <c r="BI52">
        <v>0.33333333333333331</v>
      </c>
      <c r="BJ52">
        <v>0.5625</v>
      </c>
      <c r="BK52">
        <v>0.67063492063492058</v>
      </c>
      <c r="BM52">
        <v>0.69444444444444442</v>
      </c>
      <c r="BN52">
        <v>0.72222222222222232</v>
      </c>
      <c r="BO52">
        <v>0.5</v>
      </c>
      <c r="BP52">
        <v>0.41666666666666669</v>
      </c>
      <c r="BQ52">
        <v>0.57658730158730165</v>
      </c>
      <c r="BS52">
        <v>0.7</v>
      </c>
      <c r="BT52" t="s">
        <v>111</v>
      </c>
      <c r="BU52">
        <v>0.42857142857142855</v>
      </c>
      <c r="BV52">
        <v>0.70833333333333326</v>
      </c>
      <c r="BW52">
        <v>0.78373015873015872</v>
      </c>
      <c r="BY52">
        <v>0.8</v>
      </c>
      <c r="BZ52">
        <v>0.72222222222222232</v>
      </c>
      <c r="CA52">
        <v>0.5</v>
      </c>
      <c r="CB52">
        <v>0.33333333333333331</v>
      </c>
      <c r="CC52">
        <v>0.64603174603174607</v>
      </c>
      <c r="CF52">
        <v>0</v>
      </c>
      <c r="CG52">
        <v>0</v>
      </c>
      <c r="CH52">
        <v>0</v>
      </c>
      <c r="CI52">
        <v>0</v>
      </c>
      <c r="CJ52">
        <v>0.5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0.5</v>
      </c>
      <c r="CV52">
        <v>0.5</v>
      </c>
      <c r="CY52" t="s">
        <v>207</v>
      </c>
      <c r="CZ52">
        <v>2</v>
      </c>
      <c r="DA52">
        <v>1</v>
      </c>
      <c r="DB52" t="s">
        <v>270</v>
      </c>
      <c r="DC52">
        <v>44960</v>
      </c>
      <c r="DE52">
        <v>25</v>
      </c>
      <c r="DF52" t="s">
        <v>320</v>
      </c>
      <c r="DG52" t="s">
        <v>321</v>
      </c>
      <c r="DH52">
        <v>24</v>
      </c>
      <c r="DI52">
        <v>0</v>
      </c>
      <c r="DJ52">
        <v>0</v>
      </c>
      <c r="DK52">
        <v>1</v>
      </c>
      <c r="DL52">
        <v>1</v>
      </c>
      <c r="DM52">
        <v>0</v>
      </c>
      <c r="DN52">
        <v>0</v>
      </c>
      <c r="DP52">
        <v>4</v>
      </c>
      <c r="DQ52">
        <v>3</v>
      </c>
      <c r="DR52">
        <v>4</v>
      </c>
      <c r="DS52">
        <v>3</v>
      </c>
      <c r="DT52">
        <v>3</v>
      </c>
      <c r="DU52">
        <v>3</v>
      </c>
      <c r="DV52">
        <v>4</v>
      </c>
      <c r="DW52">
        <v>3</v>
      </c>
      <c r="DX52">
        <v>3</v>
      </c>
      <c r="DY52">
        <v>4</v>
      </c>
      <c r="DZ52">
        <v>5</v>
      </c>
      <c r="EA52">
        <v>0</v>
      </c>
      <c r="ED52">
        <v>3</v>
      </c>
      <c r="EE52">
        <v>3</v>
      </c>
      <c r="EF52">
        <v>3</v>
      </c>
      <c r="EG52">
        <v>2</v>
      </c>
      <c r="EH52">
        <v>3</v>
      </c>
      <c r="EI52">
        <v>2</v>
      </c>
      <c r="EJ52">
        <v>4</v>
      </c>
      <c r="EK52">
        <v>4</v>
      </c>
      <c r="EL52">
        <v>2</v>
      </c>
      <c r="EM52">
        <v>3</v>
      </c>
      <c r="EN52">
        <v>4</v>
      </c>
      <c r="EQ52">
        <v>2</v>
      </c>
      <c r="ER52">
        <v>2</v>
      </c>
      <c r="ES52">
        <v>2</v>
      </c>
      <c r="ET52">
        <v>2</v>
      </c>
      <c r="EU52">
        <v>4</v>
      </c>
      <c r="EV52">
        <v>2</v>
      </c>
      <c r="EW52">
        <v>2</v>
      </c>
      <c r="EX52">
        <v>2</v>
      </c>
      <c r="EY52">
        <v>2</v>
      </c>
      <c r="EZ52">
        <v>2</v>
      </c>
      <c r="FA52">
        <v>2</v>
      </c>
      <c r="FL52">
        <v>0.4888392857142857</v>
      </c>
      <c r="FM52">
        <v>0.65515873015873016</v>
      </c>
      <c r="FN52">
        <v>0.58198412698412705</v>
      </c>
      <c r="FO52">
        <v>0.60031746031746036</v>
      </c>
      <c r="FP52">
        <v>0.58157490079365082</v>
      </c>
      <c r="FR52">
        <v>0.46769957983193278</v>
      </c>
      <c r="FS52">
        <v>0.61163194444444446</v>
      </c>
      <c r="FT52">
        <v>0.54686507936507944</v>
      </c>
      <c r="FU52">
        <v>0.57650793650793652</v>
      </c>
      <c r="FV52">
        <v>0.55067613503734825</v>
      </c>
    </row>
    <row r="53" spans="1:178" x14ac:dyDescent="0.2">
      <c r="A53" t="s">
        <v>112</v>
      </c>
      <c r="C53" t="s">
        <v>322</v>
      </c>
      <c r="E53" t="s">
        <v>110</v>
      </c>
      <c r="G53">
        <v>0.41666666666666669</v>
      </c>
      <c r="H53" t="s">
        <v>111</v>
      </c>
      <c r="I53">
        <v>0.83333333333333326</v>
      </c>
      <c r="J53">
        <v>0.49183006535947715</v>
      </c>
      <c r="K53">
        <v>0.75198412698412687</v>
      </c>
      <c r="M53">
        <v>1200</v>
      </c>
      <c r="N53">
        <v>57</v>
      </c>
      <c r="O53">
        <v>3</v>
      </c>
      <c r="P53">
        <v>4</v>
      </c>
      <c r="Q53">
        <v>3</v>
      </c>
      <c r="R53">
        <v>3</v>
      </c>
      <c r="T53">
        <v>0.65454545454545454</v>
      </c>
      <c r="U53" t="s">
        <v>111</v>
      </c>
      <c r="V53">
        <v>0.7142857142857143</v>
      </c>
      <c r="W53">
        <v>0.73809523809523814</v>
      </c>
      <c r="X53">
        <v>0.86706349206349209</v>
      </c>
      <c r="Z53">
        <v>1200</v>
      </c>
      <c r="AA53">
        <v>57</v>
      </c>
      <c r="AB53">
        <v>3</v>
      </c>
      <c r="AC53">
        <v>4</v>
      </c>
      <c r="AD53">
        <v>3</v>
      </c>
      <c r="AE53">
        <v>3</v>
      </c>
      <c r="AG53">
        <v>0.75</v>
      </c>
      <c r="AH53">
        <v>0.53703703703703709</v>
      </c>
      <c r="AI53">
        <v>1</v>
      </c>
      <c r="AJ53">
        <v>0.49278499278499277</v>
      </c>
      <c r="AK53">
        <v>0.68134920634920648</v>
      </c>
      <c r="AM53">
        <v>1200</v>
      </c>
      <c r="AN53">
        <v>35</v>
      </c>
      <c r="AO53">
        <v>4</v>
      </c>
      <c r="AP53">
        <v>2</v>
      </c>
      <c r="AQ53">
        <v>2</v>
      </c>
      <c r="AR53">
        <v>2</v>
      </c>
      <c r="AT53">
        <v>0.75</v>
      </c>
      <c r="AU53">
        <v>0.53703703703703709</v>
      </c>
      <c r="AV53">
        <v>0</v>
      </c>
      <c r="AW53">
        <v>0.13541666666666666</v>
      </c>
      <c r="AX53">
        <v>0.75674603174603172</v>
      </c>
      <c r="AZ53">
        <v>1200</v>
      </c>
      <c r="BA53">
        <v>30</v>
      </c>
      <c r="BB53">
        <v>4</v>
      </c>
      <c r="BC53">
        <v>3</v>
      </c>
      <c r="BD53">
        <v>3</v>
      </c>
      <c r="BE53">
        <v>1</v>
      </c>
      <c r="BG53">
        <v>0.41666666666666669</v>
      </c>
      <c r="BH53" t="s">
        <v>111</v>
      </c>
      <c r="BI53">
        <v>0.83333333333333326</v>
      </c>
      <c r="BJ53">
        <v>0.5625</v>
      </c>
      <c r="BK53">
        <v>0.75198412698412687</v>
      </c>
      <c r="BM53">
        <v>0.75</v>
      </c>
      <c r="BN53">
        <v>0.53703703703703709</v>
      </c>
      <c r="BO53">
        <v>0</v>
      </c>
      <c r="BP53">
        <v>0.17592592592592593</v>
      </c>
      <c r="BQ53">
        <v>0.75674603174603172</v>
      </c>
      <c r="BS53">
        <v>0.65454545454545454</v>
      </c>
      <c r="BT53" t="s">
        <v>111</v>
      </c>
      <c r="BU53">
        <v>0.7142857142857143</v>
      </c>
      <c r="BV53">
        <v>0.83333333333333326</v>
      </c>
      <c r="BW53">
        <v>0.86706349206349209</v>
      </c>
      <c r="BY53">
        <v>0.75</v>
      </c>
      <c r="BZ53">
        <v>0.53703703703703709</v>
      </c>
      <c r="CA53">
        <v>1</v>
      </c>
      <c r="CB53">
        <v>0.88888888888888884</v>
      </c>
      <c r="CC53">
        <v>0.68134920634920648</v>
      </c>
      <c r="CF53">
        <v>0</v>
      </c>
      <c r="CG53">
        <v>1</v>
      </c>
      <c r="CH53">
        <v>1</v>
      </c>
      <c r="CI53">
        <v>0</v>
      </c>
      <c r="CJ53">
        <v>0</v>
      </c>
      <c r="CK53">
        <v>0</v>
      </c>
      <c r="CL53">
        <v>0.5</v>
      </c>
      <c r="CM53">
        <v>0.5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2</v>
      </c>
      <c r="CU53">
        <v>1</v>
      </c>
      <c r="CV53">
        <v>3</v>
      </c>
      <c r="CY53" t="s">
        <v>199</v>
      </c>
      <c r="CZ53">
        <v>2</v>
      </c>
      <c r="DA53">
        <v>1</v>
      </c>
      <c r="DB53" t="s">
        <v>270</v>
      </c>
      <c r="DC53">
        <v>44992</v>
      </c>
      <c r="DE53">
        <v>21</v>
      </c>
      <c r="DF53" t="s">
        <v>323</v>
      </c>
      <c r="DG53" t="s">
        <v>248</v>
      </c>
      <c r="DH53">
        <v>24</v>
      </c>
      <c r="DI53">
        <v>0</v>
      </c>
      <c r="DJ53">
        <v>0</v>
      </c>
      <c r="DK53">
        <v>1</v>
      </c>
      <c r="DL53">
        <v>1</v>
      </c>
      <c r="DM53">
        <v>0</v>
      </c>
      <c r="DN53">
        <v>0</v>
      </c>
      <c r="DP53">
        <v>4</v>
      </c>
      <c r="DQ53">
        <v>4</v>
      </c>
      <c r="DR53">
        <v>4</v>
      </c>
      <c r="DS53">
        <v>3</v>
      </c>
      <c r="DT53">
        <v>4</v>
      </c>
      <c r="DU53">
        <v>4</v>
      </c>
      <c r="DV53">
        <v>5</v>
      </c>
      <c r="DW53">
        <v>3</v>
      </c>
      <c r="DX53">
        <v>3</v>
      </c>
      <c r="DY53">
        <v>4</v>
      </c>
      <c r="DZ53">
        <v>4</v>
      </c>
      <c r="EA53">
        <v>0</v>
      </c>
      <c r="ED53">
        <v>4</v>
      </c>
      <c r="EE53">
        <v>4</v>
      </c>
      <c r="EF53">
        <v>4</v>
      </c>
      <c r="EG53">
        <v>3</v>
      </c>
      <c r="EH53">
        <v>4</v>
      </c>
      <c r="EI53">
        <v>4</v>
      </c>
      <c r="EJ53">
        <v>4</v>
      </c>
      <c r="EK53">
        <v>3</v>
      </c>
      <c r="EL53">
        <v>3</v>
      </c>
      <c r="EM53">
        <v>4</v>
      </c>
      <c r="EN53">
        <v>4</v>
      </c>
      <c r="EQ53">
        <v>4</v>
      </c>
      <c r="ER53">
        <v>3</v>
      </c>
      <c r="ES53">
        <v>2</v>
      </c>
      <c r="ET53">
        <v>2</v>
      </c>
      <c r="EU53">
        <v>5</v>
      </c>
      <c r="EV53">
        <v>2</v>
      </c>
      <c r="EW53">
        <v>3</v>
      </c>
      <c r="EX53">
        <v>3</v>
      </c>
      <c r="EY53">
        <v>2</v>
      </c>
      <c r="EZ53">
        <v>3</v>
      </c>
      <c r="FA53">
        <v>4</v>
      </c>
      <c r="FL53">
        <v>0.64112103174603174</v>
      </c>
      <c r="FM53">
        <v>0.76730699855699847</v>
      </c>
      <c r="FN53">
        <v>0.44394179894179897</v>
      </c>
      <c r="FO53">
        <v>0.7714550264550265</v>
      </c>
      <c r="FP53">
        <v>0.65595621392496395</v>
      </c>
      <c r="FR53">
        <v>0.62345354808590103</v>
      </c>
      <c r="FS53">
        <v>0.74349747474747474</v>
      </c>
      <c r="FT53">
        <v>0.43583994708994711</v>
      </c>
      <c r="FU53">
        <v>0.69223424723424731</v>
      </c>
      <c r="FV53">
        <v>0.62375630428939255</v>
      </c>
    </row>
    <row r="54" spans="1:178" x14ac:dyDescent="0.2">
      <c r="A54" t="s">
        <v>113</v>
      </c>
      <c r="C54" t="s">
        <v>324</v>
      </c>
      <c r="E54" t="s">
        <v>110</v>
      </c>
      <c r="G54">
        <v>0.83333333333333337</v>
      </c>
      <c r="H54" t="s">
        <v>111</v>
      </c>
      <c r="I54">
        <v>0.41666666666666663</v>
      </c>
      <c r="J54">
        <v>0.61029411764705888</v>
      </c>
      <c r="K54">
        <v>0.59126984126984128</v>
      </c>
      <c r="M54">
        <v>1200</v>
      </c>
      <c r="N54">
        <v>15</v>
      </c>
      <c r="O54">
        <v>2</v>
      </c>
      <c r="P54">
        <v>1.5</v>
      </c>
      <c r="Q54">
        <v>3</v>
      </c>
      <c r="R54">
        <v>1.5</v>
      </c>
      <c r="T54">
        <v>0.49545454545454548</v>
      </c>
      <c r="U54" t="s">
        <v>111</v>
      </c>
      <c r="V54">
        <v>3.5714285714285712E-2</v>
      </c>
      <c r="W54">
        <v>0.47619047619047616</v>
      </c>
      <c r="X54">
        <v>0.4424603174603175</v>
      </c>
      <c r="Z54">
        <v>1200</v>
      </c>
      <c r="AA54">
        <v>15</v>
      </c>
      <c r="AB54">
        <v>2</v>
      </c>
      <c r="AC54">
        <v>1.5</v>
      </c>
      <c r="AD54">
        <v>3</v>
      </c>
      <c r="AE54">
        <v>1.5</v>
      </c>
      <c r="AG54">
        <v>0.6875</v>
      </c>
      <c r="AH54">
        <v>0.37407407407407406</v>
      </c>
      <c r="AI54">
        <v>0.5</v>
      </c>
      <c r="AJ54">
        <v>0.35425685425685427</v>
      </c>
      <c r="AK54">
        <v>0.51904761904761909</v>
      </c>
      <c r="AM54">
        <v>1200</v>
      </c>
      <c r="AN54">
        <v>20</v>
      </c>
      <c r="AO54">
        <v>2</v>
      </c>
      <c r="AP54">
        <v>2</v>
      </c>
      <c r="AQ54">
        <v>3</v>
      </c>
      <c r="AR54">
        <v>2</v>
      </c>
      <c r="AT54">
        <v>0.68055555555555558</v>
      </c>
      <c r="AU54">
        <v>0.37407407407407406</v>
      </c>
      <c r="AV54">
        <v>0.5</v>
      </c>
      <c r="AW54">
        <v>0.27083333333333331</v>
      </c>
      <c r="AX54">
        <v>0.65</v>
      </c>
      <c r="AZ54">
        <v>1200</v>
      </c>
      <c r="BA54">
        <v>25</v>
      </c>
      <c r="BB54">
        <v>2</v>
      </c>
      <c r="BC54">
        <v>2</v>
      </c>
      <c r="BD54">
        <v>4</v>
      </c>
      <c r="BE54">
        <v>1.5</v>
      </c>
      <c r="BG54">
        <v>0.83333333333333337</v>
      </c>
      <c r="BH54" t="s">
        <v>111</v>
      </c>
      <c r="BI54">
        <v>0.41666666666666663</v>
      </c>
      <c r="BJ54">
        <v>0.5625</v>
      </c>
      <c r="BK54">
        <v>0.59126984126984128</v>
      </c>
      <c r="BM54">
        <v>0.68055555555555558</v>
      </c>
      <c r="BN54">
        <v>0.37407407407407406</v>
      </c>
      <c r="BO54">
        <v>0.5</v>
      </c>
      <c r="BP54">
        <v>0.31944444444444442</v>
      </c>
      <c r="BQ54">
        <v>0.65</v>
      </c>
      <c r="BS54">
        <v>0.49545454545454548</v>
      </c>
      <c r="BT54" t="s">
        <v>111</v>
      </c>
      <c r="BU54">
        <v>3.5714285714285712E-2</v>
      </c>
      <c r="BV54">
        <v>0.45833333333333331</v>
      </c>
      <c r="BW54">
        <v>0.4424603174603175</v>
      </c>
      <c r="BY54">
        <v>0.6875</v>
      </c>
      <c r="BZ54">
        <v>0.37407407407407406</v>
      </c>
      <c r="CA54">
        <v>0.5</v>
      </c>
      <c r="CB54">
        <v>0.69444444444444431</v>
      </c>
      <c r="CC54">
        <v>0.51904761904761909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Y54" t="s">
        <v>207</v>
      </c>
      <c r="CZ54">
        <v>1</v>
      </c>
      <c r="DA54">
        <v>1</v>
      </c>
      <c r="DB54" t="s">
        <v>270</v>
      </c>
      <c r="DC54">
        <v>44964</v>
      </c>
      <c r="DE54">
        <v>20</v>
      </c>
      <c r="DF54" t="s">
        <v>204</v>
      </c>
      <c r="DG54" t="s">
        <v>241</v>
      </c>
      <c r="DH54">
        <v>10</v>
      </c>
      <c r="DI54">
        <v>0</v>
      </c>
      <c r="DJ54">
        <v>0</v>
      </c>
      <c r="DK54">
        <v>0</v>
      </c>
      <c r="DL54">
        <v>0</v>
      </c>
      <c r="DM54">
        <v>0</v>
      </c>
      <c r="DN54" t="s">
        <v>111</v>
      </c>
      <c r="DP54">
        <v>4</v>
      </c>
      <c r="DQ54">
        <v>4</v>
      </c>
      <c r="DR54">
        <v>4</v>
      </c>
      <c r="DS54">
        <v>3</v>
      </c>
      <c r="DT54">
        <v>4</v>
      </c>
      <c r="DU54">
        <v>3</v>
      </c>
      <c r="DV54">
        <v>5</v>
      </c>
      <c r="DW54">
        <v>2</v>
      </c>
      <c r="DX54">
        <v>4</v>
      </c>
      <c r="DY54">
        <v>3</v>
      </c>
      <c r="DZ54">
        <v>4</v>
      </c>
      <c r="EA54">
        <v>0</v>
      </c>
      <c r="ED54">
        <v>4</v>
      </c>
      <c r="EE54">
        <v>4</v>
      </c>
      <c r="EF54">
        <v>4</v>
      </c>
      <c r="EG54">
        <v>2</v>
      </c>
      <c r="EH54">
        <v>4</v>
      </c>
      <c r="EI54">
        <v>2</v>
      </c>
      <c r="EJ54">
        <v>5</v>
      </c>
      <c r="EK54">
        <v>2</v>
      </c>
      <c r="EL54">
        <v>4</v>
      </c>
      <c r="EM54">
        <v>4</v>
      </c>
      <c r="EN54">
        <v>4</v>
      </c>
      <c r="EQ54">
        <v>3</v>
      </c>
      <c r="ER54">
        <v>2</v>
      </c>
      <c r="ES54">
        <v>2</v>
      </c>
      <c r="ET54">
        <v>2</v>
      </c>
      <c r="EU54">
        <v>4</v>
      </c>
      <c r="EV54">
        <v>2</v>
      </c>
      <c r="EW54">
        <v>2</v>
      </c>
      <c r="EX54">
        <v>3</v>
      </c>
      <c r="EY54">
        <v>3</v>
      </c>
      <c r="EZ54">
        <v>2</v>
      </c>
      <c r="FA54">
        <v>2</v>
      </c>
      <c r="FL54">
        <v>0.60094246031746035</v>
      </c>
      <c r="FM54">
        <v>0.35799062049062047</v>
      </c>
      <c r="FN54">
        <v>0.50481481481481483</v>
      </c>
      <c r="FO54">
        <v>0.55501322751322746</v>
      </c>
      <c r="FP54">
        <v>0.50469028078403078</v>
      </c>
      <c r="FR54">
        <v>0.61289098972922507</v>
      </c>
      <c r="FS54">
        <v>0.36245490620490622</v>
      </c>
      <c r="FT54">
        <v>0.49509259259259258</v>
      </c>
      <c r="FU54">
        <v>0.48697570947570945</v>
      </c>
      <c r="FV54">
        <v>0.48935354950060833</v>
      </c>
    </row>
    <row r="55" spans="1:178" s="28" customFormat="1" x14ac:dyDescent="0.2">
      <c r="A55" s="28" t="s">
        <v>114</v>
      </c>
      <c r="C55" s="28" t="s">
        <v>325</v>
      </c>
      <c r="E55" s="28" t="s">
        <v>110</v>
      </c>
      <c r="G55" s="28">
        <v>0.3888888888888889</v>
      </c>
      <c r="H55" s="28" t="s">
        <v>111</v>
      </c>
      <c r="I55" s="28">
        <v>0.58333333333333326</v>
      </c>
      <c r="J55" s="28">
        <v>0.51470588235294112</v>
      </c>
      <c r="K55" s="28">
        <v>0.58333333333333337</v>
      </c>
      <c r="M55" s="28">
        <v>1200</v>
      </c>
      <c r="N55" s="28">
        <v>30</v>
      </c>
      <c r="O55" s="28">
        <v>3</v>
      </c>
      <c r="P55" s="28">
        <v>2.5</v>
      </c>
      <c r="Q55" s="28">
        <v>2.5</v>
      </c>
      <c r="R55" s="28">
        <v>2</v>
      </c>
      <c r="T55" s="28">
        <v>0.65454545454545454</v>
      </c>
      <c r="U55" s="28" t="s">
        <v>111</v>
      </c>
      <c r="V55" s="28">
        <v>0.5</v>
      </c>
      <c r="W55" s="28">
        <v>0.48809523809523803</v>
      </c>
      <c r="X55" s="28">
        <v>0.68253968253968245</v>
      </c>
      <c r="Z55" s="28">
        <v>1200</v>
      </c>
      <c r="AA55" s="28">
        <v>30</v>
      </c>
      <c r="AB55" s="28">
        <v>3</v>
      </c>
      <c r="AC55" s="28">
        <v>2.5</v>
      </c>
      <c r="AD55" s="28">
        <v>2.5</v>
      </c>
      <c r="AE55" s="28">
        <v>2</v>
      </c>
      <c r="AG55" s="28">
        <v>0.70833333333333326</v>
      </c>
      <c r="AH55" s="28">
        <v>0.44444444444444442</v>
      </c>
      <c r="AI55" s="28">
        <v>0.25</v>
      </c>
      <c r="AJ55" s="28">
        <v>0.43873610050080636</v>
      </c>
      <c r="AK55" s="28">
        <v>0.70515873015873021</v>
      </c>
      <c r="AM55" s="28">
        <v>1200</v>
      </c>
      <c r="AN55" s="28">
        <v>32.5</v>
      </c>
      <c r="AO55" s="28">
        <v>2.5</v>
      </c>
      <c r="AP55" s="28">
        <v>2.5</v>
      </c>
      <c r="AQ55" s="28">
        <v>2.5</v>
      </c>
      <c r="AR55" s="28">
        <v>2</v>
      </c>
      <c r="AT55" s="28">
        <v>0.70833333333333326</v>
      </c>
      <c r="AU55" s="28">
        <v>0.44444444444444442</v>
      </c>
      <c r="AV55" s="28">
        <v>0</v>
      </c>
      <c r="AW55" s="28">
        <v>0.52083333333333337</v>
      </c>
      <c r="AX55" s="28">
        <v>0.68333333333333324</v>
      </c>
      <c r="AZ55" s="28" t="s">
        <v>111</v>
      </c>
      <c r="BA55" s="28">
        <v>32.5</v>
      </c>
      <c r="BB55" s="28">
        <v>2.5</v>
      </c>
      <c r="BC55" s="28">
        <v>2.5</v>
      </c>
      <c r="BD55" s="28">
        <v>3</v>
      </c>
      <c r="BE55" s="28">
        <v>1.5</v>
      </c>
      <c r="BG55" s="28">
        <v>0.3888888888888889</v>
      </c>
      <c r="BH55" s="28" t="s">
        <v>111</v>
      </c>
      <c r="BI55" s="28">
        <v>0.58333333333333326</v>
      </c>
      <c r="BJ55" s="28">
        <v>0.5</v>
      </c>
      <c r="BK55" s="28">
        <v>0.58333333333333337</v>
      </c>
      <c r="BM55" s="28">
        <v>0.625</v>
      </c>
      <c r="BN55" s="28">
        <v>0.44444444444444442</v>
      </c>
      <c r="BO55" s="28">
        <v>0</v>
      </c>
      <c r="BP55" s="28">
        <v>0.60185185185185186</v>
      </c>
      <c r="BQ55" s="28">
        <v>0.68333333333333324</v>
      </c>
      <c r="BS55" s="28">
        <v>0.65454545454545454</v>
      </c>
      <c r="BT55" s="28" t="s">
        <v>111</v>
      </c>
      <c r="BU55" s="28">
        <v>0.5</v>
      </c>
      <c r="BV55" s="28">
        <v>0.52083333333333326</v>
      </c>
      <c r="BW55" s="28">
        <v>0.68253968253968245</v>
      </c>
      <c r="BY55" s="28">
        <v>0.70833333333333326</v>
      </c>
      <c r="BZ55" s="28">
        <v>0.44444444444444442</v>
      </c>
      <c r="CA55" s="28">
        <v>0.25</v>
      </c>
      <c r="CB55" s="28">
        <v>0.62499999999999989</v>
      </c>
      <c r="CC55" s="28">
        <v>0.70515873015873021</v>
      </c>
      <c r="CF55" s="28">
        <v>0</v>
      </c>
      <c r="CG55" s="28">
        <v>0</v>
      </c>
      <c r="CH55" s="28">
        <v>0</v>
      </c>
      <c r="CI55" s="28">
        <v>0</v>
      </c>
      <c r="CJ55" s="28">
        <v>0</v>
      </c>
      <c r="CK55" s="28">
        <v>1</v>
      </c>
      <c r="CL55" s="28">
        <v>0</v>
      </c>
      <c r="CM55" s="28">
        <v>0</v>
      </c>
      <c r="CN55" s="28">
        <v>1</v>
      </c>
      <c r="CO55" s="28">
        <v>0</v>
      </c>
      <c r="CP55" s="28">
        <v>0</v>
      </c>
      <c r="CQ55" s="28">
        <v>0</v>
      </c>
      <c r="CR55" s="28">
        <v>0</v>
      </c>
      <c r="CS55" s="28">
        <v>0.5</v>
      </c>
      <c r="CT55" s="28">
        <v>0</v>
      </c>
      <c r="CU55" s="28">
        <v>2.5</v>
      </c>
      <c r="CV55" s="28">
        <v>2.5</v>
      </c>
      <c r="CY55" s="28" t="s">
        <v>207</v>
      </c>
      <c r="CZ55" s="28">
        <v>1</v>
      </c>
      <c r="DA55" s="28">
        <v>1</v>
      </c>
      <c r="DB55" s="28" t="s">
        <v>270</v>
      </c>
      <c r="DC55" s="28">
        <v>44939</v>
      </c>
      <c r="DE55" s="28">
        <v>19</v>
      </c>
      <c r="DF55" s="28" t="s">
        <v>277</v>
      </c>
      <c r="DG55" s="28" t="s">
        <v>326</v>
      </c>
      <c r="DH55" s="28">
        <v>2</v>
      </c>
      <c r="DI55" s="28">
        <v>0</v>
      </c>
      <c r="DJ55" s="28">
        <v>0</v>
      </c>
      <c r="DK55" s="28">
        <v>0</v>
      </c>
      <c r="DL55" s="28">
        <v>0</v>
      </c>
      <c r="DM55" s="28">
        <v>0</v>
      </c>
      <c r="DN55" s="28">
        <v>0</v>
      </c>
      <c r="DP55" s="28">
        <v>5</v>
      </c>
      <c r="DQ55" s="28">
        <v>5</v>
      </c>
      <c r="DR55" s="28">
        <v>4</v>
      </c>
      <c r="DS55" s="28">
        <v>4</v>
      </c>
      <c r="DT55" s="28">
        <v>4</v>
      </c>
      <c r="DU55" s="28">
        <v>4</v>
      </c>
      <c r="DV55" s="28">
        <v>5</v>
      </c>
      <c r="DW55" s="28">
        <v>3</v>
      </c>
      <c r="DX55" s="28">
        <v>4</v>
      </c>
      <c r="DY55" s="28">
        <v>3</v>
      </c>
      <c r="DZ55" s="28">
        <v>5</v>
      </c>
      <c r="EA55" s="28">
        <v>2</v>
      </c>
      <c r="ED55" s="28">
        <v>5</v>
      </c>
      <c r="EE55" s="28">
        <v>3</v>
      </c>
      <c r="EF55" s="28">
        <v>3</v>
      </c>
      <c r="EG55" s="28">
        <v>3</v>
      </c>
      <c r="EH55" s="28">
        <v>3</v>
      </c>
      <c r="EI55" s="28">
        <v>2</v>
      </c>
      <c r="EJ55" s="28">
        <v>5</v>
      </c>
      <c r="EK55" s="28">
        <v>2</v>
      </c>
      <c r="EL55" s="28">
        <v>3</v>
      </c>
      <c r="EM55" s="28">
        <v>1</v>
      </c>
      <c r="EN55" s="28">
        <v>5</v>
      </c>
      <c r="EQ55" s="28">
        <v>3</v>
      </c>
      <c r="ER55" s="28">
        <v>2</v>
      </c>
      <c r="ES55" s="28">
        <v>2</v>
      </c>
      <c r="ET55" s="28">
        <v>2</v>
      </c>
      <c r="EU55" s="28">
        <v>2</v>
      </c>
      <c r="EV55" s="28">
        <v>2</v>
      </c>
      <c r="EW55" s="28">
        <v>2</v>
      </c>
      <c r="EX55" s="28">
        <v>2</v>
      </c>
      <c r="EY55" s="28">
        <v>2</v>
      </c>
      <c r="EZ55" s="28">
        <v>2</v>
      </c>
      <c r="FA55" s="28">
        <v>2</v>
      </c>
      <c r="FL55" s="28">
        <v>0.51388888888888884</v>
      </c>
      <c r="FM55" s="28">
        <v>0.58947961760461753</v>
      </c>
      <c r="FN55" s="28">
        <v>0.47092592592592586</v>
      </c>
      <c r="FO55" s="28">
        <v>0.54658730158730162</v>
      </c>
      <c r="FP55" s="28">
        <v>0.53022043350168346</v>
      </c>
      <c r="FR55" s="28">
        <v>0.51756535947712412</v>
      </c>
      <c r="FS55" s="28">
        <v>0.5812950937950937</v>
      </c>
      <c r="FT55" s="28">
        <v>0.47138888888888886</v>
      </c>
      <c r="FU55" s="28">
        <v>0.50933452168746285</v>
      </c>
      <c r="FV55" s="28">
        <v>0.51989596596214238</v>
      </c>
    </row>
    <row r="56" spans="1:178" x14ac:dyDescent="0.2">
      <c r="A56" t="s">
        <v>116</v>
      </c>
      <c r="C56" t="s">
        <v>327</v>
      </c>
      <c r="E56" t="s">
        <v>110</v>
      </c>
      <c r="G56">
        <v>0.41666666666666669</v>
      </c>
      <c r="H56" t="s">
        <v>111</v>
      </c>
      <c r="I56">
        <v>0.25</v>
      </c>
      <c r="J56">
        <v>0.875</v>
      </c>
      <c r="K56">
        <v>0.95833333333333337</v>
      </c>
      <c r="M56">
        <v>1200</v>
      </c>
      <c r="N56">
        <v>54</v>
      </c>
      <c r="O56">
        <v>3.5</v>
      </c>
      <c r="P56">
        <v>4.5</v>
      </c>
      <c r="Q56">
        <v>4</v>
      </c>
      <c r="R56">
        <v>3.5</v>
      </c>
      <c r="T56">
        <v>0.7</v>
      </c>
      <c r="U56" t="s">
        <v>111</v>
      </c>
      <c r="V56">
        <v>0.5357142857142857</v>
      </c>
      <c r="W56">
        <v>0.64285714285714279</v>
      </c>
      <c r="X56">
        <v>0.8392857142857143</v>
      </c>
      <c r="Z56">
        <v>1200</v>
      </c>
      <c r="AA56">
        <v>54</v>
      </c>
      <c r="AB56">
        <v>3.5</v>
      </c>
      <c r="AC56">
        <v>4.5</v>
      </c>
      <c r="AD56">
        <v>4</v>
      </c>
      <c r="AE56">
        <v>3.5</v>
      </c>
      <c r="AG56">
        <v>0.8</v>
      </c>
      <c r="AH56">
        <v>0.57777777777777783</v>
      </c>
      <c r="AI56">
        <v>0.5</v>
      </c>
      <c r="AJ56">
        <v>0.78626602156013925</v>
      </c>
      <c r="AK56">
        <v>0.90714285714285703</v>
      </c>
      <c r="AM56">
        <v>852</v>
      </c>
      <c r="AN56">
        <v>61</v>
      </c>
      <c r="AO56">
        <v>3.5</v>
      </c>
      <c r="AP56">
        <v>4.5</v>
      </c>
      <c r="AQ56">
        <v>4.5</v>
      </c>
      <c r="AR56">
        <v>4</v>
      </c>
      <c r="AT56">
        <v>0.69444444444444442</v>
      </c>
      <c r="AU56">
        <v>0.57777777777777783</v>
      </c>
      <c r="AV56">
        <v>0.5</v>
      </c>
      <c r="AW56">
        <v>0.3125</v>
      </c>
      <c r="AX56">
        <v>0.90674603174603163</v>
      </c>
      <c r="AZ56">
        <v>1200</v>
      </c>
      <c r="BA56">
        <v>61.5</v>
      </c>
      <c r="BB56">
        <v>3.5</v>
      </c>
      <c r="BC56">
        <v>4.5</v>
      </c>
      <c r="BD56">
        <v>4</v>
      </c>
      <c r="BE56">
        <v>3.5</v>
      </c>
      <c r="BG56">
        <v>0.41666666666666669</v>
      </c>
      <c r="BH56" t="s">
        <v>111</v>
      </c>
      <c r="BI56">
        <v>0.25</v>
      </c>
      <c r="BJ56">
        <v>0.875</v>
      </c>
      <c r="BK56">
        <v>0.95833333333333337</v>
      </c>
      <c r="BM56">
        <v>0.69444444444444442</v>
      </c>
      <c r="BN56">
        <v>0.57777777777777783</v>
      </c>
      <c r="BO56">
        <v>0.5</v>
      </c>
      <c r="BP56">
        <v>0.34259259259259256</v>
      </c>
      <c r="BQ56">
        <v>0.90674603174603163</v>
      </c>
      <c r="BS56">
        <v>0.7</v>
      </c>
      <c r="BT56" t="s">
        <v>111</v>
      </c>
      <c r="BU56">
        <v>0.5357142857142857</v>
      </c>
      <c r="BV56">
        <v>0.83333333333333326</v>
      </c>
      <c r="BW56">
        <v>0.8392857142857143</v>
      </c>
      <c r="BY56">
        <v>0.8</v>
      </c>
      <c r="BZ56">
        <v>0.57777777777777783</v>
      </c>
      <c r="CA56">
        <v>0.5</v>
      </c>
      <c r="CB56">
        <v>0.88888888888888884</v>
      </c>
      <c r="CC56">
        <v>0.90714285714285703</v>
      </c>
      <c r="CF56">
        <v>1</v>
      </c>
      <c r="CG56">
        <v>0</v>
      </c>
      <c r="CH56">
        <v>1</v>
      </c>
      <c r="CI56">
        <v>0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0.5</v>
      </c>
      <c r="CQ56">
        <v>1</v>
      </c>
      <c r="CR56">
        <v>0</v>
      </c>
      <c r="CS56">
        <v>0</v>
      </c>
      <c r="CT56">
        <v>2</v>
      </c>
      <c r="CU56">
        <v>7.5</v>
      </c>
      <c r="CV56">
        <v>9.5</v>
      </c>
      <c r="CY56" t="s">
        <v>199</v>
      </c>
      <c r="CZ56">
        <v>2</v>
      </c>
      <c r="DA56">
        <v>2</v>
      </c>
      <c r="DB56">
        <v>45013</v>
      </c>
      <c r="DC56">
        <v>45086</v>
      </c>
      <c r="DE56">
        <v>22</v>
      </c>
      <c r="DF56" t="s">
        <v>328</v>
      </c>
      <c r="DG56" t="s">
        <v>213</v>
      </c>
      <c r="DH56">
        <v>24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1</v>
      </c>
      <c r="DP56">
        <v>5</v>
      </c>
      <c r="DQ56">
        <v>4</v>
      </c>
      <c r="DR56">
        <v>4</v>
      </c>
      <c r="DS56">
        <v>3</v>
      </c>
      <c r="DT56">
        <v>4</v>
      </c>
      <c r="DU56">
        <v>3</v>
      </c>
      <c r="DV56">
        <v>5</v>
      </c>
      <c r="DW56">
        <v>3</v>
      </c>
      <c r="DX56">
        <v>3</v>
      </c>
      <c r="DY56">
        <v>3</v>
      </c>
      <c r="DZ56">
        <v>4</v>
      </c>
      <c r="EA56">
        <v>2</v>
      </c>
      <c r="ED56">
        <v>5</v>
      </c>
      <c r="EE56">
        <v>4</v>
      </c>
      <c r="EF56">
        <v>4</v>
      </c>
      <c r="EG56">
        <v>3</v>
      </c>
      <c r="EH56">
        <v>4</v>
      </c>
      <c r="EI56">
        <v>3</v>
      </c>
      <c r="EJ56">
        <v>5</v>
      </c>
      <c r="EK56">
        <v>5</v>
      </c>
      <c r="EL56">
        <v>3</v>
      </c>
      <c r="EM56">
        <v>4</v>
      </c>
      <c r="EN56">
        <v>5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L56">
        <v>0.625</v>
      </c>
      <c r="FM56">
        <v>0.7270833333333333</v>
      </c>
      <c r="FN56">
        <v>0.60431216931216925</v>
      </c>
      <c r="FO56">
        <v>0.73476190476190473</v>
      </c>
      <c r="FP56">
        <v>0.67278935185185185</v>
      </c>
      <c r="FR56">
        <v>0.625</v>
      </c>
      <c r="FS56">
        <v>0.67946428571428574</v>
      </c>
      <c r="FT56">
        <v>0.59829365079365071</v>
      </c>
      <c r="FU56">
        <v>0.71423733129615485</v>
      </c>
      <c r="FV56">
        <v>0.65424881695102288</v>
      </c>
    </row>
    <row r="57" spans="1:178" x14ac:dyDescent="0.2">
      <c r="A57" t="s">
        <v>118</v>
      </c>
      <c r="C57" t="s">
        <v>329</v>
      </c>
      <c r="E57" t="s">
        <v>110</v>
      </c>
      <c r="G57">
        <v>0.3888888888888889</v>
      </c>
      <c r="H57" t="s">
        <v>111</v>
      </c>
      <c r="I57">
        <v>0.66666666666666663</v>
      </c>
      <c r="J57">
        <v>0.60294117647058831</v>
      </c>
      <c r="K57">
        <v>0.78968253968253954</v>
      </c>
      <c r="M57">
        <v>1200</v>
      </c>
      <c r="N57">
        <v>28.5</v>
      </c>
      <c r="O57">
        <v>3.5</v>
      </c>
      <c r="P57">
        <v>2.5</v>
      </c>
      <c r="Q57">
        <v>2.5</v>
      </c>
      <c r="R57">
        <v>1.5</v>
      </c>
      <c r="T57">
        <v>0.63181818181818183</v>
      </c>
      <c r="U57" t="s">
        <v>111</v>
      </c>
      <c r="V57">
        <v>0.21428571428571427</v>
      </c>
      <c r="W57">
        <v>0.48809523809523803</v>
      </c>
      <c r="X57">
        <v>0.71031746031746035</v>
      </c>
      <c r="Z57">
        <v>1200</v>
      </c>
      <c r="AA57">
        <v>28.5</v>
      </c>
      <c r="AB57">
        <v>3.5</v>
      </c>
      <c r="AC57">
        <v>2.5</v>
      </c>
      <c r="AD57">
        <v>2.5</v>
      </c>
      <c r="AE57">
        <v>1.5</v>
      </c>
      <c r="AG57">
        <v>0.71875</v>
      </c>
      <c r="AH57">
        <v>0.47407407407407415</v>
      </c>
      <c r="AI57">
        <v>0.5</v>
      </c>
      <c r="AJ57">
        <v>0.44408369408369402</v>
      </c>
      <c r="AK57">
        <v>0.74246031746031749</v>
      </c>
      <c r="AM57">
        <v>1200</v>
      </c>
      <c r="AN57">
        <v>29</v>
      </c>
      <c r="AO57">
        <v>3</v>
      </c>
      <c r="AP57">
        <v>2.5</v>
      </c>
      <c r="AQ57">
        <v>3</v>
      </c>
      <c r="AR57">
        <v>1.5</v>
      </c>
      <c r="AT57">
        <v>0.72222222222222232</v>
      </c>
      <c r="AU57">
        <v>0.47407407407407415</v>
      </c>
      <c r="AV57">
        <v>0.5</v>
      </c>
      <c r="AW57">
        <v>0.34375</v>
      </c>
      <c r="AX57">
        <v>0.84563492063492063</v>
      </c>
      <c r="AZ57">
        <v>1200</v>
      </c>
      <c r="BA57">
        <v>36</v>
      </c>
      <c r="BB57">
        <v>3</v>
      </c>
      <c r="BC57">
        <v>2</v>
      </c>
      <c r="BD57">
        <v>3.5</v>
      </c>
      <c r="BE57">
        <v>2</v>
      </c>
      <c r="BG57">
        <v>0.3888888888888889</v>
      </c>
      <c r="BH57" t="s">
        <v>111</v>
      </c>
      <c r="BI57">
        <v>0.66666666666666663</v>
      </c>
      <c r="BJ57">
        <v>0.6875</v>
      </c>
      <c r="BK57">
        <v>0.78968253968253954</v>
      </c>
      <c r="BM57">
        <v>0.72222222222222232</v>
      </c>
      <c r="BN57">
        <v>0.47407407407407415</v>
      </c>
      <c r="BO57">
        <v>0.5</v>
      </c>
      <c r="BP57">
        <v>0.39814814814814814</v>
      </c>
      <c r="BQ57">
        <v>0.84563492063492063</v>
      </c>
      <c r="BS57">
        <v>0.63181818181818183</v>
      </c>
      <c r="BT57" t="s">
        <v>111</v>
      </c>
      <c r="BU57">
        <v>0.21428571428571427</v>
      </c>
      <c r="BV57">
        <v>0.52083333333333326</v>
      </c>
      <c r="BW57">
        <v>0.71031746031746035</v>
      </c>
      <c r="BY57">
        <v>0.71875</v>
      </c>
      <c r="BZ57">
        <v>0.47407407407407415</v>
      </c>
      <c r="CA57">
        <v>0.5</v>
      </c>
      <c r="CB57">
        <v>0.84722222222222221</v>
      </c>
      <c r="CC57">
        <v>0.74246031746031749</v>
      </c>
      <c r="CF57">
        <v>0</v>
      </c>
      <c r="CG57">
        <v>0</v>
      </c>
      <c r="CH57">
        <v>0</v>
      </c>
      <c r="CI57">
        <v>0</v>
      </c>
      <c r="CJ57">
        <v>0.5</v>
      </c>
      <c r="CK57">
        <v>0</v>
      </c>
      <c r="CL57">
        <v>0</v>
      </c>
      <c r="CM57">
        <v>0</v>
      </c>
      <c r="CN57">
        <v>0.5</v>
      </c>
      <c r="CO57">
        <v>0.5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1.5</v>
      </c>
      <c r="CV57">
        <v>1.5</v>
      </c>
      <c r="CY57" t="s">
        <v>207</v>
      </c>
      <c r="CZ57">
        <v>2</v>
      </c>
      <c r="DA57">
        <v>2</v>
      </c>
      <c r="DB57">
        <v>45013</v>
      </c>
      <c r="DC57">
        <v>45139</v>
      </c>
      <c r="DE57">
        <v>23</v>
      </c>
      <c r="DF57" t="s">
        <v>224</v>
      </c>
      <c r="DG57" t="s">
        <v>330</v>
      </c>
      <c r="DH57">
        <v>48</v>
      </c>
      <c r="DI57">
        <v>0</v>
      </c>
      <c r="DJ57">
        <v>0</v>
      </c>
      <c r="DK57">
        <v>1</v>
      </c>
      <c r="DL57">
        <v>1</v>
      </c>
      <c r="DM57">
        <v>0</v>
      </c>
      <c r="DN57">
        <v>0</v>
      </c>
      <c r="DP57">
        <v>5</v>
      </c>
      <c r="DQ57">
        <v>4</v>
      </c>
      <c r="DR57">
        <v>4</v>
      </c>
      <c r="DS57">
        <v>5</v>
      </c>
      <c r="DT57">
        <v>4</v>
      </c>
      <c r="DU57">
        <v>5</v>
      </c>
      <c r="DV57">
        <v>5</v>
      </c>
      <c r="DW57">
        <v>4</v>
      </c>
      <c r="DX57">
        <v>5</v>
      </c>
      <c r="DY57">
        <v>5</v>
      </c>
      <c r="DZ57">
        <v>5</v>
      </c>
      <c r="EA57">
        <v>0</v>
      </c>
      <c r="ED57">
        <v>4</v>
      </c>
      <c r="EE57">
        <v>3</v>
      </c>
      <c r="EF57">
        <v>4</v>
      </c>
      <c r="EG57">
        <v>4</v>
      </c>
      <c r="EH57">
        <v>4</v>
      </c>
      <c r="EI57">
        <v>3</v>
      </c>
      <c r="EJ57">
        <v>5</v>
      </c>
      <c r="EK57">
        <v>4</v>
      </c>
      <c r="EL57">
        <v>4</v>
      </c>
      <c r="EM57">
        <v>4</v>
      </c>
      <c r="EN57">
        <v>4</v>
      </c>
      <c r="EQ57">
        <v>4</v>
      </c>
      <c r="ER57">
        <v>3</v>
      </c>
      <c r="ES57">
        <v>3</v>
      </c>
      <c r="ET57">
        <v>2</v>
      </c>
      <c r="EU57">
        <v>4</v>
      </c>
      <c r="EV57">
        <v>4</v>
      </c>
      <c r="EW57">
        <v>2</v>
      </c>
      <c r="EX57">
        <v>3</v>
      </c>
      <c r="EY57">
        <v>2</v>
      </c>
      <c r="EZ57">
        <v>3</v>
      </c>
      <c r="FA57">
        <v>3</v>
      </c>
      <c r="FL57">
        <v>0.63318452380952372</v>
      </c>
      <c r="FM57">
        <v>0.51931367243867244</v>
      </c>
      <c r="FN57">
        <v>0.5880158730158731</v>
      </c>
      <c r="FO57">
        <v>0.65650132275132278</v>
      </c>
      <c r="FP57">
        <v>0.59925384800384807</v>
      </c>
      <c r="FR57">
        <v>0.61204481792717091</v>
      </c>
      <c r="FS57">
        <v>0.5111291486291486</v>
      </c>
      <c r="FT57">
        <v>0.57713624338624336</v>
      </c>
      <c r="FU57">
        <v>0.57587361712361707</v>
      </c>
      <c r="FV57">
        <v>0.56904595676654501</v>
      </c>
    </row>
    <row r="58" spans="1:178" x14ac:dyDescent="0.2">
      <c r="A58" t="s">
        <v>121</v>
      </c>
      <c r="C58" t="s">
        <v>331</v>
      </c>
      <c r="E58" t="s">
        <v>110</v>
      </c>
      <c r="G58">
        <v>0.5</v>
      </c>
      <c r="H58" t="s">
        <v>111</v>
      </c>
      <c r="I58">
        <v>0.33333333333333331</v>
      </c>
      <c r="J58">
        <v>0.60294117647058831</v>
      </c>
      <c r="K58">
        <v>0.79365079365079361</v>
      </c>
      <c r="M58">
        <v>1200</v>
      </c>
      <c r="N58">
        <v>42</v>
      </c>
      <c r="O58">
        <v>4</v>
      </c>
      <c r="P58">
        <v>3</v>
      </c>
      <c r="Q58">
        <v>3</v>
      </c>
      <c r="R58">
        <v>2</v>
      </c>
      <c r="T58">
        <v>0.51818181818181819</v>
      </c>
      <c r="U58" t="s">
        <v>111</v>
      </c>
      <c r="V58">
        <v>0.4642857142857143</v>
      </c>
      <c r="W58">
        <v>0.5</v>
      </c>
      <c r="X58">
        <v>0.87301587301587302</v>
      </c>
      <c r="Z58">
        <v>1200</v>
      </c>
      <c r="AA58">
        <v>42</v>
      </c>
      <c r="AB58">
        <v>4</v>
      </c>
      <c r="AC58">
        <v>3</v>
      </c>
      <c r="AD58">
        <v>3</v>
      </c>
      <c r="AE58">
        <v>2</v>
      </c>
      <c r="AG58">
        <v>0.35416666666666663</v>
      </c>
      <c r="AH58">
        <v>0.6518518518518519</v>
      </c>
      <c r="AI58">
        <v>0</v>
      </c>
      <c r="AJ58">
        <v>0.33706816059757233</v>
      </c>
      <c r="AK58">
        <v>0.90476190476190477</v>
      </c>
      <c r="AM58">
        <v>1200</v>
      </c>
      <c r="AN58">
        <v>33</v>
      </c>
      <c r="AO58">
        <v>5</v>
      </c>
      <c r="AP58">
        <v>3</v>
      </c>
      <c r="AQ58">
        <v>4</v>
      </c>
      <c r="AR58">
        <v>2</v>
      </c>
      <c r="AT58">
        <v>0.49365079365079362</v>
      </c>
      <c r="AU58">
        <v>0.6518518518518519</v>
      </c>
      <c r="AV58">
        <v>0</v>
      </c>
      <c r="AW58">
        <v>0.33035714285714285</v>
      </c>
      <c r="AX58">
        <v>0.81428571428571439</v>
      </c>
      <c r="AZ58">
        <v>1200</v>
      </c>
      <c r="BA58">
        <v>35</v>
      </c>
      <c r="BB58">
        <v>5</v>
      </c>
      <c r="BC58">
        <v>3</v>
      </c>
      <c r="BD58">
        <v>3</v>
      </c>
      <c r="BE58">
        <v>2</v>
      </c>
      <c r="BG58">
        <v>0.5</v>
      </c>
      <c r="BH58" t="s">
        <v>111</v>
      </c>
      <c r="BI58">
        <v>0.33333333333333331</v>
      </c>
      <c r="BJ58">
        <v>0.6875</v>
      </c>
      <c r="BK58">
        <v>0.79365079365079361</v>
      </c>
      <c r="BM58">
        <v>0.49365079365079362</v>
      </c>
      <c r="BN58">
        <v>0.6518518518518519</v>
      </c>
      <c r="BO58">
        <v>0</v>
      </c>
      <c r="BP58">
        <v>0.52777777777777779</v>
      </c>
      <c r="BQ58">
        <v>0.81428571428571439</v>
      </c>
      <c r="BS58">
        <v>0.51818181818181819</v>
      </c>
      <c r="BT58" t="s">
        <v>111</v>
      </c>
      <c r="BU58">
        <v>0.4642857142857143</v>
      </c>
      <c r="BV58">
        <v>0.58333333333333326</v>
      </c>
      <c r="BW58">
        <v>0.87301587301587302</v>
      </c>
      <c r="BY58">
        <v>0.35416666666666663</v>
      </c>
      <c r="BZ58">
        <v>0.6518518518518519</v>
      </c>
      <c r="CA58">
        <v>0</v>
      </c>
      <c r="CB58">
        <v>0.55555555555555547</v>
      </c>
      <c r="CC58">
        <v>0.90476190476190477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</v>
      </c>
      <c r="CS58">
        <v>0</v>
      </c>
      <c r="CT58">
        <v>0</v>
      </c>
      <c r="CU58">
        <v>1</v>
      </c>
      <c r="CV58">
        <v>1</v>
      </c>
      <c r="CY58" t="s">
        <v>199</v>
      </c>
      <c r="CZ58">
        <v>1</v>
      </c>
      <c r="DA58">
        <v>2</v>
      </c>
      <c r="DB58">
        <v>45013</v>
      </c>
      <c r="DC58">
        <v>45146</v>
      </c>
      <c r="DE58">
        <v>29</v>
      </c>
      <c r="DF58" t="s">
        <v>332</v>
      </c>
      <c r="DG58" t="s">
        <v>333</v>
      </c>
      <c r="DH58">
        <v>108</v>
      </c>
      <c r="DI58">
        <v>1</v>
      </c>
      <c r="DJ58">
        <v>6</v>
      </c>
      <c r="DK58">
        <v>1</v>
      </c>
      <c r="DL58">
        <v>1</v>
      </c>
      <c r="DM58">
        <v>1</v>
      </c>
      <c r="DN58">
        <v>1</v>
      </c>
      <c r="DP58">
        <v>4</v>
      </c>
      <c r="DQ58">
        <v>4</v>
      </c>
      <c r="DR58">
        <v>4</v>
      </c>
      <c r="DS58">
        <v>4</v>
      </c>
      <c r="DT58">
        <v>4</v>
      </c>
      <c r="DU58">
        <v>4</v>
      </c>
      <c r="DV58">
        <v>4</v>
      </c>
      <c r="DW58">
        <v>4</v>
      </c>
      <c r="DX58">
        <v>4</v>
      </c>
      <c r="DY58">
        <v>4</v>
      </c>
      <c r="DZ58">
        <v>4</v>
      </c>
      <c r="EA58">
        <v>1</v>
      </c>
      <c r="ED58">
        <v>4</v>
      </c>
      <c r="EE58">
        <v>4</v>
      </c>
      <c r="EF58">
        <v>4</v>
      </c>
      <c r="EG58">
        <v>4</v>
      </c>
      <c r="EH58">
        <v>4</v>
      </c>
      <c r="EI58">
        <v>4</v>
      </c>
      <c r="EJ58">
        <v>4</v>
      </c>
      <c r="EK58">
        <v>3</v>
      </c>
      <c r="EL58">
        <v>4</v>
      </c>
      <c r="EM58">
        <v>4</v>
      </c>
      <c r="EN58">
        <v>4</v>
      </c>
      <c r="EQ58">
        <v>4</v>
      </c>
      <c r="ER58">
        <v>3</v>
      </c>
      <c r="ES58">
        <v>3</v>
      </c>
      <c r="ET58">
        <v>3</v>
      </c>
      <c r="EU58">
        <v>4</v>
      </c>
      <c r="EV58">
        <v>3</v>
      </c>
      <c r="EW58">
        <v>2</v>
      </c>
      <c r="EX58">
        <v>4</v>
      </c>
      <c r="EY58">
        <v>2</v>
      </c>
      <c r="EZ58">
        <v>3</v>
      </c>
      <c r="FA58">
        <v>3</v>
      </c>
      <c r="FL58">
        <v>0.57862103174603174</v>
      </c>
      <c r="FM58">
        <v>0.60970418470418464</v>
      </c>
      <c r="FN58">
        <v>0.49751322751322757</v>
      </c>
      <c r="FO58">
        <v>0.49326719576719569</v>
      </c>
      <c r="FP58">
        <v>0.54477640993265986</v>
      </c>
      <c r="FR58">
        <v>0.55748132586367882</v>
      </c>
      <c r="FS58">
        <v>0.58887085137085138</v>
      </c>
      <c r="FT58">
        <v>0.45802910052910056</v>
      </c>
      <c r="FU58">
        <v>0.44956971677559909</v>
      </c>
      <c r="FV58">
        <v>0.51348774863480751</v>
      </c>
    </row>
    <row r="59" spans="1:178" x14ac:dyDescent="0.2">
      <c r="A59" t="s">
        <v>125</v>
      </c>
      <c r="C59" t="s">
        <v>334</v>
      </c>
      <c r="E59" t="s">
        <v>110</v>
      </c>
      <c r="G59">
        <v>0.3888888888888889</v>
      </c>
      <c r="H59" t="s">
        <v>111</v>
      </c>
      <c r="I59">
        <v>0.66666666666666663</v>
      </c>
      <c r="J59">
        <v>0.54411764705882359</v>
      </c>
      <c r="K59">
        <v>0.79960317460317454</v>
      </c>
      <c r="M59">
        <v>568</v>
      </c>
      <c r="N59">
        <v>38.5</v>
      </c>
      <c r="O59">
        <v>2.5</v>
      </c>
      <c r="P59">
        <v>1</v>
      </c>
      <c r="Q59">
        <v>3</v>
      </c>
      <c r="R59">
        <v>1.5</v>
      </c>
      <c r="T59">
        <v>0.54090909090909101</v>
      </c>
      <c r="U59" t="s">
        <v>111</v>
      </c>
      <c r="V59">
        <v>0.39285714285714285</v>
      </c>
      <c r="W59">
        <v>0.47619047619047616</v>
      </c>
      <c r="X59">
        <v>0.75595238095238093</v>
      </c>
      <c r="Z59">
        <v>568</v>
      </c>
      <c r="AA59">
        <v>38.5</v>
      </c>
      <c r="AB59">
        <v>2.5</v>
      </c>
      <c r="AC59">
        <v>1</v>
      </c>
      <c r="AD59">
        <v>3</v>
      </c>
      <c r="AE59">
        <v>1.5</v>
      </c>
      <c r="AG59">
        <v>0.75</v>
      </c>
      <c r="AH59">
        <v>0.44444444444444442</v>
      </c>
      <c r="AI59">
        <v>0.5</v>
      </c>
      <c r="AJ59">
        <v>0.70274170274170267</v>
      </c>
      <c r="AK59">
        <v>0.84523809523809523</v>
      </c>
      <c r="AM59">
        <v>962</v>
      </c>
      <c r="AN59">
        <v>66.5</v>
      </c>
      <c r="AO59">
        <v>3</v>
      </c>
      <c r="AP59">
        <v>3.5</v>
      </c>
      <c r="AQ59">
        <v>3</v>
      </c>
      <c r="AR59">
        <v>4</v>
      </c>
      <c r="AT59">
        <v>0.66666666666666663</v>
      </c>
      <c r="AU59">
        <v>0.44444444444444442</v>
      </c>
      <c r="AV59">
        <v>0.5</v>
      </c>
      <c r="AW59">
        <v>0.33333333333333331</v>
      </c>
      <c r="AX59">
        <v>0.88293650793650791</v>
      </c>
      <c r="AZ59">
        <v>1200</v>
      </c>
      <c r="BA59">
        <v>69</v>
      </c>
      <c r="BB59">
        <v>3</v>
      </c>
      <c r="BC59">
        <v>4</v>
      </c>
      <c r="BD59">
        <v>4</v>
      </c>
      <c r="BE59">
        <v>3.5</v>
      </c>
      <c r="BG59">
        <v>0.3888888888888889</v>
      </c>
      <c r="BH59" t="s">
        <v>111</v>
      </c>
      <c r="BI59">
        <v>0.66666666666666663</v>
      </c>
      <c r="BJ59">
        <v>0.6875</v>
      </c>
      <c r="BK59">
        <v>0.79960317460317454</v>
      </c>
      <c r="BM59">
        <v>0.75</v>
      </c>
      <c r="BN59">
        <v>0.44444444444444442</v>
      </c>
      <c r="BO59">
        <v>0.5</v>
      </c>
      <c r="BP59">
        <v>0.41666666666666669</v>
      </c>
      <c r="BQ59">
        <v>0.88293650793650791</v>
      </c>
      <c r="BS59">
        <v>0.54090909090909101</v>
      </c>
      <c r="BT59" t="s">
        <v>111</v>
      </c>
      <c r="BU59">
        <v>0.39285714285714285</v>
      </c>
      <c r="BV59">
        <v>0.45833333333333331</v>
      </c>
      <c r="BW59">
        <v>0.75595238095238093</v>
      </c>
      <c r="BY59">
        <v>0.75</v>
      </c>
      <c r="BZ59">
        <v>0.44444444444444442</v>
      </c>
      <c r="CA59">
        <v>0.5</v>
      </c>
      <c r="CB59">
        <v>0.88888888888888884</v>
      </c>
      <c r="CC59">
        <v>0.84523809523809523</v>
      </c>
      <c r="CF59">
        <v>0</v>
      </c>
      <c r="CG59">
        <v>0</v>
      </c>
      <c r="CH59">
        <v>0</v>
      </c>
      <c r="CI59">
        <v>0</v>
      </c>
      <c r="CJ59">
        <v>0.5</v>
      </c>
      <c r="CK59">
        <v>0</v>
      </c>
      <c r="CL59">
        <v>0.5</v>
      </c>
      <c r="CM59">
        <v>1</v>
      </c>
      <c r="CN59">
        <v>1</v>
      </c>
      <c r="CO59">
        <v>1</v>
      </c>
      <c r="CP59">
        <v>1</v>
      </c>
      <c r="CQ59">
        <v>0</v>
      </c>
      <c r="CR59">
        <v>0</v>
      </c>
      <c r="CS59">
        <v>0</v>
      </c>
      <c r="CT59">
        <v>0</v>
      </c>
      <c r="CU59">
        <v>5</v>
      </c>
      <c r="CV59">
        <v>5</v>
      </c>
      <c r="CY59" t="s">
        <v>199</v>
      </c>
      <c r="CZ59">
        <v>1</v>
      </c>
      <c r="DA59">
        <v>2</v>
      </c>
      <c r="DB59">
        <v>45013</v>
      </c>
      <c r="DC59">
        <v>45093</v>
      </c>
      <c r="DE59">
        <v>23</v>
      </c>
      <c r="DF59" t="s">
        <v>323</v>
      </c>
      <c r="DG59" t="s">
        <v>212</v>
      </c>
      <c r="DH59">
        <v>36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1</v>
      </c>
      <c r="DP59">
        <v>4</v>
      </c>
      <c r="DQ59">
        <v>4</v>
      </c>
      <c r="DR59">
        <v>4</v>
      </c>
      <c r="DS59">
        <v>4</v>
      </c>
      <c r="DT59">
        <v>4</v>
      </c>
      <c r="DU59">
        <v>3</v>
      </c>
      <c r="DV59">
        <v>4</v>
      </c>
      <c r="DW59">
        <v>4</v>
      </c>
      <c r="DX59">
        <v>3</v>
      </c>
      <c r="DY59">
        <v>3</v>
      </c>
      <c r="DZ59">
        <v>4</v>
      </c>
      <c r="EA59">
        <v>1</v>
      </c>
      <c r="ED59">
        <v>4</v>
      </c>
      <c r="EE59">
        <v>4</v>
      </c>
      <c r="EF59">
        <v>2</v>
      </c>
      <c r="EG59">
        <v>4</v>
      </c>
      <c r="EH59">
        <v>4</v>
      </c>
      <c r="EI59">
        <v>3</v>
      </c>
      <c r="EJ59">
        <v>5</v>
      </c>
      <c r="EK59">
        <v>4</v>
      </c>
      <c r="EL59">
        <v>4</v>
      </c>
      <c r="EM59">
        <v>4</v>
      </c>
      <c r="EN59">
        <v>5</v>
      </c>
      <c r="EQ59">
        <v>0</v>
      </c>
      <c r="ER59">
        <v>3</v>
      </c>
      <c r="ES59">
        <v>2</v>
      </c>
      <c r="ET59">
        <v>4</v>
      </c>
      <c r="EU59">
        <v>5</v>
      </c>
      <c r="EV59">
        <v>3</v>
      </c>
      <c r="EW59">
        <v>1</v>
      </c>
      <c r="EX59">
        <v>2</v>
      </c>
      <c r="EY59">
        <v>4</v>
      </c>
      <c r="EZ59">
        <v>4</v>
      </c>
      <c r="FA59">
        <v>4</v>
      </c>
      <c r="FL59">
        <v>0.63566468253968256</v>
      </c>
      <c r="FM59">
        <v>0.53701298701298694</v>
      </c>
      <c r="FN59">
        <v>0.59880952380952379</v>
      </c>
      <c r="FO59">
        <v>0.68571428571428572</v>
      </c>
      <c r="FP59">
        <v>0.61430036976911984</v>
      </c>
      <c r="FR59">
        <v>0.5998190943043884</v>
      </c>
      <c r="FS59">
        <v>0.54147727272727275</v>
      </c>
      <c r="FT59">
        <v>0.56547619047619047</v>
      </c>
      <c r="FU59">
        <v>0.64848484848484855</v>
      </c>
      <c r="FV59">
        <v>0.58881435149817507</v>
      </c>
    </row>
    <row r="60" spans="1:178" x14ac:dyDescent="0.2">
      <c r="A60" t="s">
        <v>126</v>
      </c>
      <c r="C60" t="s">
        <v>335</v>
      </c>
      <c r="E60" t="s">
        <v>110</v>
      </c>
      <c r="G60">
        <v>0.3888888888888889</v>
      </c>
      <c r="H60" t="s">
        <v>111</v>
      </c>
      <c r="I60">
        <v>0.66666666666666663</v>
      </c>
      <c r="J60">
        <v>0.72794117647058831</v>
      </c>
      <c r="K60">
        <v>0.77777777777777768</v>
      </c>
      <c r="M60">
        <v>1042</v>
      </c>
      <c r="N60">
        <v>47.5</v>
      </c>
      <c r="O60">
        <v>3</v>
      </c>
      <c r="P60">
        <v>3</v>
      </c>
      <c r="Q60">
        <v>4</v>
      </c>
      <c r="R60">
        <v>2.5</v>
      </c>
      <c r="T60">
        <v>0.7</v>
      </c>
      <c r="U60" t="s">
        <v>111</v>
      </c>
      <c r="V60">
        <v>0.5357142857142857</v>
      </c>
      <c r="W60">
        <v>0.61904761904761907</v>
      </c>
      <c r="X60">
        <v>0.85119047619047616</v>
      </c>
      <c r="Z60">
        <v>1042</v>
      </c>
      <c r="AA60">
        <v>47.5</v>
      </c>
      <c r="AB60">
        <v>3</v>
      </c>
      <c r="AC60">
        <v>3</v>
      </c>
      <c r="AD60">
        <v>4</v>
      </c>
      <c r="AE60">
        <v>2.5</v>
      </c>
      <c r="AG60">
        <v>0.75</v>
      </c>
      <c r="AH60">
        <v>0.31111111111111112</v>
      </c>
      <c r="AI60">
        <v>0.5</v>
      </c>
      <c r="AJ60">
        <v>0.88888888888888884</v>
      </c>
      <c r="AK60">
        <v>0.97023809523809523</v>
      </c>
      <c r="AM60">
        <v>878</v>
      </c>
      <c r="AN60">
        <v>72.5</v>
      </c>
      <c r="AO60">
        <v>3</v>
      </c>
      <c r="AP60">
        <v>4.5</v>
      </c>
      <c r="AQ60">
        <v>4.5</v>
      </c>
      <c r="AR60">
        <v>4.5</v>
      </c>
      <c r="AT60">
        <v>0.75</v>
      </c>
      <c r="AU60">
        <v>0.31111111111111112</v>
      </c>
      <c r="AV60">
        <v>0.5</v>
      </c>
      <c r="AW60">
        <v>0.70238095238095244</v>
      </c>
      <c r="AX60">
        <v>0.9007936507936507</v>
      </c>
      <c r="AZ60">
        <v>1098</v>
      </c>
      <c r="BA60">
        <v>60</v>
      </c>
      <c r="BB60">
        <v>3</v>
      </c>
      <c r="BC60">
        <v>3</v>
      </c>
      <c r="BD60">
        <v>4.5</v>
      </c>
      <c r="BE60">
        <v>3.5</v>
      </c>
      <c r="BG60">
        <v>0.3888888888888889</v>
      </c>
      <c r="BH60" t="s">
        <v>111</v>
      </c>
      <c r="BI60">
        <v>0.66666666666666663</v>
      </c>
      <c r="BJ60">
        <v>0.8125</v>
      </c>
      <c r="BK60">
        <v>0.77777777777777768</v>
      </c>
      <c r="BM60">
        <v>0.75</v>
      </c>
      <c r="BN60">
        <v>0.31111111111111112</v>
      </c>
      <c r="BO60">
        <v>0.5</v>
      </c>
      <c r="BP60">
        <v>0.84259259259259256</v>
      </c>
      <c r="BQ60">
        <v>0.9007936507936507</v>
      </c>
      <c r="BS60">
        <v>0.7</v>
      </c>
      <c r="BT60" t="s">
        <v>111</v>
      </c>
      <c r="BU60">
        <v>0.5357142857142857</v>
      </c>
      <c r="BV60">
        <v>0.83333333333333326</v>
      </c>
      <c r="BW60">
        <v>0.85119047619047616</v>
      </c>
      <c r="BY60">
        <v>0.75</v>
      </c>
      <c r="BZ60">
        <v>0.31111111111111112</v>
      </c>
      <c r="CA60">
        <v>0.5</v>
      </c>
      <c r="CB60">
        <v>0.88888888888888884</v>
      </c>
      <c r="CC60">
        <v>0.97023809523809523</v>
      </c>
      <c r="CF60">
        <v>0</v>
      </c>
      <c r="CG60">
        <v>0</v>
      </c>
      <c r="CH60">
        <v>1</v>
      </c>
      <c r="CI60">
        <v>0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0</v>
      </c>
      <c r="CQ60">
        <v>0</v>
      </c>
      <c r="CR60">
        <v>0</v>
      </c>
      <c r="CS60">
        <v>1</v>
      </c>
      <c r="CT60">
        <v>1</v>
      </c>
      <c r="CU60">
        <v>7</v>
      </c>
      <c r="CV60">
        <v>8</v>
      </c>
      <c r="CY60" t="s">
        <v>207</v>
      </c>
      <c r="CZ60">
        <v>1</v>
      </c>
      <c r="DA60">
        <v>2</v>
      </c>
      <c r="DB60">
        <v>45013</v>
      </c>
      <c r="DC60">
        <v>45093</v>
      </c>
      <c r="DE60">
        <v>26</v>
      </c>
      <c r="DF60" t="s">
        <v>336</v>
      </c>
      <c r="DG60" t="s">
        <v>337</v>
      </c>
      <c r="DH60">
        <v>36</v>
      </c>
      <c r="DI60">
        <v>0</v>
      </c>
      <c r="DJ60">
        <v>0</v>
      </c>
      <c r="DK60">
        <v>1</v>
      </c>
      <c r="DL60">
        <v>3</v>
      </c>
      <c r="DM60">
        <v>1</v>
      </c>
      <c r="DN60">
        <v>0</v>
      </c>
      <c r="DP60">
        <v>4</v>
      </c>
      <c r="DQ60">
        <v>4</v>
      </c>
      <c r="DR60">
        <v>4</v>
      </c>
      <c r="DS60">
        <v>4</v>
      </c>
      <c r="DT60">
        <v>4</v>
      </c>
      <c r="DU60">
        <v>4</v>
      </c>
      <c r="DV60">
        <v>4</v>
      </c>
      <c r="DW60">
        <v>4</v>
      </c>
      <c r="DX60">
        <v>4</v>
      </c>
      <c r="DY60">
        <v>4</v>
      </c>
      <c r="DZ60">
        <v>4</v>
      </c>
      <c r="EA60">
        <v>0</v>
      </c>
      <c r="ED60">
        <v>4</v>
      </c>
      <c r="EE60">
        <v>4</v>
      </c>
      <c r="EF60">
        <v>4</v>
      </c>
      <c r="EG60">
        <v>3</v>
      </c>
      <c r="EH60">
        <v>4</v>
      </c>
      <c r="EI60">
        <v>3</v>
      </c>
      <c r="EJ60">
        <v>4</v>
      </c>
      <c r="EK60">
        <v>3</v>
      </c>
      <c r="EL60">
        <v>3</v>
      </c>
      <c r="EM60">
        <v>4</v>
      </c>
      <c r="EN60">
        <v>4</v>
      </c>
      <c r="EQ60">
        <v>3</v>
      </c>
      <c r="ER60">
        <v>2</v>
      </c>
      <c r="ES60">
        <v>2</v>
      </c>
      <c r="ET60">
        <v>3</v>
      </c>
      <c r="EU60">
        <v>4</v>
      </c>
      <c r="EV60">
        <v>2</v>
      </c>
      <c r="EW60">
        <v>2</v>
      </c>
      <c r="EX60">
        <v>3</v>
      </c>
      <c r="EY60">
        <v>2</v>
      </c>
      <c r="EZ60">
        <v>2</v>
      </c>
      <c r="FA60">
        <v>2</v>
      </c>
      <c r="FL60">
        <v>0.66145833333333326</v>
      </c>
      <c r="FM60">
        <v>0.73005952380952377</v>
      </c>
      <c r="FN60">
        <v>0.66089947089947088</v>
      </c>
      <c r="FO60">
        <v>0.68404761904761913</v>
      </c>
      <c r="FP60">
        <v>0.68411623677248667</v>
      </c>
      <c r="FR60">
        <v>0.64031862745098045</v>
      </c>
      <c r="FS60">
        <v>0.67648809523809528</v>
      </c>
      <c r="FT60">
        <v>0.63285714285714278</v>
      </c>
      <c r="FU60">
        <v>0.68404761904761913</v>
      </c>
      <c r="FV60">
        <v>0.65842787114845946</v>
      </c>
    </row>
    <row r="61" spans="1:178" x14ac:dyDescent="0.2">
      <c r="A61" t="s">
        <v>127</v>
      </c>
      <c r="C61" t="s">
        <v>338</v>
      </c>
      <c r="E61" t="s">
        <v>110</v>
      </c>
      <c r="G61">
        <v>0.88888888888888884</v>
      </c>
      <c r="H61" t="s">
        <v>111</v>
      </c>
      <c r="I61">
        <v>0.33333333333333331</v>
      </c>
      <c r="J61">
        <v>0.72794117647058831</v>
      </c>
      <c r="K61">
        <v>0.81746031746031733</v>
      </c>
      <c r="M61">
        <v>1034</v>
      </c>
      <c r="N61">
        <v>40.5</v>
      </c>
      <c r="O61">
        <v>3.5</v>
      </c>
      <c r="P61">
        <v>2.5</v>
      </c>
      <c r="Q61">
        <v>3</v>
      </c>
      <c r="R61">
        <v>2</v>
      </c>
      <c r="T61">
        <v>0.51818181818181819</v>
      </c>
      <c r="U61" t="s">
        <v>111</v>
      </c>
      <c r="V61">
        <v>0.2857142857142857</v>
      </c>
      <c r="W61">
        <v>0.5</v>
      </c>
      <c r="X61">
        <v>0.72619047619047616</v>
      </c>
      <c r="Z61">
        <v>1034</v>
      </c>
      <c r="AA61">
        <v>40.5</v>
      </c>
      <c r="AB61">
        <v>3.5</v>
      </c>
      <c r="AC61">
        <v>2.5</v>
      </c>
      <c r="AD61">
        <v>3</v>
      </c>
      <c r="AE61">
        <v>2</v>
      </c>
      <c r="AG61">
        <v>0.46874999999999994</v>
      </c>
      <c r="AH61">
        <v>0.31111111111111112</v>
      </c>
      <c r="AI61">
        <v>0</v>
      </c>
      <c r="AJ61">
        <v>0.61832611832611828</v>
      </c>
      <c r="AK61">
        <v>0.87142857142857133</v>
      </c>
      <c r="AM61">
        <v>816</v>
      </c>
      <c r="AN61">
        <v>73.5</v>
      </c>
      <c r="AO61">
        <v>3</v>
      </c>
      <c r="AP61">
        <v>3.5</v>
      </c>
      <c r="AQ61">
        <v>3</v>
      </c>
      <c r="AR61">
        <v>3</v>
      </c>
      <c r="AT61">
        <v>0.75</v>
      </c>
      <c r="AU61">
        <v>0.31111111111111112</v>
      </c>
      <c r="AV61">
        <v>0</v>
      </c>
      <c r="AW61">
        <v>0.52380952380952384</v>
      </c>
      <c r="AX61">
        <v>0.94047619047619035</v>
      </c>
      <c r="AZ61">
        <v>1159</v>
      </c>
      <c r="BA61">
        <v>51</v>
      </c>
      <c r="BB61">
        <v>3</v>
      </c>
      <c r="BC61">
        <v>3</v>
      </c>
      <c r="BD61">
        <v>3.5</v>
      </c>
      <c r="BE61">
        <v>2.5</v>
      </c>
      <c r="BG61">
        <v>0.88888888888888884</v>
      </c>
      <c r="BH61" t="s">
        <v>111</v>
      </c>
      <c r="BI61">
        <v>0.33333333333333331</v>
      </c>
      <c r="BJ61">
        <v>0.8125</v>
      </c>
      <c r="BK61">
        <v>0.81746031746031733</v>
      </c>
      <c r="BM61">
        <v>0.75</v>
      </c>
      <c r="BN61">
        <v>0.31111111111111112</v>
      </c>
      <c r="BO61">
        <v>0</v>
      </c>
      <c r="BP61">
        <v>0.73148148148148151</v>
      </c>
      <c r="BQ61">
        <v>0.94047619047619035</v>
      </c>
      <c r="BS61">
        <v>0.51818181818181819</v>
      </c>
      <c r="BT61" t="s">
        <v>111</v>
      </c>
      <c r="BU61">
        <v>0.2857142857142857</v>
      </c>
      <c r="BV61">
        <v>0.58333333333333326</v>
      </c>
      <c r="BW61">
        <v>0.72619047619047616</v>
      </c>
      <c r="BY61">
        <v>0.46874999999999994</v>
      </c>
      <c r="BZ61">
        <v>0.31111111111111112</v>
      </c>
      <c r="CA61">
        <v>0</v>
      </c>
      <c r="CB61">
        <v>0.80555555555555547</v>
      </c>
      <c r="CC61">
        <v>0.87142857142857133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1</v>
      </c>
      <c r="CL61">
        <v>0.5</v>
      </c>
      <c r="CM61">
        <v>1</v>
      </c>
      <c r="CN61">
        <v>0.5</v>
      </c>
      <c r="CO61">
        <v>0</v>
      </c>
      <c r="CP61">
        <v>0</v>
      </c>
      <c r="CQ61">
        <v>0</v>
      </c>
      <c r="CR61">
        <v>0</v>
      </c>
      <c r="CS61">
        <v>0.5</v>
      </c>
      <c r="CT61">
        <v>0</v>
      </c>
      <c r="CU61">
        <v>4.5</v>
      </c>
      <c r="CV61">
        <v>4.5</v>
      </c>
      <c r="CY61" t="s">
        <v>199</v>
      </c>
      <c r="CZ61">
        <v>1</v>
      </c>
      <c r="DA61">
        <v>2</v>
      </c>
      <c r="DB61">
        <v>45013</v>
      </c>
      <c r="DC61">
        <v>45160</v>
      </c>
      <c r="DE61">
        <v>21</v>
      </c>
      <c r="DF61" t="s">
        <v>339</v>
      </c>
      <c r="DG61" t="s">
        <v>340</v>
      </c>
      <c r="DH61">
        <v>36</v>
      </c>
      <c r="DI61">
        <v>0</v>
      </c>
      <c r="DJ61">
        <v>0</v>
      </c>
      <c r="DK61">
        <v>1</v>
      </c>
      <c r="DL61">
        <v>1</v>
      </c>
      <c r="DM61">
        <v>0</v>
      </c>
      <c r="DN61">
        <v>0</v>
      </c>
      <c r="DP61">
        <v>4</v>
      </c>
      <c r="DQ61">
        <v>4</v>
      </c>
      <c r="DR61">
        <v>4</v>
      </c>
      <c r="DS61">
        <v>3</v>
      </c>
      <c r="DT61">
        <v>4</v>
      </c>
      <c r="DU61">
        <v>3</v>
      </c>
      <c r="DV61">
        <v>5</v>
      </c>
      <c r="DW61">
        <v>4</v>
      </c>
      <c r="DX61">
        <v>3</v>
      </c>
      <c r="DY61">
        <v>2</v>
      </c>
      <c r="DZ61">
        <v>5</v>
      </c>
      <c r="EA61">
        <v>2</v>
      </c>
      <c r="ED61">
        <v>4</v>
      </c>
      <c r="EE61">
        <v>4</v>
      </c>
      <c r="EF61">
        <v>4</v>
      </c>
      <c r="EG61">
        <v>2</v>
      </c>
      <c r="EH61">
        <v>4</v>
      </c>
      <c r="EI61">
        <v>2</v>
      </c>
      <c r="EJ61">
        <v>5</v>
      </c>
      <c r="EK61">
        <v>2</v>
      </c>
      <c r="EL61">
        <v>1</v>
      </c>
      <c r="EM61">
        <v>2</v>
      </c>
      <c r="EN61">
        <v>5</v>
      </c>
      <c r="EQ61">
        <v>4</v>
      </c>
      <c r="ER61">
        <v>1</v>
      </c>
      <c r="ES61">
        <v>1</v>
      </c>
      <c r="ET61">
        <v>3</v>
      </c>
      <c r="EU61">
        <v>4</v>
      </c>
      <c r="EV61">
        <v>3</v>
      </c>
      <c r="EW61">
        <v>1</v>
      </c>
      <c r="EX61">
        <v>2</v>
      </c>
      <c r="EY61">
        <v>2</v>
      </c>
      <c r="EZ61">
        <v>1</v>
      </c>
      <c r="FA61">
        <v>1</v>
      </c>
      <c r="FL61">
        <v>0.71304563492063489</v>
      </c>
      <c r="FM61">
        <v>0.52835497835497836</v>
      </c>
      <c r="FN61">
        <v>0.54661375661375655</v>
      </c>
      <c r="FO61">
        <v>0.49136904761904765</v>
      </c>
      <c r="FP61">
        <v>0.56984585437710433</v>
      </c>
      <c r="FR61">
        <v>0.69190592903828196</v>
      </c>
      <c r="FS61">
        <v>0.50752164502164498</v>
      </c>
      <c r="FT61">
        <v>0.50507936507936502</v>
      </c>
      <c r="FU61">
        <v>0.45392316017316015</v>
      </c>
      <c r="FV61">
        <v>0.53960752482811303</v>
      </c>
    </row>
    <row r="62" spans="1:178" x14ac:dyDescent="0.2">
      <c r="A62" t="s">
        <v>143</v>
      </c>
      <c r="C62" t="s">
        <v>341</v>
      </c>
      <c r="E62" t="s">
        <v>110</v>
      </c>
      <c r="G62">
        <v>0.44444444444444448</v>
      </c>
      <c r="H62" t="s">
        <v>111</v>
      </c>
      <c r="I62">
        <v>0.33333333333333331</v>
      </c>
      <c r="J62">
        <v>0.72794117647058831</v>
      </c>
      <c r="K62">
        <v>0.78174603174603163</v>
      </c>
      <c r="M62">
        <v>477</v>
      </c>
      <c r="N62">
        <v>40</v>
      </c>
      <c r="O62">
        <v>4</v>
      </c>
      <c r="P62">
        <v>2</v>
      </c>
      <c r="Q62">
        <v>3</v>
      </c>
      <c r="R62">
        <v>2</v>
      </c>
      <c r="T62">
        <v>0.60909090909090913</v>
      </c>
      <c r="U62" t="s">
        <v>111</v>
      </c>
      <c r="V62">
        <v>0.21428571428571427</v>
      </c>
      <c r="W62">
        <v>0.52380952380952372</v>
      </c>
      <c r="X62">
        <v>0.87301587301587291</v>
      </c>
      <c r="Z62">
        <v>477</v>
      </c>
      <c r="AA62">
        <v>40</v>
      </c>
      <c r="AB62">
        <v>4</v>
      </c>
      <c r="AC62">
        <v>2</v>
      </c>
      <c r="AD62">
        <v>3</v>
      </c>
      <c r="AE62">
        <v>2</v>
      </c>
      <c r="AG62">
        <v>0.8</v>
      </c>
      <c r="AH62">
        <v>0.37777777777777777</v>
      </c>
      <c r="AI62">
        <v>0.5</v>
      </c>
      <c r="AJ62">
        <v>0.76767676767676762</v>
      </c>
      <c r="AK62">
        <v>0.97619047619047616</v>
      </c>
      <c r="AM62">
        <v>1200</v>
      </c>
      <c r="AN62">
        <v>80</v>
      </c>
      <c r="AO62">
        <v>3</v>
      </c>
      <c r="AP62">
        <v>4</v>
      </c>
      <c r="AQ62">
        <v>4</v>
      </c>
      <c r="AR62">
        <v>3</v>
      </c>
      <c r="AT62">
        <v>0.75</v>
      </c>
      <c r="AU62">
        <v>0.37777777777777777</v>
      </c>
      <c r="AV62">
        <v>0.5</v>
      </c>
      <c r="AW62">
        <v>0.35416666666666669</v>
      </c>
      <c r="AX62">
        <v>0.92857142857142849</v>
      </c>
      <c r="AZ62">
        <v>1200</v>
      </c>
      <c r="BA62">
        <v>75</v>
      </c>
      <c r="BB62">
        <v>3</v>
      </c>
      <c r="BC62">
        <v>2</v>
      </c>
      <c r="BD62">
        <v>4</v>
      </c>
      <c r="BE62">
        <v>3</v>
      </c>
      <c r="BG62">
        <v>0.44444444444444448</v>
      </c>
      <c r="BH62" t="s">
        <v>111</v>
      </c>
      <c r="BI62">
        <v>0.33333333333333331</v>
      </c>
      <c r="BJ62">
        <v>0.8125</v>
      </c>
      <c r="BK62">
        <v>0.78174603174603163</v>
      </c>
      <c r="BM62">
        <v>0.75</v>
      </c>
      <c r="BN62">
        <v>0.37777777777777777</v>
      </c>
      <c r="BO62">
        <v>0.5</v>
      </c>
      <c r="BP62">
        <v>0.43518518518518517</v>
      </c>
      <c r="BQ62">
        <v>0.92857142857142849</v>
      </c>
      <c r="BS62">
        <v>0.60909090909090913</v>
      </c>
      <c r="BT62" t="s">
        <v>111</v>
      </c>
      <c r="BU62">
        <v>0.21428571428571427</v>
      </c>
      <c r="BV62">
        <v>0.70833333333333326</v>
      </c>
      <c r="BW62">
        <v>0.87301587301587291</v>
      </c>
      <c r="BY62">
        <v>0.8</v>
      </c>
      <c r="BZ62">
        <v>0.37777777777777777</v>
      </c>
      <c r="CA62">
        <v>0.5</v>
      </c>
      <c r="CB62">
        <v>0.88888888888888884</v>
      </c>
      <c r="CC62">
        <v>0.97619047619047616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1</v>
      </c>
      <c r="CL62">
        <v>1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4</v>
      </c>
      <c r="CV62">
        <v>4</v>
      </c>
      <c r="CY62" t="s">
        <v>199</v>
      </c>
      <c r="CZ62">
        <v>1</v>
      </c>
      <c r="DA62">
        <v>3</v>
      </c>
      <c r="DB62">
        <v>45104</v>
      </c>
      <c r="DC62">
        <v>45244</v>
      </c>
      <c r="DE62">
        <v>19</v>
      </c>
      <c r="DF62" t="s">
        <v>252</v>
      </c>
      <c r="DG62" t="s">
        <v>234</v>
      </c>
      <c r="DH62">
        <v>12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P62">
        <v>4</v>
      </c>
      <c r="DQ62">
        <v>3</v>
      </c>
      <c r="DR62">
        <v>3</v>
      </c>
      <c r="DS62">
        <v>4</v>
      </c>
      <c r="DT62">
        <v>4</v>
      </c>
      <c r="DU62">
        <v>3</v>
      </c>
      <c r="DV62">
        <v>4</v>
      </c>
      <c r="DW62">
        <v>2</v>
      </c>
      <c r="DX62">
        <v>4</v>
      </c>
      <c r="DY62">
        <v>3</v>
      </c>
      <c r="DZ62">
        <v>4</v>
      </c>
      <c r="EA62">
        <v>0</v>
      </c>
      <c r="ED62">
        <v>4</v>
      </c>
      <c r="EE62">
        <v>3</v>
      </c>
      <c r="EF62">
        <v>4</v>
      </c>
      <c r="EG62">
        <v>4</v>
      </c>
      <c r="EH62">
        <v>3</v>
      </c>
      <c r="EI62">
        <v>3</v>
      </c>
      <c r="EJ62">
        <v>4</v>
      </c>
      <c r="EK62">
        <v>3</v>
      </c>
      <c r="EL62">
        <v>4</v>
      </c>
      <c r="EM62">
        <v>3</v>
      </c>
      <c r="EN62">
        <v>4</v>
      </c>
      <c r="EQ62">
        <v>3</v>
      </c>
      <c r="ER62">
        <v>2</v>
      </c>
      <c r="ES62">
        <v>3</v>
      </c>
      <c r="ET62">
        <v>2</v>
      </c>
      <c r="EU62">
        <v>5</v>
      </c>
      <c r="EV62">
        <v>2</v>
      </c>
      <c r="EW62">
        <v>3</v>
      </c>
      <c r="EX62">
        <v>4</v>
      </c>
      <c r="EY62">
        <v>2</v>
      </c>
      <c r="EZ62">
        <v>3</v>
      </c>
      <c r="FA62">
        <v>4</v>
      </c>
      <c r="FL62">
        <v>0.59300595238095233</v>
      </c>
      <c r="FM62">
        <v>0.60118145743145746</v>
      </c>
      <c r="FN62">
        <v>0.59830687830687823</v>
      </c>
      <c r="FO62">
        <v>0.70857142857142852</v>
      </c>
      <c r="FP62">
        <v>0.62526642917267916</v>
      </c>
      <c r="FR62">
        <v>0.57186624649859941</v>
      </c>
      <c r="FS62">
        <v>0.55505050505050502</v>
      </c>
      <c r="FT62">
        <v>0.58210317460317462</v>
      </c>
      <c r="FU62">
        <v>0.68432900432900434</v>
      </c>
      <c r="FV62">
        <v>0.59833723262032079</v>
      </c>
    </row>
    <row r="63" spans="1:178" x14ac:dyDescent="0.2">
      <c r="A63" t="s">
        <v>142</v>
      </c>
      <c r="C63" t="s">
        <v>342</v>
      </c>
      <c r="E63" t="s">
        <v>110</v>
      </c>
      <c r="G63">
        <v>0.3888888888888889</v>
      </c>
      <c r="H63" t="s">
        <v>111</v>
      </c>
      <c r="I63">
        <v>0.33333333333333331</v>
      </c>
      <c r="J63">
        <v>0.81617647058823528</v>
      </c>
      <c r="K63">
        <v>0.70238095238095222</v>
      </c>
      <c r="M63">
        <v>683</v>
      </c>
      <c r="N63">
        <v>28</v>
      </c>
      <c r="O63">
        <v>3</v>
      </c>
      <c r="P63">
        <v>2</v>
      </c>
      <c r="Q63">
        <v>2</v>
      </c>
      <c r="R63">
        <v>2</v>
      </c>
      <c r="T63">
        <v>0.47272727272727272</v>
      </c>
      <c r="U63" t="s">
        <v>111</v>
      </c>
      <c r="V63">
        <v>0.4642857142857143</v>
      </c>
      <c r="W63">
        <v>0.52380952380952372</v>
      </c>
      <c r="X63">
        <v>0.70238095238095222</v>
      </c>
      <c r="Z63">
        <v>683</v>
      </c>
      <c r="AA63">
        <v>28</v>
      </c>
      <c r="AB63">
        <v>3</v>
      </c>
      <c r="AC63">
        <v>2</v>
      </c>
      <c r="AD63">
        <v>2</v>
      </c>
      <c r="AE63">
        <v>2</v>
      </c>
      <c r="AG63">
        <v>0.75</v>
      </c>
      <c r="AH63">
        <v>0.2074074074074074</v>
      </c>
      <c r="AI63">
        <v>0</v>
      </c>
      <c r="AJ63">
        <v>0.51659451659451661</v>
      </c>
      <c r="AK63">
        <v>0.94047619047619035</v>
      </c>
      <c r="AM63">
        <v>650</v>
      </c>
      <c r="AN63">
        <v>58</v>
      </c>
      <c r="AO63">
        <v>2</v>
      </c>
      <c r="AP63">
        <v>4</v>
      </c>
      <c r="AQ63">
        <v>2</v>
      </c>
      <c r="AR63">
        <v>3</v>
      </c>
      <c r="AT63">
        <v>0.69444444444444442</v>
      </c>
      <c r="AU63">
        <v>0.2074074074074074</v>
      </c>
      <c r="AV63">
        <v>0.5</v>
      </c>
      <c r="AW63">
        <v>0.33035714285714285</v>
      </c>
      <c r="AX63">
        <v>0.70238095238095244</v>
      </c>
      <c r="AZ63">
        <v>1191</v>
      </c>
      <c r="BA63">
        <v>42</v>
      </c>
      <c r="BB63">
        <v>2</v>
      </c>
      <c r="BC63">
        <v>2</v>
      </c>
      <c r="BD63">
        <v>2</v>
      </c>
      <c r="BE63">
        <v>2</v>
      </c>
      <c r="BG63">
        <v>0.3888888888888889</v>
      </c>
      <c r="BH63" t="s">
        <v>111</v>
      </c>
      <c r="BI63">
        <v>0.33333333333333331</v>
      </c>
      <c r="BJ63">
        <v>0.75</v>
      </c>
      <c r="BK63">
        <v>0.70238095238095222</v>
      </c>
      <c r="BM63">
        <v>0.69444444444444442</v>
      </c>
      <c r="BN63">
        <v>0.2074074074074074</v>
      </c>
      <c r="BO63">
        <v>0.5</v>
      </c>
      <c r="BP63">
        <v>0.52777777777777779</v>
      </c>
      <c r="BQ63">
        <v>0.70238095238095244</v>
      </c>
      <c r="BS63">
        <v>0.47272727272727272</v>
      </c>
      <c r="BT63" t="s">
        <v>111</v>
      </c>
      <c r="BU63">
        <v>0.4642857142857143</v>
      </c>
      <c r="BV63">
        <v>0.70833333333333326</v>
      </c>
      <c r="BW63">
        <v>0.70238095238095222</v>
      </c>
      <c r="BY63">
        <v>0.75</v>
      </c>
      <c r="BZ63">
        <v>0.2074074074074074</v>
      </c>
      <c r="CA63">
        <v>0</v>
      </c>
      <c r="CB63">
        <v>0.88888888888888884</v>
      </c>
      <c r="CC63">
        <v>0.94047619047619035</v>
      </c>
      <c r="CF63">
        <v>1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1</v>
      </c>
      <c r="CU63">
        <v>2</v>
      </c>
      <c r="CV63">
        <v>3</v>
      </c>
      <c r="CY63" t="s">
        <v>199</v>
      </c>
      <c r="CZ63">
        <v>1</v>
      </c>
      <c r="DA63">
        <v>3</v>
      </c>
      <c r="DB63">
        <v>45104</v>
      </c>
      <c r="DC63">
        <v>45184</v>
      </c>
      <c r="DE63">
        <v>30</v>
      </c>
      <c r="DF63" t="s">
        <v>328</v>
      </c>
      <c r="DG63" t="s">
        <v>213</v>
      </c>
      <c r="DH63">
        <v>24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P63">
        <v>5</v>
      </c>
      <c r="DQ63">
        <v>5</v>
      </c>
      <c r="DR63">
        <v>4</v>
      </c>
      <c r="DS63">
        <v>5</v>
      </c>
      <c r="DT63">
        <v>4</v>
      </c>
      <c r="DU63">
        <v>4</v>
      </c>
      <c r="DV63">
        <v>5</v>
      </c>
      <c r="DW63">
        <v>3</v>
      </c>
      <c r="DX63">
        <v>4</v>
      </c>
      <c r="DY63">
        <v>3</v>
      </c>
      <c r="DZ63">
        <v>5</v>
      </c>
      <c r="EA63">
        <v>2</v>
      </c>
      <c r="ED63">
        <v>5</v>
      </c>
      <c r="EE63">
        <v>5</v>
      </c>
      <c r="EF63">
        <v>4</v>
      </c>
      <c r="EG63">
        <v>4</v>
      </c>
      <c r="EH63">
        <v>4</v>
      </c>
      <c r="EI63">
        <v>3</v>
      </c>
      <c r="EJ63">
        <v>5</v>
      </c>
      <c r="EK63">
        <v>4</v>
      </c>
      <c r="EL63">
        <v>3</v>
      </c>
      <c r="EM63">
        <v>4</v>
      </c>
      <c r="EN63">
        <v>5</v>
      </c>
      <c r="EQ63">
        <v>5</v>
      </c>
      <c r="ER63">
        <v>4</v>
      </c>
      <c r="ES63">
        <v>3</v>
      </c>
      <c r="ET63">
        <v>4</v>
      </c>
      <c r="EU63">
        <v>5</v>
      </c>
      <c r="EV63">
        <v>4</v>
      </c>
      <c r="EW63">
        <v>1</v>
      </c>
      <c r="EX63">
        <v>2</v>
      </c>
      <c r="EY63">
        <v>3</v>
      </c>
      <c r="EZ63">
        <v>4</v>
      </c>
      <c r="FA63">
        <v>4</v>
      </c>
      <c r="FL63">
        <v>0.54365079365079361</v>
      </c>
      <c r="FM63">
        <v>0.58693181818181817</v>
      </c>
      <c r="FN63">
        <v>0.52640211640211643</v>
      </c>
      <c r="FO63">
        <v>0.55735449735449727</v>
      </c>
      <c r="FP63">
        <v>0.55358480639730634</v>
      </c>
      <c r="FR63">
        <v>0.56019491129785237</v>
      </c>
      <c r="FS63">
        <v>0.54080086580086573</v>
      </c>
      <c r="FT63">
        <v>0.48691798941798947</v>
      </c>
      <c r="FU63">
        <v>0.48289562289562288</v>
      </c>
      <c r="FV63">
        <v>0.51770234735308251</v>
      </c>
    </row>
    <row r="64" spans="1:178" x14ac:dyDescent="0.2">
      <c r="A64" t="s">
        <v>137</v>
      </c>
      <c r="C64" t="s">
        <v>343</v>
      </c>
      <c r="E64" t="s">
        <v>110</v>
      </c>
      <c r="G64">
        <v>0.27777777777777779</v>
      </c>
      <c r="H64" t="s">
        <v>111</v>
      </c>
      <c r="I64">
        <v>0.58333333333333326</v>
      </c>
      <c r="J64">
        <v>0.54411764705882359</v>
      </c>
      <c r="K64">
        <v>0.80952380952380942</v>
      </c>
      <c r="M64">
        <v>1200</v>
      </c>
      <c r="N64">
        <v>95</v>
      </c>
      <c r="O64">
        <v>5</v>
      </c>
      <c r="P64">
        <v>5</v>
      </c>
      <c r="Q64">
        <v>5</v>
      </c>
      <c r="R64">
        <v>5</v>
      </c>
      <c r="T64">
        <v>0.7</v>
      </c>
      <c r="U64" t="s">
        <v>111</v>
      </c>
      <c r="V64">
        <v>0.4642857142857143</v>
      </c>
      <c r="W64">
        <v>0.64285714285714279</v>
      </c>
      <c r="X64">
        <v>0.93253968253968245</v>
      </c>
      <c r="Z64">
        <v>1200</v>
      </c>
      <c r="AA64">
        <v>95</v>
      </c>
      <c r="AB64">
        <v>5</v>
      </c>
      <c r="AC64">
        <v>5</v>
      </c>
      <c r="AD64">
        <v>5</v>
      </c>
      <c r="AE64">
        <v>5</v>
      </c>
      <c r="AG64">
        <v>0.75</v>
      </c>
      <c r="AH64">
        <v>0.58518518518518514</v>
      </c>
      <c r="AI64">
        <v>0.5</v>
      </c>
      <c r="AJ64">
        <v>0.74603174603174605</v>
      </c>
      <c r="AK64">
        <v>0.98809523809523814</v>
      </c>
      <c r="AM64">
        <v>1008</v>
      </c>
      <c r="AN64">
        <v>100</v>
      </c>
      <c r="AO64">
        <v>4</v>
      </c>
      <c r="AP64">
        <v>5</v>
      </c>
      <c r="AQ64">
        <v>5</v>
      </c>
      <c r="AR64">
        <v>5</v>
      </c>
      <c r="AT64">
        <v>0.7</v>
      </c>
      <c r="AU64">
        <v>0.58518518518518514</v>
      </c>
      <c r="AV64">
        <v>0.5</v>
      </c>
      <c r="AW64">
        <v>0.45833333333333331</v>
      </c>
      <c r="AX64">
        <v>0.90952380952380951</v>
      </c>
      <c r="AZ64">
        <v>1200</v>
      </c>
      <c r="BA64">
        <v>100</v>
      </c>
      <c r="BB64">
        <v>4</v>
      </c>
      <c r="BC64">
        <v>5</v>
      </c>
      <c r="BD64">
        <v>5</v>
      </c>
      <c r="BE64">
        <v>5</v>
      </c>
      <c r="BG64">
        <v>0.27777777777777779</v>
      </c>
      <c r="BH64" t="s">
        <v>111</v>
      </c>
      <c r="BI64">
        <v>0.58333333333333326</v>
      </c>
      <c r="BJ64">
        <v>0.5625</v>
      </c>
      <c r="BK64">
        <v>0.80952380952380942</v>
      </c>
      <c r="BM64">
        <v>0.7</v>
      </c>
      <c r="BN64">
        <v>0.58518518518518514</v>
      </c>
      <c r="BO64">
        <v>0.5</v>
      </c>
      <c r="BP64">
        <v>0.50925925925925919</v>
      </c>
      <c r="BQ64">
        <v>0.90952380952380951</v>
      </c>
      <c r="BS64">
        <v>0.7</v>
      </c>
      <c r="BT64" t="s">
        <v>111</v>
      </c>
      <c r="BU64">
        <v>0.4642857142857143</v>
      </c>
      <c r="BV64">
        <v>0.83333333333333326</v>
      </c>
      <c r="BW64">
        <v>0.93253968253968245</v>
      </c>
      <c r="BY64">
        <v>0.75</v>
      </c>
      <c r="BZ64">
        <v>0.58518518518518514</v>
      </c>
      <c r="CA64">
        <v>0.5</v>
      </c>
      <c r="CB64">
        <v>0.88888888888888884</v>
      </c>
      <c r="CC64">
        <v>0.98809523809523814</v>
      </c>
      <c r="CF64">
        <v>0</v>
      </c>
      <c r="CG64">
        <v>0</v>
      </c>
      <c r="CH64">
        <v>1</v>
      </c>
      <c r="CI64">
        <v>0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0</v>
      </c>
      <c r="CR64">
        <v>0</v>
      </c>
      <c r="CS64">
        <v>0</v>
      </c>
      <c r="CT64">
        <v>1</v>
      </c>
      <c r="CU64">
        <v>7</v>
      </c>
      <c r="CV64">
        <v>8</v>
      </c>
      <c r="CY64" t="s">
        <v>199</v>
      </c>
      <c r="CZ64">
        <v>1</v>
      </c>
      <c r="DA64">
        <v>3</v>
      </c>
      <c r="DB64">
        <v>45104</v>
      </c>
      <c r="DC64">
        <v>45223</v>
      </c>
      <c r="DE64">
        <v>29</v>
      </c>
      <c r="DF64" t="s">
        <v>344</v>
      </c>
      <c r="DG64" t="s">
        <v>345</v>
      </c>
      <c r="DH64">
        <v>132</v>
      </c>
      <c r="DI64">
        <v>0</v>
      </c>
      <c r="DJ64">
        <v>0</v>
      </c>
      <c r="DK64">
        <v>1</v>
      </c>
      <c r="DL64">
        <v>1</v>
      </c>
      <c r="DM64">
        <v>0</v>
      </c>
      <c r="DN64">
        <v>1</v>
      </c>
      <c r="DP64">
        <v>4</v>
      </c>
      <c r="DQ64">
        <v>4</v>
      </c>
      <c r="DR64">
        <v>4</v>
      </c>
      <c r="DS64">
        <v>3</v>
      </c>
      <c r="DT64">
        <v>4</v>
      </c>
      <c r="DU64">
        <v>2</v>
      </c>
      <c r="DV64">
        <v>5</v>
      </c>
      <c r="DW64">
        <v>3</v>
      </c>
      <c r="DX64">
        <v>4</v>
      </c>
      <c r="DY64">
        <v>4</v>
      </c>
      <c r="DZ64">
        <v>4</v>
      </c>
      <c r="EA64">
        <v>0</v>
      </c>
      <c r="ED64">
        <v>4</v>
      </c>
      <c r="EE64">
        <v>4</v>
      </c>
      <c r="EF64">
        <v>3</v>
      </c>
      <c r="EG64">
        <v>3</v>
      </c>
      <c r="EH64">
        <v>4</v>
      </c>
      <c r="EI64">
        <v>3</v>
      </c>
      <c r="EJ64">
        <v>5</v>
      </c>
      <c r="EK64">
        <v>3</v>
      </c>
      <c r="EL64">
        <v>3</v>
      </c>
      <c r="EM64">
        <v>3</v>
      </c>
      <c r="EN64">
        <v>5</v>
      </c>
      <c r="EQ64">
        <v>3</v>
      </c>
      <c r="ER64">
        <v>2</v>
      </c>
      <c r="ES64">
        <v>2</v>
      </c>
      <c r="ET64">
        <v>3</v>
      </c>
      <c r="EU64">
        <v>4</v>
      </c>
      <c r="EV64">
        <v>3</v>
      </c>
      <c r="EW64">
        <v>1</v>
      </c>
      <c r="EX64">
        <v>2</v>
      </c>
      <c r="EY64">
        <v>1</v>
      </c>
      <c r="EZ64">
        <v>2</v>
      </c>
      <c r="FA64">
        <v>2</v>
      </c>
      <c r="FL64">
        <v>0.55828373015873012</v>
      </c>
      <c r="FM64">
        <v>0.73253968253968249</v>
      </c>
      <c r="FN64">
        <v>0.64079365079365069</v>
      </c>
      <c r="FO64">
        <v>0.74243386243386245</v>
      </c>
      <c r="FP64">
        <v>0.66851273148148138</v>
      </c>
      <c r="FR64">
        <v>0.55368814192343596</v>
      </c>
      <c r="FS64">
        <v>0.68492063492063482</v>
      </c>
      <c r="FT64">
        <v>0.63060846560846562</v>
      </c>
      <c r="FU64">
        <v>0.71386243386243386</v>
      </c>
      <c r="FV64">
        <v>0.64576991907874259</v>
      </c>
    </row>
    <row r="65" spans="1:178" x14ac:dyDescent="0.2">
      <c r="A65" t="s">
        <v>136</v>
      </c>
      <c r="C65" t="s">
        <v>346</v>
      </c>
      <c r="E65" t="s">
        <v>110</v>
      </c>
      <c r="G65">
        <v>0.3888888888888889</v>
      </c>
      <c r="H65" t="s">
        <v>111</v>
      </c>
      <c r="I65">
        <v>0.58333333333333326</v>
      </c>
      <c r="J65">
        <v>0.54411764705882359</v>
      </c>
      <c r="K65">
        <v>0.54761904761904756</v>
      </c>
      <c r="M65">
        <v>943</v>
      </c>
      <c r="N65">
        <v>72.5</v>
      </c>
      <c r="O65">
        <v>4</v>
      </c>
      <c r="P65">
        <v>3.5</v>
      </c>
      <c r="Q65">
        <v>3.5</v>
      </c>
      <c r="R65">
        <v>3.5</v>
      </c>
      <c r="T65">
        <v>0.7</v>
      </c>
      <c r="U65" t="s">
        <v>111</v>
      </c>
      <c r="V65">
        <v>0.4642857142857143</v>
      </c>
      <c r="W65">
        <v>0.61904761904761907</v>
      </c>
      <c r="X65">
        <v>0.78571428571428559</v>
      </c>
      <c r="Z65">
        <v>943</v>
      </c>
      <c r="AA65">
        <v>72.5</v>
      </c>
      <c r="AB65">
        <v>4</v>
      </c>
      <c r="AC65">
        <v>3.5</v>
      </c>
      <c r="AD65">
        <v>3.5</v>
      </c>
      <c r="AE65">
        <v>3.5</v>
      </c>
      <c r="AG65">
        <v>0.66666666666666663</v>
      </c>
      <c r="AH65">
        <v>0.24444444444444446</v>
      </c>
      <c r="AI65">
        <v>0.5</v>
      </c>
      <c r="AJ65">
        <v>0.50360750360750361</v>
      </c>
      <c r="AK65">
        <v>0.56666666666666665</v>
      </c>
      <c r="AM65">
        <v>1200</v>
      </c>
      <c r="AN65">
        <v>55</v>
      </c>
      <c r="AO65">
        <v>1</v>
      </c>
      <c r="AP65">
        <v>2</v>
      </c>
      <c r="AQ65">
        <v>2</v>
      </c>
      <c r="AR65">
        <v>3</v>
      </c>
      <c r="AT65">
        <v>0.64444444444444438</v>
      </c>
      <c r="AU65">
        <v>0.24444444444444446</v>
      </c>
      <c r="AV65">
        <v>0.5</v>
      </c>
      <c r="AW65">
        <v>0.1875</v>
      </c>
      <c r="AX65">
        <v>0.70198412698412704</v>
      </c>
      <c r="AZ65">
        <v>1200</v>
      </c>
      <c r="BA65">
        <v>50</v>
      </c>
      <c r="BB65">
        <v>1</v>
      </c>
      <c r="BC65">
        <v>2</v>
      </c>
      <c r="BD65">
        <v>3</v>
      </c>
      <c r="BE65">
        <v>2</v>
      </c>
      <c r="BG65">
        <v>0.3888888888888889</v>
      </c>
      <c r="BH65" t="s">
        <v>111</v>
      </c>
      <c r="BI65">
        <v>0.58333333333333326</v>
      </c>
      <c r="BJ65">
        <v>0.5625</v>
      </c>
      <c r="BK65">
        <v>0.54761904761904756</v>
      </c>
      <c r="BM65">
        <v>0.64444444444444438</v>
      </c>
      <c r="BN65">
        <v>0.24444444444444446</v>
      </c>
      <c r="BO65">
        <v>0.5</v>
      </c>
      <c r="BP65">
        <v>0.20370370370370372</v>
      </c>
      <c r="BQ65">
        <v>0.70198412698412704</v>
      </c>
      <c r="BS65">
        <v>0.7</v>
      </c>
      <c r="BT65" t="s">
        <v>111</v>
      </c>
      <c r="BU65">
        <v>0.4642857142857143</v>
      </c>
      <c r="BV65">
        <v>0.83333333333333326</v>
      </c>
      <c r="BW65">
        <v>0.78571428571428559</v>
      </c>
      <c r="BY65">
        <v>0.66666666666666663</v>
      </c>
      <c r="BZ65">
        <v>0.24444444444444446</v>
      </c>
      <c r="CA65">
        <v>0.5</v>
      </c>
      <c r="CB65">
        <v>0.88888888888888884</v>
      </c>
      <c r="CC65">
        <v>0.56666666666666665</v>
      </c>
      <c r="CF65">
        <v>0</v>
      </c>
      <c r="CG65">
        <v>0.5</v>
      </c>
      <c r="CH65">
        <v>0.5</v>
      </c>
      <c r="CI65">
        <v>0</v>
      </c>
      <c r="CJ65">
        <v>1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</v>
      </c>
      <c r="CU65">
        <v>2</v>
      </c>
      <c r="CV65">
        <v>3</v>
      </c>
      <c r="CY65" t="s">
        <v>207</v>
      </c>
      <c r="CZ65">
        <v>1</v>
      </c>
      <c r="DA65">
        <v>3</v>
      </c>
      <c r="DB65">
        <v>45104</v>
      </c>
      <c r="DC65">
        <v>45219</v>
      </c>
      <c r="DE65">
        <v>25</v>
      </c>
      <c r="DF65" t="s">
        <v>347</v>
      </c>
      <c r="DG65" t="s">
        <v>348</v>
      </c>
      <c r="DH65">
        <v>60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P65">
        <v>4</v>
      </c>
      <c r="DQ65">
        <v>4</v>
      </c>
      <c r="DR65">
        <v>3</v>
      </c>
      <c r="DS65">
        <v>4</v>
      </c>
      <c r="DT65">
        <v>3</v>
      </c>
      <c r="DU65">
        <v>4</v>
      </c>
      <c r="DV65">
        <v>5</v>
      </c>
      <c r="DW65">
        <v>2</v>
      </c>
      <c r="DX65">
        <v>4</v>
      </c>
      <c r="DY65">
        <v>3</v>
      </c>
      <c r="DZ65">
        <v>5</v>
      </c>
      <c r="EA65">
        <v>1</v>
      </c>
      <c r="ED65">
        <v>4</v>
      </c>
      <c r="EE65">
        <v>4</v>
      </c>
      <c r="EF65">
        <v>3</v>
      </c>
      <c r="EG65">
        <v>4</v>
      </c>
      <c r="EH65">
        <v>4</v>
      </c>
      <c r="EI65">
        <v>4</v>
      </c>
      <c r="EJ65">
        <v>5</v>
      </c>
      <c r="EK65">
        <v>4</v>
      </c>
      <c r="EL65">
        <v>3</v>
      </c>
      <c r="EM65">
        <v>4</v>
      </c>
      <c r="EN65">
        <v>5</v>
      </c>
      <c r="EQ65">
        <v>4</v>
      </c>
      <c r="ER65">
        <v>2</v>
      </c>
      <c r="ES65">
        <v>2</v>
      </c>
      <c r="ET65">
        <v>4</v>
      </c>
      <c r="EU65">
        <v>5</v>
      </c>
      <c r="EV65">
        <v>4</v>
      </c>
      <c r="EW65">
        <v>1</v>
      </c>
      <c r="EX65">
        <v>3</v>
      </c>
      <c r="EY65">
        <v>4</v>
      </c>
      <c r="EZ65">
        <v>4</v>
      </c>
      <c r="FA65">
        <v>4</v>
      </c>
      <c r="FL65">
        <v>0.52058531746031744</v>
      </c>
      <c r="FM65">
        <v>0.6958333333333333</v>
      </c>
      <c r="FN65">
        <v>0.45891534391534394</v>
      </c>
      <c r="FO65">
        <v>0.57333333333333325</v>
      </c>
      <c r="FP65">
        <v>0.56216683201058193</v>
      </c>
      <c r="FR65">
        <v>0.51598972922502329</v>
      </c>
      <c r="FS65">
        <v>0.6422619047619047</v>
      </c>
      <c r="FT65">
        <v>0.45567460317460318</v>
      </c>
      <c r="FU65">
        <v>0.49627705627705626</v>
      </c>
      <c r="FV65">
        <v>0.52755082335964687</v>
      </c>
    </row>
    <row r="66" spans="1:178" x14ac:dyDescent="0.2">
      <c r="A66" t="s">
        <v>130</v>
      </c>
      <c r="C66" t="s">
        <v>349</v>
      </c>
      <c r="E66" t="s">
        <v>110</v>
      </c>
      <c r="G66">
        <v>0.22222222222222221</v>
      </c>
      <c r="H66" t="s">
        <v>111</v>
      </c>
      <c r="I66">
        <v>0</v>
      </c>
      <c r="J66">
        <v>0.60294117647058831</v>
      </c>
      <c r="K66">
        <v>0.88492063492063477</v>
      </c>
      <c r="M66">
        <v>200</v>
      </c>
      <c r="N66">
        <v>60</v>
      </c>
      <c r="O66">
        <v>4</v>
      </c>
      <c r="P66">
        <v>3</v>
      </c>
      <c r="Q66">
        <v>4</v>
      </c>
      <c r="R66">
        <v>3</v>
      </c>
      <c r="T66">
        <v>0.60909090909090913</v>
      </c>
      <c r="U66" t="s">
        <v>111</v>
      </c>
      <c r="V66">
        <v>0.21428571428571427</v>
      </c>
      <c r="W66">
        <v>0.52380952380952372</v>
      </c>
      <c r="X66">
        <v>0.77380952380952372</v>
      </c>
      <c r="Z66">
        <v>200</v>
      </c>
      <c r="AA66">
        <v>60</v>
      </c>
      <c r="AB66">
        <v>4</v>
      </c>
      <c r="AC66">
        <v>3</v>
      </c>
      <c r="AD66">
        <v>4</v>
      </c>
      <c r="AE66">
        <v>3</v>
      </c>
      <c r="AG66">
        <v>0.4375</v>
      </c>
      <c r="AH66">
        <v>0.51111111111111107</v>
      </c>
      <c r="AI66">
        <v>0.5</v>
      </c>
      <c r="AJ66">
        <v>0.64646464646464641</v>
      </c>
      <c r="AK66">
        <v>0.97619047619047616</v>
      </c>
      <c r="AM66">
        <v>1200</v>
      </c>
      <c r="AN66">
        <v>70</v>
      </c>
      <c r="AO66">
        <v>4</v>
      </c>
      <c r="AP66">
        <v>3</v>
      </c>
      <c r="AQ66">
        <v>4</v>
      </c>
      <c r="AR66">
        <v>3</v>
      </c>
      <c r="AT66">
        <v>0.20555555555555557</v>
      </c>
      <c r="AU66">
        <v>0.51111111111111107</v>
      </c>
      <c r="AV66">
        <v>0</v>
      </c>
      <c r="AW66">
        <v>0.41666666666666669</v>
      </c>
      <c r="AX66">
        <v>0.90873015873015872</v>
      </c>
      <c r="AZ66">
        <v>1200</v>
      </c>
      <c r="BA66">
        <v>65</v>
      </c>
      <c r="BB66">
        <v>4</v>
      </c>
      <c r="BC66">
        <v>3</v>
      </c>
      <c r="BD66">
        <v>5</v>
      </c>
      <c r="BE66">
        <v>3</v>
      </c>
      <c r="BG66">
        <v>0.22222222222222221</v>
      </c>
      <c r="BH66" t="s">
        <v>111</v>
      </c>
      <c r="BI66">
        <v>0</v>
      </c>
      <c r="BJ66">
        <v>0.6875</v>
      </c>
      <c r="BK66">
        <v>0.88492063492063477</v>
      </c>
      <c r="BM66">
        <v>0.20555555555555557</v>
      </c>
      <c r="BN66">
        <v>0.51111111111111107</v>
      </c>
      <c r="BO66">
        <v>0</v>
      </c>
      <c r="BP66">
        <v>0.43518518518518517</v>
      </c>
      <c r="BQ66">
        <v>0.90873015873015872</v>
      </c>
      <c r="BS66">
        <v>0.60909090909090913</v>
      </c>
      <c r="BT66" t="s">
        <v>111</v>
      </c>
      <c r="BU66">
        <v>0.21428571428571427</v>
      </c>
      <c r="BV66">
        <v>0.70833333333333326</v>
      </c>
      <c r="BW66">
        <v>0.77380952380952372</v>
      </c>
      <c r="BY66">
        <v>0.4375</v>
      </c>
      <c r="BZ66">
        <v>0.51111111111111107</v>
      </c>
      <c r="CA66">
        <v>0.5</v>
      </c>
      <c r="CB66">
        <v>0.88888888888888884</v>
      </c>
      <c r="CC66">
        <v>0.97619047619047616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1</v>
      </c>
      <c r="CL66">
        <v>0</v>
      </c>
      <c r="CM66">
        <v>0</v>
      </c>
      <c r="CN66">
        <v>1</v>
      </c>
      <c r="CO66">
        <v>1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5</v>
      </c>
      <c r="CV66">
        <v>5</v>
      </c>
      <c r="CY66" t="s">
        <v>199</v>
      </c>
      <c r="CZ66">
        <v>1</v>
      </c>
      <c r="DA66">
        <v>3</v>
      </c>
      <c r="DB66">
        <v>45104</v>
      </c>
      <c r="DC66">
        <v>45226</v>
      </c>
      <c r="DE66">
        <v>22</v>
      </c>
      <c r="DF66" t="s">
        <v>212</v>
      </c>
      <c r="DG66" t="s">
        <v>350</v>
      </c>
      <c r="DH66">
        <v>12</v>
      </c>
      <c r="DI66">
        <v>0</v>
      </c>
      <c r="DJ66">
        <v>0</v>
      </c>
      <c r="DK66">
        <v>1</v>
      </c>
      <c r="DL66">
        <v>1</v>
      </c>
      <c r="DM66">
        <v>0</v>
      </c>
      <c r="DN66">
        <v>0</v>
      </c>
      <c r="DP66">
        <v>4</v>
      </c>
      <c r="DQ66">
        <v>4</v>
      </c>
      <c r="DR66">
        <v>4</v>
      </c>
      <c r="DS66">
        <v>4</v>
      </c>
      <c r="DT66">
        <v>5</v>
      </c>
      <c r="DU66">
        <v>5</v>
      </c>
      <c r="DV66">
        <v>5</v>
      </c>
      <c r="DW66">
        <v>1</v>
      </c>
      <c r="DX66">
        <v>5</v>
      </c>
      <c r="DY66">
        <v>3</v>
      </c>
      <c r="DZ66">
        <v>5</v>
      </c>
      <c r="EA66">
        <v>0</v>
      </c>
      <c r="ED66">
        <v>4</v>
      </c>
      <c r="EE66">
        <v>4</v>
      </c>
      <c r="EF66">
        <v>4</v>
      </c>
      <c r="EG66">
        <v>4</v>
      </c>
      <c r="EH66">
        <v>1</v>
      </c>
      <c r="EI66">
        <v>2</v>
      </c>
      <c r="EJ66">
        <v>5</v>
      </c>
      <c r="EK66">
        <v>3</v>
      </c>
      <c r="EL66">
        <v>3</v>
      </c>
      <c r="EM66">
        <v>4</v>
      </c>
      <c r="EN66">
        <v>5</v>
      </c>
      <c r="EQ66">
        <v>5</v>
      </c>
      <c r="ER66">
        <v>1</v>
      </c>
      <c r="ES66">
        <v>1</v>
      </c>
      <c r="ET66">
        <v>2</v>
      </c>
      <c r="EU66">
        <v>5</v>
      </c>
      <c r="EV66">
        <v>1</v>
      </c>
      <c r="EW66">
        <v>1</v>
      </c>
      <c r="EX66">
        <v>3</v>
      </c>
      <c r="EY66">
        <v>1</v>
      </c>
      <c r="EZ66">
        <v>1</v>
      </c>
      <c r="FA66">
        <v>1</v>
      </c>
      <c r="FL66">
        <v>0.44866071428571425</v>
      </c>
      <c r="FM66">
        <v>0.57637987012987013</v>
      </c>
      <c r="FN66">
        <v>0.4121164021164021</v>
      </c>
      <c r="FO66">
        <v>0.66273809523809524</v>
      </c>
      <c r="FP66">
        <v>0.52497377044252036</v>
      </c>
      <c r="FR66">
        <v>0.42752100840336132</v>
      </c>
      <c r="FS66">
        <v>0.53024891774891769</v>
      </c>
      <c r="FT66">
        <v>0.40841269841269839</v>
      </c>
      <c r="FU66">
        <v>0.61425324675324666</v>
      </c>
      <c r="FV66">
        <v>0.49510896782955599</v>
      </c>
    </row>
  </sheetData>
  <sortState xmlns:xlrd2="http://schemas.microsoft.com/office/spreadsheetml/2017/richdata2" ref="A1:H62">
    <sortCondition ref="A1:A6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CAE4-E44F-F843-A823-9EA9E5D9E760}">
  <dimension ref="A1:U63"/>
  <sheetViews>
    <sheetView workbookViewId="0">
      <selection activeCell="F29" sqref="F29"/>
    </sheetView>
  </sheetViews>
  <sheetFormatPr baseColWidth="10" defaultColWidth="11.33203125" defaultRowHeight="15" x14ac:dyDescent="0.2"/>
  <cols>
    <col min="1" max="1" width="8.83203125"/>
    <col min="2" max="3" width="16.33203125" customWidth="1"/>
    <col min="4" max="5" width="13.83203125" customWidth="1"/>
    <col min="6" max="6" width="16.1640625" customWidth="1"/>
    <col min="8" max="8" width="8.83203125"/>
    <col min="16" max="16" width="16" customWidth="1"/>
    <col min="17" max="17" width="11.33203125" customWidth="1"/>
    <col min="18" max="18" width="15.6640625" customWidth="1"/>
    <col min="19" max="21" width="8.83203125"/>
  </cols>
  <sheetData>
    <row r="1" spans="1:21" x14ac:dyDescent="0.2">
      <c r="L1">
        <v>3</v>
      </c>
    </row>
    <row r="2" spans="1:21" x14ac:dyDescent="0.2">
      <c r="B2" t="s">
        <v>6</v>
      </c>
      <c r="D2" t="s">
        <v>149</v>
      </c>
      <c r="L2">
        <v>4</v>
      </c>
      <c r="P2" t="s">
        <v>7</v>
      </c>
      <c r="T2" t="s">
        <v>8</v>
      </c>
    </row>
    <row r="3" spans="1:21" x14ac:dyDescent="0.2">
      <c r="A3" t="s">
        <v>22</v>
      </c>
      <c r="B3" t="s">
        <v>24</v>
      </c>
      <c r="D3" t="s">
        <v>150</v>
      </c>
      <c r="F3" t="s">
        <v>25</v>
      </c>
      <c r="L3">
        <v>6</v>
      </c>
      <c r="P3" t="s">
        <v>26</v>
      </c>
      <c r="Q3" t="s">
        <v>8</v>
      </c>
      <c r="R3" t="s">
        <v>27</v>
      </c>
      <c r="S3" t="s">
        <v>8</v>
      </c>
      <c r="T3" t="s">
        <v>28</v>
      </c>
      <c r="U3" t="s">
        <v>29</v>
      </c>
    </row>
    <row r="4" spans="1:21" x14ac:dyDescent="0.2">
      <c r="A4" t="s">
        <v>71</v>
      </c>
      <c r="B4" t="s">
        <v>74</v>
      </c>
      <c r="C4" t="s">
        <v>351</v>
      </c>
      <c r="D4" t="s">
        <v>74</v>
      </c>
      <c r="F4" t="s">
        <v>75</v>
      </c>
      <c r="H4" t="s">
        <v>69</v>
      </c>
      <c r="L4">
        <v>10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 t="s">
        <v>81</v>
      </c>
    </row>
    <row r="5" spans="1:21" x14ac:dyDescent="0.2">
      <c r="A5">
        <v>45387</v>
      </c>
      <c r="B5" s="31">
        <v>45859</v>
      </c>
      <c r="D5" t="s">
        <v>204</v>
      </c>
      <c r="F5">
        <v>36</v>
      </c>
      <c r="H5">
        <v>1</v>
      </c>
      <c r="I5">
        <f>COUNT(H5:H7,H9,H11,H15,H16,H18:H22,H24:H31,H33:H34,H37,H39:H43,H46,H49,H52:H60)</f>
        <v>39</v>
      </c>
      <c r="L5">
        <v>12</v>
      </c>
      <c r="P5">
        <v>0</v>
      </c>
      <c r="Q5">
        <v>0</v>
      </c>
      <c r="R5">
        <v>1</v>
      </c>
      <c r="S5">
        <v>2</v>
      </c>
      <c r="T5">
        <v>1</v>
      </c>
      <c r="U5">
        <v>0</v>
      </c>
    </row>
    <row r="6" spans="1:21" x14ac:dyDescent="0.2">
      <c r="A6">
        <v>45387</v>
      </c>
      <c r="B6" t="s">
        <v>208</v>
      </c>
      <c r="D6" t="s">
        <v>209</v>
      </c>
      <c r="F6">
        <v>12</v>
      </c>
      <c r="H6">
        <v>1</v>
      </c>
      <c r="I6">
        <f>COUNT(H8,H10,H12:H14,H17,H32,H35:H36,H38,H45,H47,H48,H50:H51)</f>
        <v>15</v>
      </c>
      <c r="L6">
        <v>12</v>
      </c>
      <c r="M6">
        <f>AVERAGE(L1:L54)</f>
        <v>39.74074074074074</v>
      </c>
      <c r="N6">
        <f>M6/12</f>
        <v>3.3117283950617282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</row>
    <row r="7" spans="1:21" x14ac:dyDescent="0.2">
      <c r="A7">
        <v>45419</v>
      </c>
      <c r="B7" t="s">
        <v>200</v>
      </c>
      <c r="D7" t="s">
        <v>201</v>
      </c>
      <c r="F7">
        <v>72</v>
      </c>
      <c r="H7">
        <v>1</v>
      </c>
      <c r="L7">
        <v>12</v>
      </c>
      <c r="P7">
        <v>0</v>
      </c>
      <c r="Q7">
        <v>0</v>
      </c>
      <c r="R7">
        <v>1</v>
      </c>
      <c r="S7">
        <v>1</v>
      </c>
      <c r="T7">
        <v>0</v>
      </c>
      <c r="U7">
        <v>1</v>
      </c>
    </row>
    <row r="8" spans="1:21" x14ac:dyDescent="0.2">
      <c r="A8">
        <v>45441</v>
      </c>
      <c r="B8" t="s">
        <v>212</v>
      </c>
      <c r="D8" t="s">
        <v>213</v>
      </c>
      <c r="F8">
        <v>42</v>
      </c>
      <c r="H8">
        <v>2</v>
      </c>
      <c r="L8">
        <v>12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</row>
    <row r="9" spans="1:21" x14ac:dyDescent="0.2">
      <c r="A9">
        <v>45441</v>
      </c>
      <c r="B9" t="s">
        <v>216</v>
      </c>
      <c r="D9" t="s">
        <v>217</v>
      </c>
      <c r="F9">
        <v>12</v>
      </c>
      <c r="H9">
        <v>1</v>
      </c>
      <c r="L9">
        <v>12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</row>
    <row r="10" spans="1:21" x14ac:dyDescent="0.2">
      <c r="A10">
        <v>45443</v>
      </c>
      <c r="B10" t="s">
        <v>220</v>
      </c>
      <c r="D10" t="s">
        <v>221</v>
      </c>
      <c r="F10">
        <v>16</v>
      </c>
      <c r="H10">
        <v>2</v>
      </c>
      <c r="J10" s="14"/>
      <c r="K10" s="14"/>
      <c r="L10">
        <v>12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">
      <c r="A11">
        <v>45447</v>
      </c>
      <c r="B11" t="s">
        <v>224</v>
      </c>
      <c r="D11" t="s">
        <v>225</v>
      </c>
      <c r="F11">
        <v>60</v>
      </c>
      <c r="H11">
        <v>1</v>
      </c>
      <c r="J11" s="14"/>
      <c r="L11">
        <v>12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</row>
    <row r="12" spans="1:21" x14ac:dyDescent="0.2">
      <c r="A12">
        <v>45454</v>
      </c>
      <c r="B12" t="s">
        <v>216</v>
      </c>
      <c r="D12" t="s">
        <v>217</v>
      </c>
      <c r="F12">
        <v>18</v>
      </c>
      <c r="H12">
        <v>2</v>
      </c>
      <c r="L12">
        <v>12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">
      <c r="A13">
        <v>45454</v>
      </c>
      <c r="B13" t="s">
        <v>230</v>
      </c>
      <c r="D13" t="s">
        <v>231</v>
      </c>
      <c r="F13">
        <v>168</v>
      </c>
      <c r="H13">
        <v>2</v>
      </c>
      <c r="L13">
        <v>12</v>
      </c>
      <c r="P13">
        <v>0</v>
      </c>
      <c r="Q13">
        <v>0</v>
      </c>
      <c r="R13">
        <v>1</v>
      </c>
      <c r="S13">
        <v>2</v>
      </c>
      <c r="T13">
        <v>1</v>
      </c>
      <c r="U13">
        <v>0</v>
      </c>
    </row>
    <row r="14" spans="1:21" x14ac:dyDescent="0.2">
      <c r="A14">
        <v>45457</v>
      </c>
      <c r="B14" t="s">
        <v>220</v>
      </c>
      <c r="D14" t="s">
        <v>234</v>
      </c>
      <c r="F14">
        <v>24</v>
      </c>
      <c r="H14">
        <v>2</v>
      </c>
      <c r="L14">
        <v>12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">
      <c r="A15">
        <v>45457</v>
      </c>
      <c r="B15" t="s">
        <v>237</v>
      </c>
      <c r="D15" t="s">
        <v>238</v>
      </c>
      <c r="F15">
        <v>3</v>
      </c>
      <c r="H15">
        <v>1</v>
      </c>
      <c r="L15">
        <v>12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>
        <v>45461</v>
      </c>
      <c r="B16" t="s">
        <v>241</v>
      </c>
      <c r="D16" t="s">
        <v>242</v>
      </c>
      <c r="F16">
        <v>24</v>
      </c>
      <c r="H16">
        <v>1</v>
      </c>
      <c r="L16">
        <v>12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</row>
    <row r="17" spans="1:21" x14ac:dyDescent="0.2">
      <c r="A17">
        <v>45464</v>
      </c>
      <c r="B17" t="s">
        <v>248</v>
      </c>
      <c r="D17" t="s">
        <v>249</v>
      </c>
      <c r="F17">
        <v>48</v>
      </c>
      <c r="H17">
        <v>2</v>
      </c>
      <c r="L17">
        <v>12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</row>
    <row r="18" spans="1:21" x14ac:dyDescent="0.2">
      <c r="A18">
        <v>45463</v>
      </c>
      <c r="B18" t="s">
        <v>252</v>
      </c>
      <c r="D18" t="s">
        <v>253</v>
      </c>
      <c r="F18">
        <v>12</v>
      </c>
      <c r="H18">
        <v>1</v>
      </c>
      <c r="L18">
        <v>16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</row>
    <row r="19" spans="1:21" x14ac:dyDescent="0.2">
      <c r="A19">
        <v>45496</v>
      </c>
      <c r="B19" t="s">
        <v>256</v>
      </c>
      <c r="D19" t="s">
        <v>238</v>
      </c>
      <c r="F19">
        <v>12</v>
      </c>
      <c r="H19">
        <v>1</v>
      </c>
      <c r="L19">
        <v>18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">
      <c r="A20">
        <v>45496</v>
      </c>
      <c r="B20" t="s">
        <v>253</v>
      </c>
      <c r="D20" t="s">
        <v>259</v>
      </c>
      <c r="F20">
        <v>12</v>
      </c>
      <c r="H20">
        <v>1</v>
      </c>
      <c r="L20">
        <v>18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>
        <v>45503</v>
      </c>
      <c r="B21" t="s">
        <v>262</v>
      </c>
      <c r="D21" t="s">
        <v>263</v>
      </c>
      <c r="F21">
        <v>12</v>
      </c>
      <c r="H21">
        <v>1</v>
      </c>
      <c r="L21">
        <v>18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>
        <v>45503</v>
      </c>
      <c r="B22" t="s">
        <v>266</v>
      </c>
      <c r="D22" t="s">
        <v>267</v>
      </c>
      <c r="F22">
        <v>132</v>
      </c>
      <c r="H22">
        <v>1</v>
      </c>
      <c r="L22">
        <v>24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</row>
    <row r="23" spans="1:21" x14ac:dyDescent="0.2">
      <c r="A23" s="13"/>
      <c r="B23" s="13"/>
      <c r="C23" s="13"/>
      <c r="D23" s="13"/>
      <c r="E23" s="13"/>
      <c r="F23" s="13"/>
      <c r="H23" s="13"/>
      <c r="L23">
        <v>24</v>
      </c>
      <c r="P23" s="13"/>
      <c r="Q23" s="13"/>
      <c r="R23" s="13"/>
      <c r="S23" s="13"/>
      <c r="T23" s="13"/>
      <c r="U23" s="13"/>
    </row>
    <row r="24" spans="1:21" x14ac:dyDescent="0.2">
      <c r="A24">
        <v>44964</v>
      </c>
      <c r="B24" t="s">
        <v>271</v>
      </c>
      <c r="D24" t="s">
        <v>252</v>
      </c>
      <c r="F24">
        <v>31</v>
      </c>
      <c r="H24">
        <v>1</v>
      </c>
      <c r="L24">
        <v>24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">
      <c r="A25">
        <v>44988</v>
      </c>
      <c r="B25" t="s">
        <v>273</v>
      </c>
      <c r="D25" t="s">
        <v>271</v>
      </c>
      <c r="F25">
        <v>24</v>
      </c>
      <c r="H25">
        <v>1</v>
      </c>
      <c r="L25">
        <v>24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111</v>
      </c>
    </row>
    <row r="26" spans="1:21" x14ac:dyDescent="0.2">
      <c r="A26">
        <v>45027</v>
      </c>
      <c r="B26" t="s">
        <v>276</v>
      </c>
      <c r="D26" t="s">
        <v>277</v>
      </c>
      <c r="F26">
        <v>12</v>
      </c>
      <c r="H26">
        <v>1</v>
      </c>
      <c r="L26">
        <v>24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>
        <v>45006</v>
      </c>
      <c r="B27" t="s">
        <v>204</v>
      </c>
      <c r="D27" t="s">
        <v>249</v>
      </c>
      <c r="F27">
        <v>12</v>
      </c>
      <c r="H27">
        <v>1</v>
      </c>
      <c r="L27">
        <v>24</v>
      </c>
      <c r="P27">
        <v>1</v>
      </c>
      <c r="Q27">
        <v>3</v>
      </c>
      <c r="R27">
        <v>1</v>
      </c>
      <c r="S27">
        <v>1</v>
      </c>
      <c r="T27">
        <v>0</v>
      </c>
      <c r="U27">
        <v>0</v>
      </c>
    </row>
    <row r="28" spans="1:21" x14ac:dyDescent="0.2">
      <c r="A28">
        <v>44939</v>
      </c>
      <c r="B28" t="s">
        <v>276</v>
      </c>
      <c r="D28" t="s">
        <v>277</v>
      </c>
      <c r="F28">
        <v>24</v>
      </c>
      <c r="H28">
        <v>1</v>
      </c>
      <c r="L28">
        <v>24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">
      <c r="A29">
        <v>45139</v>
      </c>
      <c r="B29" t="s">
        <v>281</v>
      </c>
      <c r="D29" t="s">
        <v>282</v>
      </c>
      <c r="F29">
        <v>120</v>
      </c>
      <c r="H29">
        <v>1</v>
      </c>
      <c r="L29">
        <v>24</v>
      </c>
      <c r="P29">
        <v>0</v>
      </c>
      <c r="Q29">
        <v>0</v>
      </c>
      <c r="R29">
        <v>1</v>
      </c>
      <c r="S29">
        <v>2</v>
      </c>
      <c r="T29">
        <v>1</v>
      </c>
      <c r="U29">
        <v>0</v>
      </c>
    </row>
    <row r="30" spans="1:21" x14ac:dyDescent="0.2">
      <c r="A30">
        <v>45093</v>
      </c>
      <c r="B30" t="s">
        <v>284</v>
      </c>
      <c r="D30" t="s">
        <v>271</v>
      </c>
      <c r="F30">
        <v>48</v>
      </c>
      <c r="H30">
        <v>1</v>
      </c>
      <c r="L30">
        <v>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">
      <c r="A31">
        <v>45153</v>
      </c>
      <c r="B31" t="s">
        <v>286</v>
      </c>
      <c r="D31" t="s">
        <v>220</v>
      </c>
      <c r="F31">
        <v>12</v>
      </c>
      <c r="H31">
        <v>1</v>
      </c>
      <c r="L31">
        <v>24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">
      <c r="A32">
        <v>45100</v>
      </c>
      <c r="B32" t="s">
        <v>288</v>
      </c>
      <c r="D32" s="32" t="s">
        <v>352</v>
      </c>
      <c r="F32">
        <v>72</v>
      </c>
      <c r="H32">
        <v>2</v>
      </c>
      <c r="L32">
        <v>24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</row>
    <row r="33" spans="1:21" x14ac:dyDescent="0.2">
      <c r="A33">
        <v>45083</v>
      </c>
      <c r="B33" t="s">
        <v>204</v>
      </c>
      <c r="D33" t="s">
        <v>241</v>
      </c>
      <c r="F33">
        <v>24</v>
      </c>
      <c r="H33">
        <v>1</v>
      </c>
      <c r="L33">
        <v>31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</row>
    <row r="34" spans="1:21" x14ac:dyDescent="0.2">
      <c r="A34">
        <v>45086</v>
      </c>
      <c r="B34" t="s">
        <v>249</v>
      </c>
      <c r="D34" t="s">
        <v>291</v>
      </c>
      <c r="F34">
        <v>18</v>
      </c>
      <c r="H34">
        <v>1</v>
      </c>
      <c r="L34">
        <v>36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</row>
    <row r="35" spans="1:21" x14ac:dyDescent="0.2">
      <c r="A35">
        <v>45090</v>
      </c>
      <c r="B35" t="s">
        <v>111</v>
      </c>
      <c r="D35" t="s">
        <v>216</v>
      </c>
      <c r="F35">
        <v>6</v>
      </c>
      <c r="H35">
        <v>2</v>
      </c>
      <c r="L35">
        <v>36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">
      <c r="A36">
        <v>45090</v>
      </c>
      <c r="B36" t="s">
        <v>294</v>
      </c>
      <c r="D36" t="s">
        <v>200</v>
      </c>
      <c r="F36">
        <v>48</v>
      </c>
      <c r="H36">
        <v>2</v>
      </c>
      <c r="L36">
        <v>36</v>
      </c>
      <c r="P36">
        <v>0</v>
      </c>
      <c r="Q36">
        <v>0</v>
      </c>
      <c r="R36">
        <v>1</v>
      </c>
      <c r="S36">
        <v>1</v>
      </c>
      <c r="T36">
        <v>1</v>
      </c>
      <c r="U36">
        <v>0</v>
      </c>
    </row>
    <row r="37" spans="1:21" x14ac:dyDescent="0.2">
      <c r="A37">
        <v>45244</v>
      </c>
      <c r="B37" t="s">
        <v>296</v>
      </c>
      <c r="D37" t="s">
        <v>252</v>
      </c>
      <c r="F37">
        <v>12</v>
      </c>
      <c r="H37">
        <v>1</v>
      </c>
      <c r="L37">
        <v>36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">
      <c r="A38">
        <v>45195</v>
      </c>
      <c r="B38" t="s">
        <v>298</v>
      </c>
      <c r="D38" t="s">
        <v>299</v>
      </c>
      <c r="F38">
        <v>132</v>
      </c>
      <c r="H38">
        <v>2</v>
      </c>
      <c r="L38">
        <v>42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</row>
    <row r="39" spans="1:21" x14ac:dyDescent="0.2">
      <c r="A39">
        <v>45251</v>
      </c>
      <c r="B39" t="s">
        <v>249</v>
      </c>
      <c r="D39" t="s">
        <v>242</v>
      </c>
      <c r="F39">
        <v>24</v>
      </c>
      <c r="H39">
        <v>1</v>
      </c>
      <c r="L39">
        <v>48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">
      <c r="A40">
        <v>45223</v>
      </c>
      <c r="B40" t="s">
        <v>302</v>
      </c>
      <c r="D40" t="s">
        <v>303</v>
      </c>
      <c r="F40">
        <v>72</v>
      </c>
      <c r="H40">
        <v>1</v>
      </c>
      <c r="L40">
        <v>48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">
      <c r="A41">
        <v>45237</v>
      </c>
      <c r="B41" t="s">
        <v>249</v>
      </c>
      <c r="D41" t="s">
        <v>242</v>
      </c>
      <c r="F41">
        <v>12</v>
      </c>
      <c r="H41">
        <v>1</v>
      </c>
      <c r="L41">
        <v>48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">
      <c r="A42" s="28">
        <v>45247</v>
      </c>
      <c r="B42" t="s">
        <v>309</v>
      </c>
      <c r="D42" t="s">
        <v>204</v>
      </c>
      <c r="F42">
        <v>24</v>
      </c>
      <c r="H42">
        <v>1</v>
      </c>
      <c r="L42">
        <v>48</v>
      </c>
      <c r="P42">
        <v>0</v>
      </c>
      <c r="Q42">
        <v>0</v>
      </c>
      <c r="R42">
        <v>1</v>
      </c>
      <c r="S42">
        <v>2</v>
      </c>
      <c r="T42">
        <v>0</v>
      </c>
      <c r="U42">
        <v>0</v>
      </c>
    </row>
    <row r="43" spans="1:21" x14ac:dyDescent="0.2">
      <c r="A43">
        <v>45233</v>
      </c>
      <c r="B43" t="s">
        <v>311</v>
      </c>
      <c r="D43" t="s">
        <v>312</v>
      </c>
      <c r="F43">
        <v>96</v>
      </c>
      <c r="H43">
        <v>1</v>
      </c>
      <c r="L43">
        <v>60</v>
      </c>
      <c r="P43">
        <v>0</v>
      </c>
      <c r="Q43">
        <v>0</v>
      </c>
      <c r="R43">
        <v>1</v>
      </c>
      <c r="S43">
        <v>2</v>
      </c>
      <c r="T43">
        <v>0</v>
      </c>
      <c r="U43">
        <v>0</v>
      </c>
    </row>
    <row r="44" spans="1:21" x14ac:dyDescent="0.2">
      <c r="A44">
        <v>45261</v>
      </c>
      <c r="B44" s="13"/>
      <c r="C44" s="13"/>
      <c r="D44" s="13"/>
      <c r="E44" s="13"/>
      <c r="F44" s="13"/>
      <c r="H44" s="13"/>
      <c r="L44">
        <v>60</v>
      </c>
      <c r="P44" s="13"/>
      <c r="Q44" s="13"/>
      <c r="R44" s="13"/>
      <c r="S44" s="13"/>
      <c r="T44" s="13"/>
      <c r="U44" s="13"/>
    </row>
    <row r="45" spans="1:21" x14ac:dyDescent="0.2">
      <c r="A45" s="29">
        <v>45184</v>
      </c>
      <c r="B45" t="s">
        <v>316</v>
      </c>
      <c r="D45" t="s">
        <v>242</v>
      </c>
      <c r="F45">
        <v>4</v>
      </c>
      <c r="H45">
        <v>2</v>
      </c>
      <c r="L45">
        <v>72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">
      <c r="A46" s="13"/>
      <c r="B46" t="s">
        <v>318</v>
      </c>
      <c r="D46" t="s">
        <v>212</v>
      </c>
      <c r="F46">
        <v>18</v>
      </c>
      <c r="H46">
        <v>1</v>
      </c>
      <c r="L46">
        <v>72</v>
      </c>
      <c r="P46">
        <v>0</v>
      </c>
      <c r="Q46">
        <v>0</v>
      </c>
      <c r="R46">
        <v>1</v>
      </c>
      <c r="S46">
        <v>1</v>
      </c>
      <c r="T46">
        <v>1</v>
      </c>
      <c r="U46">
        <v>0</v>
      </c>
    </row>
    <row r="47" spans="1:21" x14ac:dyDescent="0.2">
      <c r="A47">
        <v>44988</v>
      </c>
      <c r="B47" t="s">
        <v>320</v>
      </c>
      <c r="D47" t="s">
        <v>321</v>
      </c>
      <c r="F47">
        <v>24</v>
      </c>
      <c r="H47">
        <v>2</v>
      </c>
      <c r="L47">
        <v>72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</row>
    <row r="48" spans="1:21" x14ac:dyDescent="0.2">
      <c r="A48">
        <v>44992</v>
      </c>
      <c r="B48" t="s">
        <v>323</v>
      </c>
      <c r="D48" t="s">
        <v>248</v>
      </c>
      <c r="F48">
        <v>24</v>
      </c>
      <c r="H48">
        <v>2</v>
      </c>
      <c r="L48">
        <v>96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</row>
    <row r="49" spans="1:21" x14ac:dyDescent="0.2">
      <c r="A49">
        <v>44960</v>
      </c>
      <c r="B49" t="s">
        <v>204</v>
      </c>
      <c r="D49" t="s">
        <v>241</v>
      </c>
      <c r="F49">
        <v>10</v>
      </c>
      <c r="H49">
        <v>1</v>
      </c>
      <c r="L49">
        <v>108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111</v>
      </c>
    </row>
    <row r="50" spans="1:21" x14ac:dyDescent="0.2">
      <c r="A50">
        <v>44992</v>
      </c>
      <c r="B50" t="s">
        <v>328</v>
      </c>
      <c r="D50" t="s">
        <v>213</v>
      </c>
      <c r="F50">
        <v>24</v>
      </c>
      <c r="H50">
        <v>2</v>
      </c>
      <c r="L50">
        <v>120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</row>
    <row r="51" spans="1:21" x14ac:dyDescent="0.2">
      <c r="A51">
        <v>44964</v>
      </c>
      <c r="B51" t="s">
        <v>224</v>
      </c>
      <c r="D51" t="s">
        <v>330</v>
      </c>
      <c r="F51">
        <v>48</v>
      </c>
      <c r="H51">
        <v>2</v>
      </c>
      <c r="L51">
        <v>132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</row>
    <row r="52" spans="1:21" x14ac:dyDescent="0.2">
      <c r="A52" s="28">
        <v>44939</v>
      </c>
      <c r="B52" t="s">
        <v>332</v>
      </c>
      <c r="D52" t="s">
        <v>333</v>
      </c>
      <c r="F52">
        <v>108</v>
      </c>
      <c r="H52">
        <v>1</v>
      </c>
      <c r="L52">
        <v>132</v>
      </c>
      <c r="P52">
        <v>1</v>
      </c>
      <c r="Q52">
        <v>6</v>
      </c>
      <c r="R52">
        <v>1</v>
      </c>
      <c r="S52">
        <v>1</v>
      </c>
      <c r="T52">
        <v>1</v>
      </c>
      <c r="U52">
        <v>1</v>
      </c>
    </row>
    <row r="53" spans="1:21" x14ac:dyDescent="0.2">
      <c r="A53">
        <v>45086</v>
      </c>
      <c r="B53" t="s">
        <v>323</v>
      </c>
      <c r="D53" t="s">
        <v>212</v>
      </c>
      <c r="F53">
        <v>36</v>
      </c>
      <c r="H53">
        <v>1</v>
      </c>
      <c r="L53">
        <v>132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</row>
    <row r="54" spans="1:21" x14ac:dyDescent="0.2">
      <c r="A54">
        <v>45139</v>
      </c>
      <c r="B54" t="s">
        <v>336</v>
      </c>
      <c r="D54" t="s">
        <v>337</v>
      </c>
      <c r="F54">
        <v>36</v>
      </c>
      <c r="H54">
        <v>1</v>
      </c>
      <c r="L54">
        <v>168</v>
      </c>
      <c r="M54">
        <f>L54/12</f>
        <v>14</v>
      </c>
      <c r="P54">
        <v>0</v>
      </c>
      <c r="Q54">
        <v>0</v>
      </c>
      <c r="R54">
        <v>1</v>
      </c>
      <c r="S54">
        <v>3</v>
      </c>
      <c r="T54">
        <v>1</v>
      </c>
      <c r="U54">
        <v>0</v>
      </c>
    </row>
    <row r="55" spans="1:21" x14ac:dyDescent="0.2">
      <c r="A55">
        <v>45146</v>
      </c>
      <c r="B55" t="s">
        <v>339</v>
      </c>
      <c r="D55" t="s">
        <v>340</v>
      </c>
      <c r="F55">
        <v>36</v>
      </c>
      <c r="H55">
        <v>1</v>
      </c>
      <c r="L55" t="s">
        <v>75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</row>
    <row r="56" spans="1:21" x14ac:dyDescent="0.2">
      <c r="A56">
        <v>45093</v>
      </c>
      <c r="B56" t="s">
        <v>252</v>
      </c>
      <c r="D56" t="s">
        <v>234</v>
      </c>
      <c r="F56">
        <v>12</v>
      </c>
      <c r="H56">
        <v>1</v>
      </c>
      <c r="L56" t="s">
        <v>25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">
      <c r="A57">
        <v>45093</v>
      </c>
      <c r="B57" t="s">
        <v>328</v>
      </c>
      <c r="D57" t="s">
        <v>213</v>
      </c>
      <c r="F57">
        <v>24</v>
      </c>
      <c r="H57">
        <v>1</v>
      </c>
      <c r="L57" s="13"/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">
      <c r="A58">
        <v>45160</v>
      </c>
      <c r="B58" t="s">
        <v>344</v>
      </c>
      <c r="D58" t="s">
        <v>345</v>
      </c>
      <c r="F58">
        <v>132</v>
      </c>
      <c r="H58">
        <v>1</v>
      </c>
      <c r="L58" s="13"/>
      <c r="P58">
        <v>0</v>
      </c>
      <c r="Q58">
        <v>0</v>
      </c>
      <c r="R58">
        <v>1</v>
      </c>
      <c r="S58">
        <v>1</v>
      </c>
      <c r="T58">
        <v>0</v>
      </c>
      <c r="U58">
        <v>1</v>
      </c>
    </row>
    <row r="59" spans="1:21" x14ac:dyDescent="0.2">
      <c r="A59">
        <v>45244</v>
      </c>
      <c r="B59" t="s">
        <v>347</v>
      </c>
      <c r="D59" t="s">
        <v>348</v>
      </c>
      <c r="F59">
        <v>60</v>
      </c>
      <c r="H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</row>
    <row r="60" spans="1:21" x14ac:dyDescent="0.2">
      <c r="A60">
        <v>45184</v>
      </c>
      <c r="B60" t="s">
        <v>212</v>
      </c>
      <c r="D60" t="s">
        <v>350</v>
      </c>
      <c r="F60">
        <v>12</v>
      </c>
      <c r="H60">
        <v>1</v>
      </c>
      <c r="P60">
        <v>0</v>
      </c>
      <c r="Q60">
        <v>0</v>
      </c>
      <c r="R60">
        <v>1</v>
      </c>
      <c r="S60">
        <v>1</v>
      </c>
      <c r="T60">
        <v>0</v>
      </c>
      <c r="U60">
        <v>0</v>
      </c>
    </row>
    <row r="61" spans="1:21" x14ac:dyDescent="0.2">
      <c r="A61">
        <v>45223</v>
      </c>
      <c r="R61">
        <f>SUM(R5:R60)</f>
        <v>21</v>
      </c>
      <c r="S61" s="31" t="s">
        <v>353</v>
      </c>
      <c r="U61">
        <f>SUM(U1:U60)</f>
        <v>14</v>
      </c>
    </row>
    <row r="62" spans="1:21" x14ac:dyDescent="0.2">
      <c r="A62">
        <v>45219</v>
      </c>
      <c r="S62" t="s">
        <v>354</v>
      </c>
    </row>
    <row r="63" spans="1:21" x14ac:dyDescent="0.2">
      <c r="A63">
        <v>45226</v>
      </c>
      <c r="S63" t="s">
        <v>355</v>
      </c>
    </row>
  </sheetData>
  <sortState xmlns:xlrd2="http://schemas.microsoft.com/office/spreadsheetml/2017/richdata2" ref="L1:L58">
    <sortCondition ref="L1:L5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ACD3-107B-044C-9CB3-F556866DEB4D}">
  <dimension ref="A1:W58"/>
  <sheetViews>
    <sheetView workbookViewId="0">
      <selection activeCell="I3" sqref="I3:M56"/>
    </sheetView>
  </sheetViews>
  <sheetFormatPr baseColWidth="10" defaultColWidth="11.33203125" defaultRowHeight="15" x14ac:dyDescent="0.2"/>
  <cols>
    <col min="4" max="23" width="8.83203125"/>
  </cols>
  <sheetData>
    <row r="1" spans="1:23" x14ac:dyDescent="0.2">
      <c r="A1" t="s">
        <v>356</v>
      </c>
      <c r="C1" t="s">
        <v>15</v>
      </c>
      <c r="D1" t="s">
        <v>16</v>
      </c>
      <c r="I1" t="s">
        <v>19</v>
      </c>
      <c r="N1" t="s">
        <v>17</v>
      </c>
      <c r="S1" t="s">
        <v>187</v>
      </c>
    </row>
    <row r="2" spans="1:23" x14ac:dyDescent="0.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</row>
    <row r="3" spans="1:23" x14ac:dyDescent="0.2">
      <c r="A3" t="s">
        <v>101</v>
      </c>
      <c r="B3" t="s">
        <v>268</v>
      </c>
      <c r="C3" t="s">
        <v>269</v>
      </c>
      <c r="D3">
        <v>0.22222222222222221</v>
      </c>
      <c r="E3" t="s">
        <v>111</v>
      </c>
      <c r="F3">
        <v>8.3333333333333329E-2</v>
      </c>
      <c r="G3">
        <v>0.5625</v>
      </c>
      <c r="H3">
        <v>0.70238095238095222</v>
      </c>
      <c r="I3">
        <v>0.41388888888888892</v>
      </c>
      <c r="J3">
        <v>0.37407407407407406</v>
      </c>
      <c r="K3">
        <v>0</v>
      </c>
      <c r="L3">
        <v>0.17592592592592593</v>
      </c>
      <c r="M3">
        <v>0.47142857142857136</v>
      </c>
      <c r="N3">
        <v>0.43181818181818182</v>
      </c>
      <c r="O3" t="s">
        <v>111</v>
      </c>
      <c r="P3">
        <v>0.3214285714285714</v>
      </c>
      <c r="Q3">
        <v>0.52083333333333326</v>
      </c>
      <c r="R3">
        <v>0.7142857142857143</v>
      </c>
      <c r="S3">
        <v>0.5708333333333333</v>
      </c>
      <c r="T3">
        <v>0.37407407407407406</v>
      </c>
      <c r="U3">
        <v>0</v>
      </c>
      <c r="V3">
        <v>0.375</v>
      </c>
      <c r="W3">
        <v>0.49087301587301591</v>
      </c>
    </row>
    <row r="4" spans="1:23" x14ac:dyDescent="0.2">
      <c r="A4" t="s">
        <v>102</v>
      </c>
      <c r="B4" t="s">
        <v>272</v>
      </c>
      <c r="C4" t="s">
        <v>269</v>
      </c>
      <c r="D4">
        <v>0.22222222222222221</v>
      </c>
      <c r="E4" t="s">
        <v>111</v>
      </c>
      <c r="F4">
        <v>0.25</v>
      </c>
      <c r="G4">
        <v>0.5</v>
      </c>
      <c r="H4">
        <v>0.33730158730158727</v>
      </c>
      <c r="I4">
        <v>0.375</v>
      </c>
      <c r="J4">
        <v>0.37777777777777777</v>
      </c>
      <c r="K4">
        <v>0</v>
      </c>
      <c r="L4">
        <v>0.5</v>
      </c>
      <c r="M4">
        <v>0.48412698412698413</v>
      </c>
      <c r="N4">
        <v>0.29090909090909089</v>
      </c>
      <c r="O4" t="s">
        <v>111</v>
      </c>
      <c r="P4">
        <v>0.10714285714285714</v>
      </c>
      <c r="Q4">
        <v>0.39583333333333331</v>
      </c>
      <c r="R4">
        <v>0.40873015873015878</v>
      </c>
      <c r="S4">
        <v>0.43333333333333335</v>
      </c>
      <c r="T4">
        <v>0.37777777777777777</v>
      </c>
      <c r="U4">
        <v>0</v>
      </c>
      <c r="V4">
        <v>0.63888888888888884</v>
      </c>
      <c r="W4">
        <v>0.64444444444444438</v>
      </c>
    </row>
    <row r="5" spans="1:23" x14ac:dyDescent="0.2">
      <c r="A5" t="s">
        <v>103</v>
      </c>
      <c r="B5" t="s">
        <v>315</v>
      </c>
      <c r="C5" t="s">
        <v>110</v>
      </c>
      <c r="D5">
        <v>0.3888888888888889</v>
      </c>
      <c r="E5" t="s">
        <v>111</v>
      </c>
      <c r="F5">
        <v>0.83333333333333326</v>
      </c>
      <c r="G5">
        <v>0.6875</v>
      </c>
      <c r="H5">
        <v>0.95238095238095222</v>
      </c>
      <c r="I5">
        <v>0.66944444444444451</v>
      </c>
      <c r="J5">
        <v>0.44444444444444448</v>
      </c>
      <c r="K5">
        <v>1</v>
      </c>
      <c r="L5">
        <v>0.37962962962962959</v>
      </c>
      <c r="M5">
        <v>0.87341269841269842</v>
      </c>
      <c r="N5">
        <v>0.7</v>
      </c>
      <c r="O5" t="s">
        <v>111</v>
      </c>
      <c r="P5">
        <v>0.75</v>
      </c>
      <c r="Q5">
        <v>0.70833333333333326</v>
      </c>
      <c r="R5">
        <v>0.77777777777777779</v>
      </c>
      <c r="S5">
        <v>0.8</v>
      </c>
      <c r="T5">
        <v>0.44444444444444448</v>
      </c>
      <c r="U5">
        <v>1</v>
      </c>
      <c r="V5">
        <v>0.88888888888888884</v>
      </c>
      <c r="W5">
        <v>0.794047619047619</v>
      </c>
    </row>
    <row r="6" spans="1:23" x14ac:dyDescent="0.2">
      <c r="A6" t="s">
        <v>105</v>
      </c>
      <c r="B6" t="s">
        <v>317</v>
      </c>
      <c r="C6" t="s">
        <v>110</v>
      </c>
      <c r="D6">
        <v>0.3888888888888889</v>
      </c>
      <c r="E6" t="s">
        <v>111</v>
      </c>
      <c r="F6">
        <v>0.41666666666666663</v>
      </c>
      <c r="G6">
        <v>0.8125</v>
      </c>
      <c r="H6">
        <v>0.76984126984126977</v>
      </c>
      <c r="I6">
        <v>0.7857142857142857</v>
      </c>
      <c r="J6">
        <v>0.40740740740740738</v>
      </c>
      <c r="K6">
        <v>0.5</v>
      </c>
      <c r="L6">
        <v>0.50925925925925919</v>
      </c>
      <c r="M6">
        <v>0.74682539682539684</v>
      </c>
      <c r="N6">
        <v>0.65454545454545454</v>
      </c>
      <c r="O6" t="s">
        <v>111</v>
      </c>
      <c r="P6">
        <v>0.39285714285714285</v>
      </c>
      <c r="Q6">
        <v>0.45833333333333331</v>
      </c>
      <c r="R6">
        <v>0.74603174603174605</v>
      </c>
      <c r="S6">
        <v>0.66666666666666663</v>
      </c>
      <c r="T6">
        <v>0.40740740740740738</v>
      </c>
      <c r="U6">
        <v>0.5</v>
      </c>
      <c r="V6">
        <v>0.88888888888888884</v>
      </c>
      <c r="W6">
        <v>0.68333333333333324</v>
      </c>
    </row>
    <row r="7" spans="1:23" x14ac:dyDescent="0.2">
      <c r="A7" t="s">
        <v>106</v>
      </c>
      <c r="B7" t="s">
        <v>319</v>
      </c>
      <c r="C7" t="s">
        <v>110</v>
      </c>
      <c r="D7">
        <v>0.3888888888888889</v>
      </c>
      <c r="E7" t="s">
        <v>111</v>
      </c>
      <c r="F7">
        <v>0.33333333333333331</v>
      </c>
      <c r="G7">
        <v>0.5625</v>
      </c>
      <c r="H7">
        <v>0.67063492063492058</v>
      </c>
      <c r="I7">
        <v>0.69444444444444442</v>
      </c>
      <c r="J7">
        <v>0.72222222222222232</v>
      </c>
      <c r="K7">
        <v>0.5</v>
      </c>
      <c r="L7">
        <v>0.41666666666666669</v>
      </c>
      <c r="M7">
        <v>0.57658730158730165</v>
      </c>
      <c r="N7">
        <v>0.7</v>
      </c>
      <c r="O7" t="s">
        <v>111</v>
      </c>
      <c r="P7">
        <v>0.42857142857142855</v>
      </c>
      <c r="Q7">
        <v>0.70833333333333326</v>
      </c>
      <c r="R7">
        <v>0.78373015873015872</v>
      </c>
      <c r="S7">
        <v>0.8</v>
      </c>
      <c r="T7">
        <v>0.72222222222222232</v>
      </c>
      <c r="U7">
        <v>0.5</v>
      </c>
      <c r="V7">
        <v>0.33333333333333331</v>
      </c>
      <c r="W7">
        <v>0.64603174603174607</v>
      </c>
    </row>
    <row r="8" spans="1:23" x14ac:dyDescent="0.2">
      <c r="A8" t="s">
        <v>107</v>
      </c>
      <c r="B8" t="s">
        <v>275</v>
      </c>
      <c r="C8" t="s">
        <v>269</v>
      </c>
      <c r="D8">
        <v>0.66666666666666663</v>
      </c>
      <c r="E8" t="s">
        <v>111</v>
      </c>
      <c r="F8">
        <v>0.16666666666666666</v>
      </c>
      <c r="G8">
        <v>0.5625</v>
      </c>
      <c r="H8">
        <v>0.65873015873015872</v>
      </c>
      <c r="I8">
        <v>0.63055555555555554</v>
      </c>
      <c r="J8">
        <v>0.34074074074074073</v>
      </c>
      <c r="K8">
        <v>0</v>
      </c>
      <c r="L8">
        <v>0.56481481481481477</v>
      </c>
      <c r="M8">
        <v>0.60079365079365077</v>
      </c>
      <c r="N8">
        <v>0.51818181818181819</v>
      </c>
      <c r="O8" t="s">
        <v>111</v>
      </c>
      <c r="P8">
        <v>0.21428571428571427</v>
      </c>
      <c r="Q8">
        <v>0</v>
      </c>
      <c r="R8">
        <v>0.28769841269841273</v>
      </c>
      <c r="S8">
        <v>0.64583333333333326</v>
      </c>
      <c r="T8">
        <v>0.34074074074074073</v>
      </c>
      <c r="U8">
        <v>0</v>
      </c>
      <c r="V8">
        <v>0.58333333333333337</v>
      </c>
      <c r="W8">
        <v>0.79007936507936505</v>
      </c>
    </row>
    <row r="9" spans="1:23" x14ac:dyDescent="0.2">
      <c r="A9" t="s">
        <v>108</v>
      </c>
      <c r="B9" t="s">
        <v>278</v>
      </c>
      <c r="C9" t="s">
        <v>269</v>
      </c>
      <c r="D9">
        <v>0</v>
      </c>
      <c r="E9" t="s">
        <v>111</v>
      </c>
      <c r="F9">
        <v>0</v>
      </c>
      <c r="G9">
        <v>0.1875</v>
      </c>
      <c r="H9">
        <v>0.48214285714285721</v>
      </c>
      <c r="I9">
        <v>0</v>
      </c>
      <c r="J9">
        <v>0.30740740740740741</v>
      </c>
      <c r="K9">
        <v>0</v>
      </c>
      <c r="L9">
        <v>0.41666666666666669</v>
      </c>
      <c r="M9">
        <v>0.57857142857142863</v>
      </c>
      <c r="N9">
        <v>0.65454545454545454</v>
      </c>
      <c r="O9" t="s">
        <v>111</v>
      </c>
      <c r="P9">
        <v>7.1428571428571425E-2</v>
      </c>
      <c r="Q9">
        <v>0.39583333333333331</v>
      </c>
      <c r="R9">
        <v>0.50595238095238093</v>
      </c>
      <c r="S9">
        <v>0.65625</v>
      </c>
      <c r="T9">
        <v>0.30740740740740741</v>
      </c>
      <c r="U9">
        <v>0</v>
      </c>
      <c r="V9">
        <v>0.65277777777777768</v>
      </c>
      <c r="W9">
        <v>0.61190476190476184</v>
      </c>
    </row>
    <row r="10" spans="1:23" x14ac:dyDescent="0.2">
      <c r="A10" t="s">
        <v>112</v>
      </c>
      <c r="B10" t="s">
        <v>322</v>
      </c>
      <c r="C10" t="s">
        <v>110</v>
      </c>
      <c r="D10">
        <v>0.41666666666666669</v>
      </c>
      <c r="E10" t="s">
        <v>111</v>
      </c>
      <c r="F10">
        <v>0.83333333333333326</v>
      </c>
      <c r="G10">
        <v>0.5625</v>
      </c>
      <c r="H10">
        <v>0.75198412698412687</v>
      </c>
      <c r="I10">
        <v>0.75</v>
      </c>
      <c r="J10">
        <v>0.53703703703703709</v>
      </c>
      <c r="K10">
        <v>0</v>
      </c>
      <c r="L10">
        <v>0.17592592592592593</v>
      </c>
      <c r="M10">
        <v>0.75674603174603172</v>
      </c>
      <c r="N10">
        <v>0.65454545454545454</v>
      </c>
      <c r="O10" t="s">
        <v>111</v>
      </c>
      <c r="P10">
        <v>0.7142857142857143</v>
      </c>
      <c r="Q10">
        <v>0.83333333333333326</v>
      </c>
      <c r="R10">
        <v>0.86706349206349209</v>
      </c>
      <c r="S10">
        <v>0.75</v>
      </c>
      <c r="T10">
        <v>0.53703703703703709</v>
      </c>
      <c r="U10">
        <v>1</v>
      </c>
      <c r="V10">
        <v>0.88888888888888884</v>
      </c>
      <c r="W10">
        <v>0.68134920634920648</v>
      </c>
    </row>
    <row r="11" spans="1:23" x14ac:dyDescent="0.2">
      <c r="A11" t="s">
        <v>113</v>
      </c>
      <c r="B11" t="s">
        <v>324</v>
      </c>
      <c r="C11" t="s">
        <v>110</v>
      </c>
      <c r="D11">
        <v>0.83333333333333337</v>
      </c>
      <c r="E11" t="s">
        <v>111</v>
      </c>
      <c r="F11">
        <v>0.41666666666666663</v>
      </c>
      <c r="G11">
        <v>0.5625</v>
      </c>
      <c r="H11">
        <v>0.59126984126984128</v>
      </c>
      <c r="I11">
        <v>0.68055555555555558</v>
      </c>
      <c r="J11">
        <v>0.37407407407407406</v>
      </c>
      <c r="K11">
        <v>0.5</v>
      </c>
      <c r="L11">
        <v>0.31944444444444442</v>
      </c>
      <c r="M11">
        <v>0.65</v>
      </c>
      <c r="N11">
        <v>0.49545454545454548</v>
      </c>
      <c r="O11" t="s">
        <v>111</v>
      </c>
      <c r="P11">
        <v>3.5714285714285712E-2</v>
      </c>
      <c r="Q11">
        <v>0.45833333333333331</v>
      </c>
      <c r="R11">
        <v>0.4424603174603175</v>
      </c>
      <c r="S11">
        <v>0.6875</v>
      </c>
      <c r="T11">
        <v>0.37407407407407406</v>
      </c>
      <c r="U11">
        <v>0.5</v>
      </c>
      <c r="V11">
        <v>0.69444444444444431</v>
      </c>
      <c r="W11">
        <v>0.51904761904761909</v>
      </c>
    </row>
    <row r="12" spans="1:23" x14ac:dyDescent="0.2">
      <c r="A12" t="s">
        <v>115</v>
      </c>
      <c r="B12" t="s">
        <v>279</v>
      </c>
      <c r="C12" t="s">
        <v>269</v>
      </c>
      <c r="D12">
        <v>0.66666666666666663</v>
      </c>
      <c r="E12" t="s">
        <v>111</v>
      </c>
      <c r="F12">
        <v>0.58333333333333326</v>
      </c>
      <c r="G12">
        <v>9.375E-2</v>
      </c>
      <c r="H12">
        <v>0.34523809523809518</v>
      </c>
      <c r="I12">
        <v>0.21349206349206351</v>
      </c>
      <c r="J12">
        <v>0.38148148148148148</v>
      </c>
      <c r="K12">
        <v>0.5</v>
      </c>
      <c r="L12">
        <v>0.29629629629629628</v>
      </c>
      <c r="M12">
        <v>0.32777777777777778</v>
      </c>
      <c r="N12">
        <v>0.47272727272727272</v>
      </c>
      <c r="O12" t="s">
        <v>111</v>
      </c>
      <c r="P12">
        <v>0.42857142857142855</v>
      </c>
      <c r="Q12">
        <v>0.58333333333333326</v>
      </c>
      <c r="R12">
        <v>0.3611111111111111</v>
      </c>
      <c r="S12">
        <v>0.8</v>
      </c>
      <c r="T12">
        <v>0.38148148148148148</v>
      </c>
      <c r="U12">
        <v>0.5</v>
      </c>
      <c r="V12">
        <v>0.58333333333333337</v>
      </c>
      <c r="W12">
        <v>0.55555555555555547</v>
      </c>
    </row>
    <row r="13" spans="1:23" x14ac:dyDescent="0.2">
      <c r="A13" t="s">
        <v>116</v>
      </c>
      <c r="B13" t="s">
        <v>327</v>
      </c>
      <c r="C13" t="s">
        <v>110</v>
      </c>
      <c r="D13">
        <v>0.41666666666666669</v>
      </c>
      <c r="E13" t="s">
        <v>111</v>
      </c>
      <c r="F13">
        <v>0.25</v>
      </c>
      <c r="G13">
        <v>0.875</v>
      </c>
      <c r="H13">
        <v>0.95833333333333337</v>
      </c>
      <c r="I13">
        <v>0.69444444444444442</v>
      </c>
      <c r="J13">
        <v>0.57777777777777783</v>
      </c>
      <c r="K13">
        <v>0.5</v>
      </c>
      <c r="L13">
        <v>0.34259259259259256</v>
      </c>
      <c r="M13">
        <v>0.90674603174603163</v>
      </c>
      <c r="N13">
        <v>0.7</v>
      </c>
      <c r="O13" t="s">
        <v>111</v>
      </c>
      <c r="P13">
        <v>0.5357142857142857</v>
      </c>
      <c r="Q13">
        <v>0.83333333333333326</v>
      </c>
      <c r="R13">
        <v>0.8392857142857143</v>
      </c>
      <c r="S13">
        <v>0.8</v>
      </c>
      <c r="T13">
        <v>0.57777777777777783</v>
      </c>
      <c r="U13">
        <v>0.5</v>
      </c>
      <c r="V13">
        <v>0.88888888888888884</v>
      </c>
      <c r="W13">
        <v>0.90714285714285703</v>
      </c>
    </row>
    <row r="14" spans="1:23" x14ac:dyDescent="0.2">
      <c r="A14" t="s">
        <v>117</v>
      </c>
      <c r="B14" t="s">
        <v>280</v>
      </c>
      <c r="C14" t="s">
        <v>269</v>
      </c>
      <c r="D14">
        <v>0</v>
      </c>
      <c r="E14" t="s">
        <v>111</v>
      </c>
      <c r="F14">
        <v>0.41666666666666663</v>
      </c>
      <c r="G14">
        <v>0.46875</v>
      </c>
      <c r="H14">
        <v>0.65873015873015872</v>
      </c>
      <c r="I14">
        <v>0.14166666666666666</v>
      </c>
      <c r="J14">
        <v>0.24444444444444446</v>
      </c>
      <c r="K14">
        <v>0.5</v>
      </c>
      <c r="L14">
        <v>0.25</v>
      </c>
      <c r="M14">
        <v>0.67023809523809519</v>
      </c>
      <c r="N14">
        <v>0.29090909090909089</v>
      </c>
      <c r="O14" t="s">
        <v>111</v>
      </c>
      <c r="P14">
        <v>0.3571428571428571</v>
      </c>
      <c r="Q14">
        <v>0.39583333333333331</v>
      </c>
      <c r="R14">
        <v>0.62103174603174605</v>
      </c>
      <c r="S14">
        <v>0.40625</v>
      </c>
      <c r="T14">
        <v>0.24444444444444446</v>
      </c>
      <c r="U14">
        <v>0.5</v>
      </c>
      <c r="V14">
        <v>0.49999999999999994</v>
      </c>
      <c r="W14">
        <v>0.63650793650793647</v>
      </c>
    </row>
    <row r="15" spans="1:23" x14ac:dyDescent="0.2">
      <c r="A15" t="s">
        <v>118</v>
      </c>
      <c r="B15" t="s">
        <v>329</v>
      </c>
      <c r="C15" t="s">
        <v>110</v>
      </c>
      <c r="D15">
        <v>0.3888888888888889</v>
      </c>
      <c r="E15" t="s">
        <v>111</v>
      </c>
      <c r="F15">
        <v>0.66666666666666663</v>
      </c>
      <c r="G15">
        <v>0.6875</v>
      </c>
      <c r="H15">
        <v>0.78968253968253954</v>
      </c>
      <c r="I15">
        <v>0.72222222222222232</v>
      </c>
      <c r="J15">
        <v>0.47407407407407415</v>
      </c>
      <c r="K15">
        <v>0.5</v>
      </c>
      <c r="L15">
        <v>0.39814814814814814</v>
      </c>
      <c r="M15">
        <v>0.84563492063492063</v>
      </c>
      <c r="N15">
        <v>0.63181818181818183</v>
      </c>
      <c r="O15" t="s">
        <v>111</v>
      </c>
      <c r="P15">
        <v>0.21428571428571427</v>
      </c>
      <c r="Q15">
        <v>0.52083333333333326</v>
      </c>
      <c r="R15">
        <v>0.71031746031746035</v>
      </c>
      <c r="S15">
        <v>0.71875</v>
      </c>
      <c r="T15">
        <v>0.47407407407407415</v>
      </c>
      <c r="U15">
        <v>0.5</v>
      </c>
      <c r="V15">
        <v>0.84722222222222221</v>
      </c>
      <c r="W15">
        <v>0.74246031746031749</v>
      </c>
    </row>
    <row r="16" spans="1:23" x14ac:dyDescent="0.2">
      <c r="A16" t="s">
        <v>119</v>
      </c>
      <c r="B16" t="s">
        <v>283</v>
      </c>
      <c r="C16" t="s">
        <v>269</v>
      </c>
      <c r="D16">
        <v>0.27777777777777779</v>
      </c>
      <c r="E16" t="s">
        <v>111</v>
      </c>
      <c r="F16">
        <v>0.33333333333333331</v>
      </c>
      <c r="G16">
        <v>0.5625</v>
      </c>
      <c r="H16">
        <v>0.50396825396825395</v>
      </c>
      <c r="I16">
        <v>0</v>
      </c>
      <c r="J16">
        <v>0.27407407407407408</v>
      </c>
      <c r="K16">
        <v>0</v>
      </c>
      <c r="L16">
        <v>0</v>
      </c>
      <c r="M16">
        <v>0.24166666666666667</v>
      </c>
      <c r="N16">
        <v>0.51818181818181819</v>
      </c>
      <c r="O16" t="s">
        <v>111</v>
      </c>
      <c r="P16">
        <v>0</v>
      </c>
      <c r="Q16">
        <v>0.375</v>
      </c>
      <c r="R16">
        <v>0.24999999999999997</v>
      </c>
      <c r="S16">
        <v>0.26041666666666663</v>
      </c>
      <c r="T16">
        <v>0.27407407407407408</v>
      </c>
      <c r="U16">
        <v>0.5</v>
      </c>
      <c r="V16">
        <v>0.22222222222222221</v>
      </c>
      <c r="W16">
        <v>0.20158730158730162</v>
      </c>
    </row>
    <row r="17" spans="1:23" x14ac:dyDescent="0.2">
      <c r="A17" t="s">
        <v>120</v>
      </c>
      <c r="B17" t="s">
        <v>285</v>
      </c>
      <c r="C17" t="s">
        <v>269</v>
      </c>
      <c r="D17">
        <v>5.5555555555555552E-2</v>
      </c>
      <c r="E17" t="s">
        <v>111</v>
      </c>
      <c r="F17">
        <v>0.25</v>
      </c>
      <c r="G17">
        <v>0.40625</v>
      </c>
      <c r="H17">
        <v>0.51388888888888895</v>
      </c>
      <c r="I17">
        <v>0.27777777777777779</v>
      </c>
      <c r="J17">
        <v>0.57777777777777783</v>
      </c>
      <c r="K17">
        <v>0.25</v>
      </c>
      <c r="L17">
        <v>0.28240740740740738</v>
      </c>
      <c r="M17">
        <v>0.47936507936507944</v>
      </c>
      <c r="N17">
        <v>0.38181818181818183</v>
      </c>
      <c r="O17" t="s">
        <v>111</v>
      </c>
      <c r="P17">
        <v>0.14285714285714285</v>
      </c>
      <c r="Q17">
        <v>0.58333333333333326</v>
      </c>
      <c r="R17">
        <v>0.66666666666666663</v>
      </c>
      <c r="S17">
        <v>0.19583333333333333</v>
      </c>
      <c r="T17">
        <v>0.57777777777777783</v>
      </c>
      <c r="U17">
        <v>0</v>
      </c>
      <c r="V17">
        <v>0.22222222222222221</v>
      </c>
      <c r="W17">
        <v>0.47301587301587306</v>
      </c>
    </row>
    <row r="18" spans="1:23" x14ac:dyDescent="0.2">
      <c r="A18" t="s">
        <v>121</v>
      </c>
      <c r="B18" t="s">
        <v>331</v>
      </c>
      <c r="C18" t="s">
        <v>110</v>
      </c>
      <c r="D18">
        <v>0.5</v>
      </c>
      <c r="E18" t="s">
        <v>111</v>
      </c>
      <c r="F18">
        <v>0.33333333333333331</v>
      </c>
      <c r="G18">
        <v>0.6875</v>
      </c>
      <c r="H18">
        <v>0.79365079365079361</v>
      </c>
      <c r="I18">
        <v>0.49365079365079362</v>
      </c>
      <c r="J18">
        <v>0.6518518518518519</v>
      </c>
      <c r="K18">
        <v>0</v>
      </c>
      <c r="L18">
        <v>0.52777777777777779</v>
      </c>
      <c r="M18">
        <v>0.81428571428571439</v>
      </c>
      <c r="N18">
        <v>0.51818181818181819</v>
      </c>
      <c r="O18" t="s">
        <v>111</v>
      </c>
      <c r="P18">
        <v>0.4642857142857143</v>
      </c>
      <c r="Q18">
        <v>0.58333333333333326</v>
      </c>
      <c r="R18">
        <v>0.87301587301587302</v>
      </c>
      <c r="S18">
        <v>0.35416666666666663</v>
      </c>
      <c r="T18">
        <v>0.6518518518518519</v>
      </c>
      <c r="U18">
        <v>0</v>
      </c>
      <c r="V18">
        <v>0.55555555555555547</v>
      </c>
      <c r="W18">
        <v>0.90476190476190477</v>
      </c>
    </row>
    <row r="19" spans="1:23" x14ac:dyDescent="0.2">
      <c r="A19" t="s">
        <v>122</v>
      </c>
      <c r="B19" t="s">
        <v>287</v>
      </c>
      <c r="C19" t="s">
        <v>269</v>
      </c>
      <c r="D19">
        <v>0</v>
      </c>
      <c r="E19" t="s">
        <v>111</v>
      </c>
      <c r="F19">
        <v>0.25</v>
      </c>
      <c r="G19">
        <v>0.125</v>
      </c>
      <c r="H19">
        <v>0.44841269841269837</v>
      </c>
      <c r="I19">
        <v>0.30555555555555558</v>
      </c>
      <c r="J19">
        <v>0.37777777777777777</v>
      </c>
      <c r="K19">
        <v>0</v>
      </c>
      <c r="L19">
        <v>0.3611111111111111</v>
      </c>
      <c r="M19">
        <v>0.54920634920634914</v>
      </c>
      <c r="N19">
        <v>0.51818181818181819</v>
      </c>
      <c r="O19" t="s">
        <v>111</v>
      </c>
      <c r="P19">
        <v>0.14285714285714285</v>
      </c>
      <c r="Q19">
        <v>0.39583333333333331</v>
      </c>
      <c r="R19">
        <v>0.50396825396825395</v>
      </c>
      <c r="S19">
        <v>0.4458333333333333</v>
      </c>
      <c r="T19">
        <v>0.37777777777777777</v>
      </c>
      <c r="U19">
        <v>0.5</v>
      </c>
      <c r="V19">
        <v>0.80555555555555547</v>
      </c>
      <c r="W19">
        <v>0.71349206349206329</v>
      </c>
    </row>
    <row r="20" spans="1:23" x14ac:dyDescent="0.2">
      <c r="A20" t="s">
        <v>123</v>
      </c>
      <c r="B20" t="s">
        <v>289</v>
      </c>
      <c r="C20" t="s">
        <v>269</v>
      </c>
      <c r="D20">
        <v>0.33333333333333331</v>
      </c>
      <c r="E20" t="s">
        <v>111</v>
      </c>
      <c r="F20">
        <v>0.58333333333333326</v>
      </c>
      <c r="G20">
        <v>0.84375</v>
      </c>
      <c r="H20">
        <v>0.66468253968253965</v>
      </c>
      <c r="I20">
        <v>0.69444444444444442</v>
      </c>
      <c r="J20">
        <v>0.50370370370370376</v>
      </c>
      <c r="K20">
        <v>0.5</v>
      </c>
      <c r="L20">
        <v>0.76851851851851849</v>
      </c>
      <c r="M20">
        <v>0.74841269841269842</v>
      </c>
      <c r="N20">
        <v>0.7</v>
      </c>
      <c r="O20" t="s">
        <v>111</v>
      </c>
      <c r="P20">
        <v>0.42857142857142855</v>
      </c>
      <c r="Q20">
        <v>0.83333333333333326</v>
      </c>
      <c r="R20">
        <v>0.85515873015873012</v>
      </c>
      <c r="S20">
        <v>0.54166666666666663</v>
      </c>
      <c r="T20">
        <v>0.50370370370370376</v>
      </c>
      <c r="U20">
        <v>0.5</v>
      </c>
      <c r="V20">
        <v>0.80555555555555547</v>
      </c>
      <c r="W20">
        <v>0.75396825396825395</v>
      </c>
    </row>
    <row r="21" spans="1:23" x14ac:dyDescent="0.2">
      <c r="A21" t="s">
        <v>124</v>
      </c>
      <c r="B21" t="s">
        <v>290</v>
      </c>
      <c r="C21" t="s">
        <v>269</v>
      </c>
      <c r="D21">
        <v>0.1111111111111111</v>
      </c>
      <c r="E21" t="s">
        <v>111</v>
      </c>
      <c r="F21">
        <v>0.58333333333333326</v>
      </c>
      <c r="G21">
        <v>0.6875</v>
      </c>
      <c r="H21">
        <v>0.57936507936507931</v>
      </c>
      <c r="I21">
        <v>0.17222222222222222</v>
      </c>
      <c r="J21">
        <v>0.60740740740740751</v>
      </c>
      <c r="K21">
        <v>0.5</v>
      </c>
      <c r="L21">
        <v>0.15740740740740741</v>
      </c>
      <c r="M21">
        <v>0.71904761904761916</v>
      </c>
      <c r="N21">
        <v>0.23636363636363636</v>
      </c>
      <c r="O21" t="s">
        <v>111</v>
      </c>
      <c r="P21">
        <v>0.4642857142857143</v>
      </c>
      <c r="Q21">
        <v>0.39583333333333331</v>
      </c>
      <c r="R21">
        <v>0.60119047619047616</v>
      </c>
      <c r="S21">
        <v>0.37291666666666662</v>
      </c>
      <c r="T21">
        <v>0.60740740740740751</v>
      </c>
      <c r="U21">
        <v>0.5</v>
      </c>
      <c r="V21">
        <v>0.84722222222222221</v>
      </c>
      <c r="W21">
        <v>0.70317460317460334</v>
      </c>
    </row>
    <row r="22" spans="1:23" x14ac:dyDescent="0.2">
      <c r="A22" t="s">
        <v>125</v>
      </c>
      <c r="B22" t="s">
        <v>334</v>
      </c>
      <c r="C22" t="s">
        <v>110</v>
      </c>
      <c r="D22">
        <v>0.3888888888888889</v>
      </c>
      <c r="E22" t="s">
        <v>111</v>
      </c>
      <c r="F22">
        <v>0.66666666666666663</v>
      </c>
      <c r="G22">
        <v>0.6875</v>
      </c>
      <c r="H22">
        <v>0.79960317460317454</v>
      </c>
      <c r="I22">
        <v>0.75</v>
      </c>
      <c r="J22">
        <v>0.44444444444444442</v>
      </c>
      <c r="K22">
        <v>0.5</v>
      </c>
      <c r="L22">
        <v>0.41666666666666669</v>
      </c>
      <c r="M22">
        <v>0.88293650793650791</v>
      </c>
      <c r="N22">
        <v>0.54090909090909101</v>
      </c>
      <c r="O22" t="s">
        <v>111</v>
      </c>
      <c r="P22">
        <v>0.39285714285714285</v>
      </c>
      <c r="Q22">
        <v>0.45833333333333331</v>
      </c>
      <c r="R22">
        <v>0.75595238095238093</v>
      </c>
      <c r="S22">
        <v>0.75</v>
      </c>
      <c r="T22">
        <v>0.44444444444444442</v>
      </c>
      <c r="U22">
        <v>0.5</v>
      </c>
      <c r="V22">
        <v>0.88888888888888884</v>
      </c>
      <c r="W22">
        <v>0.84523809523809523</v>
      </c>
    </row>
    <row r="23" spans="1:23" x14ac:dyDescent="0.2">
      <c r="A23" t="s">
        <v>126</v>
      </c>
      <c r="B23" t="s">
        <v>335</v>
      </c>
      <c r="C23" t="s">
        <v>110</v>
      </c>
      <c r="D23">
        <v>0.3888888888888889</v>
      </c>
      <c r="E23" t="s">
        <v>111</v>
      </c>
      <c r="F23">
        <v>0.66666666666666663</v>
      </c>
      <c r="G23">
        <v>0.8125</v>
      </c>
      <c r="H23">
        <v>0.77777777777777768</v>
      </c>
      <c r="I23">
        <v>0.75</v>
      </c>
      <c r="J23">
        <v>0.31111111111111112</v>
      </c>
      <c r="K23">
        <v>0.5</v>
      </c>
      <c r="L23">
        <v>0.84259259259259256</v>
      </c>
      <c r="M23">
        <v>0.9007936507936507</v>
      </c>
      <c r="N23">
        <v>0.7</v>
      </c>
      <c r="O23" t="s">
        <v>111</v>
      </c>
      <c r="P23">
        <v>0.5357142857142857</v>
      </c>
      <c r="Q23">
        <v>0.83333333333333326</v>
      </c>
      <c r="R23">
        <v>0.85119047619047616</v>
      </c>
      <c r="S23">
        <v>0.75</v>
      </c>
      <c r="T23">
        <v>0.31111111111111112</v>
      </c>
      <c r="U23">
        <v>0.5</v>
      </c>
      <c r="V23">
        <v>0.88888888888888884</v>
      </c>
      <c r="W23">
        <v>0.97023809523809523</v>
      </c>
    </row>
    <row r="24" spans="1:23" x14ac:dyDescent="0.2">
      <c r="A24" t="s">
        <v>127</v>
      </c>
      <c r="B24" t="s">
        <v>338</v>
      </c>
      <c r="C24" t="s">
        <v>110</v>
      </c>
      <c r="D24">
        <v>0.88888888888888884</v>
      </c>
      <c r="E24" t="s">
        <v>111</v>
      </c>
      <c r="F24">
        <v>0.33333333333333331</v>
      </c>
      <c r="G24">
        <v>0.8125</v>
      </c>
      <c r="H24">
        <v>0.81746031746031733</v>
      </c>
      <c r="I24">
        <v>0.75</v>
      </c>
      <c r="J24">
        <v>0.31111111111111112</v>
      </c>
      <c r="K24">
        <v>0</v>
      </c>
      <c r="L24">
        <v>0.73148148148148151</v>
      </c>
      <c r="M24">
        <v>0.94047619047619035</v>
      </c>
      <c r="N24">
        <v>0.51818181818181819</v>
      </c>
      <c r="O24" t="s">
        <v>111</v>
      </c>
      <c r="P24">
        <v>0.2857142857142857</v>
      </c>
      <c r="Q24">
        <v>0.58333333333333326</v>
      </c>
      <c r="R24">
        <v>0.72619047619047616</v>
      </c>
      <c r="S24">
        <v>0.46874999999999994</v>
      </c>
      <c r="T24">
        <v>0.31111111111111112</v>
      </c>
      <c r="U24">
        <v>0</v>
      </c>
      <c r="V24">
        <v>0.80555555555555547</v>
      </c>
      <c r="W24">
        <v>0.87142857142857133</v>
      </c>
    </row>
    <row r="25" spans="1:23" x14ac:dyDescent="0.2">
      <c r="A25" t="s">
        <v>128</v>
      </c>
      <c r="B25" t="s">
        <v>292</v>
      </c>
      <c r="C25" t="s">
        <v>269</v>
      </c>
      <c r="D25">
        <v>0.1111111111111111</v>
      </c>
      <c r="E25" t="s">
        <v>111</v>
      </c>
      <c r="F25">
        <v>0.25</v>
      </c>
      <c r="G25">
        <v>0.5625</v>
      </c>
      <c r="H25">
        <v>0.26785714285714285</v>
      </c>
      <c r="I25">
        <v>0.33333333333333331</v>
      </c>
      <c r="J25">
        <v>0.3</v>
      </c>
      <c r="K25">
        <v>0.5</v>
      </c>
      <c r="L25">
        <v>0.24074074074074073</v>
      </c>
      <c r="M25">
        <v>0.2904761904761905</v>
      </c>
      <c r="N25">
        <v>0.29090909090909089</v>
      </c>
      <c r="O25" t="s">
        <v>111</v>
      </c>
      <c r="P25">
        <v>0.2857142857142857</v>
      </c>
      <c r="Q25">
        <v>0.52083333333333326</v>
      </c>
      <c r="R25">
        <v>0.41071428571428564</v>
      </c>
      <c r="S25">
        <v>0.3125</v>
      </c>
      <c r="T25">
        <v>0.3</v>
      </c>
      <c r="U25">
        <v>0.5</v>
      </c>
      <c r="V25">
        <v>0.5</v>
      </c>
      <c r="W25">
        <v>0.42698412698412697</v>
      </c>
    </row>
    <row r="26" spans="1:23" x14ac:dyDescent="0.2">
      <c r="A26" t="s">
        <v>129</v>
      </c>
      <c r="B26" t="s">
        <v>293</v>
      </c>
      <c r="C26" t="s">
        <v>269</v>
      </c>
      <c r="D26">
        <v>0</v>
      </c>
      <c r="E26" t="s">
        <v>111</v>
      </c>
      <c r="F26">
        <v>0.41666666666666663</v>
      </c>
      <c r="G26">
        <v>0.25</v>
      </c>
      <c r="H26">
        <v>0.13293650793650794</v>
      </c>
      <c r="I26">
        <v>0</v>
      </c>
      <c r="J26">
        <v>0.26666666666666666</v>
      </c>
      <c r="K26">
        <v>0.5</v>
      </c>
      <c r="L26">
        <v>0.16666666666666666</v>
      </c>
      <c r="M26">
        <v>0.31468253968253967</v>
      </c>
      <c r="N26">
        <v>0.29090909090909089</v>
      </c>
      <c r="O26" t="s">
        <v>111</v>
      </c>
      <c r="P26">
        <v>0.39285714285714285</v>
      </c>
      <c r="Q26">
        <v>0.58333333333333326</v>
      </c>
      <c r="R26">
        <v>0.33928571428571425</v>
      </c>
      <c r="S26">
        <v>0.16666666666666666</v>
      </c>
      <c r="T26">
        <v>0.26666666666666666</v>
      </c>
      <c r="U26">
        <v>0.5</v>
      </c>
      <c r="V26">
        <v>0.1111111111111111</v>
      </c>
      <c r="W26">
        <v>0.15873015873015872</v>
      </c>
    </row>
    <row r="27" spans="1:23" x14ac:dyDescent="0.2">
      <c r="A27" t="s">
        <v>264</v>
      </c>
      <c r="B27" t="s">
        <v>265</v>
      </c>
      <c r="C27" t="s">
        <v>198</v>
      </c>
      <c r="D27">
        <v>0.27777777777777779</v>
      </c>
      <c r="E27" t="s">
        <v>111</v>
      </c>
      <c r="F27">
        <v>8.3333333333333329E-2</v>
      </c>
      <c r="G27">
        <v>0.6875</v>
      </c>
      <c r="H27">
        <v>0.66468253968253965</v>
      </c>
      <c r="I27">
        <v>0.75</v>
      </c>
      <c r="J27">
        <v>0.64444444444444449</v>
      </c>
      <c r="K27">
        <v>0.5</v>
      </c>
      <c r="L27">
        <v>0.67592592592592593</v>
      </c>
      <c r="M27">
        <v>0.79761904761904756</v>
      </c>
      <c r="N27">
        <v>0.47272727272727272</v>
      </c>
      <c r="O27" t="s">
        <v>111</v>
      </c>
      <c r="P27">
        <v>7.1428571428571425E-2</v>
      </c>
      <c r="Q27">
        <v>0.58333333333333326</v>
      </c>
      <c r="R27">
        <v>0.54761904761904756</v>
      </c>
      <c r="S27">
        <v>0.7583333333333333</v>
      </c>
      <c r="T27">
        <v>0.64444444444444449</v>
      </c>
      <c r="U27">
        <v>0</v>
      </c>
      <c r="V27">
        <v>0.88888888888888884</v>
      </c>
      <c r="W27">
        <v>0.68333333333333324</v>
      </c>
    </row>
    <row r="28" spans="1:23" x14ac:dyDescent="0.2">
      <c r="A28" t="s">
        <v>260</v>
      </c>
      <c r="B28" t="s">
        <v>261</v>
      </c>
      <c r="C28" t="s">
        <v>198</v>
      </c>
      <c r="D28">
        <v>0.3888888888888889</v>
      </c>
      <c r="E28" t="s">
        <v>111</v>
      </c>
      <c r="F28">
        <v>0.41666666666666663</v>
      </c>
      <c r="G28">
        <v>0.5</v>
      </c>
      <c r="H28">
        <v>0.26785714285714285</v>
      </c>
      <c r="I28">
        <v>0.72222222222222221</v>
      </c>
      <c r="J28">
        <v>0.47407407407407409</v>
      </c>
      <c r="K28">
        <v>0.5</v>
      </c>
      <c r="L28">
        <v>0.26851851851851855</v>
      </c>
      <c r="M28">
        <v>0.35198412698412701</v>
      </c>
      <c r="N28">
        <v>0.63181818181818183</v>
      </c>
      <c r="O28" t="s">
        <v>111</v>
      </c>
      <c r="P28">
        <v>0.42857142857142855</v>
      </c>
      <c r="Q28">
        <v>0.41666666666666663</v>
      </c>
      <c r="R28">
        <v>0.35119047619047611</v>
      </c>
      <c r="S28">
        <v>0.70833333333333326</v>
      </c>
      <c r="T28">
        <v>0.47407407407407409</v>
      </c>
      <c r="U28">
        <v>0.5</v>
      </c>
      <c r="V28">
        <v>0.52777777777777779</v>
      </c>
      <c r="W28">
        <v>0.56904761904761914</v>
      </c>
    </row>
    <row r="29" spans="1:23" x14ac:dyDescent="0.2">
      <c r="A29" t="s">
        <v>257</v>
      </c>
      <c r="B29" t="s">
        <v>258</v>
      </c>
      <c r="C29" t="s">
        <v>198</v>
      </c>
      <c r="D29">
        <v>0.3888888888888889</v>
      </c>
      <c r="E29" t="s">
        <v>111</v>
      </c>
      <c r="F29">
        <v>0.16666666666666666</v>
      </c>
      <c r="G29">
        <v>0.75</v>
      </c>
      <c r="H29">
        <v>0.80555555555555547</v>
      </c>
      <c r="I29">
        <v>0.75</v>
      </c>
      <c r="J29">
        <v>0.71851851851851867</v>
      </c>
      <c r="K29">
        <v>0</v>
      </c>
      <c r="L29">
        <v>0.5</v>
      </c>
      <c r="M29">
        <v>0.79523809523809519</v>
      </c>
      <c r="N29">
        <v>0.29090909090909089</v>
      </c>
      <c r="O29" t="s">
        <v>111</v>
      </c>
      <c r="P29">
        <v>0.3214285714285714</v>
      </c>
      <c r="Q29">
        <v>0.33333333333333331</v>
      </c>
      <c r="R29">
        <v>0.2857142857142857</v>
      </c>
      <c r="S29">
        <v>0.75</v>
      </c>
      <c r="T29">
        <v>0.71851851851851867</v>
      </c>
      <c r="U29">
        <v>0</v>
      </c>
      <c r="V29">
        <v>0.88888888888888884</v>
      </c>
      <c r="W29">
        <v>0.84920634920634919</v>
      </c>
    </row>
    <row r="30" spans="1:23" x14ac:dyDescent="0.2">
      <c r="A30" t="s">
        <v>254</v>
      </c>
      <c r="B30" t="s">
        <v>255</v>
      </c>
      <c r="C30" t="s">
        <v>198</v>
      </c>
      <c r="D30">
        <v>0.3888888888888889</v>
      </c>
      <c r="E30" t="s">
        <v>111</v>
      </c>
      <c r="F30">
        <v>0</v>
      </c>
      <c r="G30">
        <v>0.625</v>
      </c>
      <c r="H30">
        <v>0.4781746031746032</v>
      </c>
      <c r="I30">
        <v>0.72499999999999998</v>
      </c>
      <c r="J30">
        <v>0.54074074074074074</v>
      </c>
      <c r="K30">
        <v>0.5</v>
      </c>
      <c r="L30">
        <v>0.51851851851851849</v>
      </c>
      <c r="M30">
        <v>0.80992063492063482</v>
      </c>
      <c r="N30">
        <v>0.35909090909090913</v>
      </c>
      <c r="O30" t="s">
        <v>111</v>
      </c>
      <c r="P30">
        <v>0.2857142857142857</v>
      </c>
      <c r="Q30">
        <v>0.39583333333333331</v>
      </c>
      <c r="R30">
        <v>0.59722222222222221</v>
      </c>
      <c r="S30">
        <v>0.66666666666666663</v>
      </c>
      <c r="T30">
        <v>0.54074074074074074</v>
      </c>
      <c r="U30">
        <v>0.5</v>
      </c>
      <c r="V30">
        <v>0.45833333333333331</v>
      </c>
      <c r="W30">
        <v>0.6694444444444444</v>
      </c>
    </row>
    <row r="31" spans="1:23" x14ac:dyDescent="0.2">
      <c r="A31" t="s">
        <v>250</v>
      </c>
      <c r="B31" t="s">
        <v>251</v>
      </c>
      <c r="C31" t="s">
        <v>198</v>
      </c>
      <c r="D31">
        <v>0.3888888888888889</v>
      </c>
      <c r="E31" t="s">
        <v>111</v>
      </c>
      <c r="F31">
        <v>0.41666666666666663</v>
      </c>
      <c r="G31">
        <v>0.5625</v>
      </c>
      <c r="H31">
        <v>0.42460317460317459</v>
      </c>
      <c r="I31">
        <v>0.75</v>
      </c>
      <c r="J31">
        <v>0.4148148148148148</v>
      </c>
      <c r="K31">
        <v>0.5</v>
      </c>
      <c r="L31">
        <v>0.83333333333333337</v>
      </c>
      <c r="M31">
        <v>0.86587301587301579</v>
      </c>
      <c r="N31">
        <v>0</v>
      </c>
      <c r="O31" t="s">
        <v>111</v>
      </c>
      <c r="P31">
        <v>0.3214285714285714</v>
      </c>
      <c r="Q31">
        <v>0.45833333333333331</v>
      </c>
      <c r="R31">
        <v>0.44444444444444442</v>
      </c>
      <c r="S31">
        <v>0.4375</v>
      </c>
      <c r="T31">
        <v>0.4148148148148148</v>
      </c>
      <c r="U31">
        <v>0.5</v>
      </c>
      <c r="V31">
        <v>0.88888888888888884</v>
      </c>
      <c r="W31">
        <v>0.77460317460317452</v>
      </c>
    </row>
    <row r="32" spans="1:23" x14ac:dyDescent="0.2">
      <c r="A32" t="s">
        <v>246</v>
      </c>
      <c r="B32" t="s">
        <v>247</v>
      </c>
      <c r="C32" t="s">
        <v>198</v>
      </c>
      <c r="D32">
        <v>0.3888888888888889</v>
      </c>
      <c r="E32" t="s">
        <v>111</v>
      </c>
      <c r="F32">
        <v>0.16666666666666666</v>
      </c>
      <c r="G32">
        <v>0.6875</v>
      </c>
      <c r="H32">
        <v>0.79365079365079361</v>
      </c>
      <c r="I32">
        <v>0.47222222222222221</v>
      </c>
      <c r="J32">
        <v>0.24444444444444446</v>
      </c>
      <c r="K32">
        <v>0</v>
      </c>
      <c r="L32">
        <v>0.3611111111111111</v>
      </c>
      <c r="M32">
        <v>0.80634920634920648</v>
      </c>
      <c r="N32">
        <v>0.7</v>
      </c>
      <c r="O32" t="s">
        <v>111</v>
      </c>
      <c r="P32">
        <v>0.3214285714285714</v>
      </c>
      <c r="Q32">
        <v>0.45833333333333331</v>
      </c>
      <c r="R32">
        <v>0.82936507936507919</v>
      </c>
      <c r="S32">
        <v>0.75</v>
      </c>
      <c r="T32">
        <v>0.24444444444444446</v>
      </c>
      <c r="U32">
        <v>0.5</v>
      </c>
      <c r="V32">
        <v>0.88888888888888884</v>
      </c>
      <c r="W32">
        <v>0.88571428571428568</v>
      </c>
    </row>
    <row r="33" spans="1:23" x14ac:dyDescent="0.2">
      <c r="A33" t="s">
        <v>239</v>
      </c>
      <c r="B33" t="s">
        <v>240</v>
      </c>
      <c r="C33" t="s">
        <v>198</v>
      </c>
      <c r="D33">
        <v>0.88888888888888884</v>
      </c>
      <c r="E33" t="s">
        <v>111</v>
      </c>
      <c r="F33">
        <v>0.25</v>
      </c>
      <c r="G33">
        <v>0.6875</v>
      </c>
      <c r="H33">
        <v>0.37301587301587302</v>
      </c>
      <c r="I33">
        <v>0.75</v>
      </c>
      <c r="J33">
        <v>0.2074074074074074</v>
      </c>
      <c r="K33">
        <v>0.5</v>
      </c>
      <c r="L33">
        <v>0.24074074074074073</v>
      </c>
      <c r="M33">
        <v>0.28412698412698412</v>
      </c>
      <c r="N33">
        <v>0.60909090909090913</v>
      </c>
      <c r="O33" t="s">
        <v>111</v>
      </c>
      <c r="P33">
        <v>0.25</v>
      </c>
      <c r="Q33">
        <v>0.45833333333333331</v>
      </c>
      <c r="R33">
        <v>0.3611111111111111</v>
      </c>
      <c r="S33">
        <v>0.25</v>
      </c>
      <c r="T33">
        <v>0.2074074074074074</v>
      </c>
      <c r="U33">
        <v>0.5</v>
      </c>
      <c r="V33">
        <v>0.22222222222222221</v>
      </c>
      <c r="W33">
        <v>0.23730158730158726</v>
      </c>
    </row>
    <row r="34" spans="1:23" x14ac:dyDescent="0.2">
      <c r="A34" t="s">
        <v>235</v>
      </c>
      <c r="B34" t="s">
        <v>236</v>
      </c>
      <c r="C34" t="s">
        <v>198</v>
      </c>
      <c r="D34">
        <v>0.3888888888888889</v>
      </c>
      <c r="E34" t="s">
        <v>111</v>
      </c>
      <c r="F34">
        <v>0.75</v>
      </c>
      <c r="G34">
        <v>0.8125</v>
      </c>
      <c r="H34">
        <v>0.62301587301587302</v>
      </c>
      <c r="I34">
        <v>0.7</v>
      </c>
      <c r="J34">
        <v>0.25185185185185183</v>
      </c>
      <c r="K34">
        <v>0.5</v>
      </c>
      <c r="L34">
        <v>0.43518518518518517</v>
      </c>
      <c r="M34">
        <v>0.63571428571428579</v>
      </c>
      <c r="N34">
        <v>0.24545454545454548</v>
      </c>
      <c r="O34" t="s">
        <v>111</v>
      </c>
      <c r="P34">
        <v>7.1428571428571425E-2</v>
      </c>
      <c r="Q34">
        <v>0.45833333333333331</v>
      </c>
      <c r="R34">
        <v>0.42063492063492064</v>
      </c>
      <c r="S34">
        <v>0.75</v>
      </c>
      <c r="T34">
        <v>0.25185185185185183</v>
      </c>
      <c r="U34">
        <v>0</v>
      </c>
      <c r="V34">
        <v>0.88888888888888884</v>
      </c>
      <c r="W34">
        <v>0.56904761904761914</v>
      </c>
    </row>
    <row r="35" spans="1:23" x14ac:dyDescent="0.2">
      <c r="A35" t="s">
        <v>232</v>
      </c>
      <c r="B35" t="s">
        <v>233</v>
      </c>
      <c r="C35" t="s">
        <v>198</v>
      </c>
      <c r="D35">
        <v>0.3888888888888889</v>
      </c>
      <c r="E35" t="s">
        <v>111</v>
      </c>
      <c r="F35">
        <v>0</v>
      </c>
      <c r="G35">
        <v>0.6875</v>
      </c>
      <c r="H35">
        <v>0.66269841269841268</v>
      </c>
      <c r="I35">
        <v>0.47222222222222221</v>
      </c>
      <c r="J35">
        <v>0.26666666666666666</v>
      </c>
      <c r="K35">
        <v>0</v>
      </c>
      <c r="L35">
        <v>0.1851851851851852</v>
      </c>
      <c r="M35">
        <v>0.80634920634920648</v>
      </c>
      <c r="N35">
        <v>0.60909090909090913</v>
      </c>
      <c r="O35" t="s">
        <v>111</v>
      </c>
      <c r="P35">
        <v>7.1428571428571425E-2</v>
      </c>
      <c r="Q35">
        <v>0.70833333333333326</v>
      </c>
      <c r="R35">
        <v>0.76190476190476186</v>
      </c>
      <c r="S35">
        <v>0.5</v>
      </c>
      <c r="T35">
        <v>0.26666666666666666</v>
      </c>
      <c r="U35">
        <v>0</v>
      </c>
      <c r="V35">
        <v>0.88888888888888884</v>
      </c>
      <c r="W35">
        <v>0.81825396825396834</v>
      </c>
    </row>
    <row r="36" spans="1:23" x14ac:dyDescent="0.2">
      <c r="A36" t="s">
        <v>228</v>
      </c>
      <c r="B36" t="s">
        <v>229</v>
      </c>
      <c r="C36" t="s">
        <v>198</v>
      </c>
      <c r="D36">
        <v>0.88888888888888884</v>
      </c>
      <c r="E36" t="s">
        <v>111</v>
      </c>
      <c r="F36">
        <v>0.58333333333333326</v>
      </c>
      <c r="G36">
        <v>0.6875</v>
      </c>
      <c r="H36">
        <v>0.63095238095238093</v>
      </c>
      <c r="I36">
        <v>0.59722222222222232</v>
      </c>
      <c r="J36">
        <v>0.37777777777777777</v>
      </c>
      <c r="K36">
        <v>0.5</v>
      </c>
      <c r="L36">
        <v>0.25</v>
      </c>
      <c r="M36">
        <v>0.38769841269841271</v>
      </c>
      <c r="N36">
        <v>0.60909090909090913</v>
      </c>
      <c r="O36" t="s">
        <v>111</v>
      </c>
      <c r="P36">
        <v>0.5357142857142857</v>
      </c>
      <c r="Q36">
        <v>0.52083333333333326</v>
      </c>
      <c r="R36">
        <v>0.51388888888888884</v>
      </c>
      <c r="S36">
        <v>0.66666666666666663</v>
      </c>
      <c r="T36">
        <v>0.37777777777777777</v>
      </c>
      <c r="U36">
        <v>0.5</v>
      </c>
      <c r="V36">
        <v>0.80555555555555547</v>
      </c>
      <c r="W36">
        <v>0.67579365079365072</v>
      </c>
    </row>
    <row r="37" spans="1:23" x14ac:dyDescent="0.2">
      <c r="A37" t="s">
        <v>226</v>
      </c>
      <c r="B37" t="s">
        <v>227</v>
      </c>
      <c r="C37" t="s">
        <v>198</v>
      </c>
      <c r="D37">
        <v>0.3888888888888889</v>
      </c>
      <c r="E37" t="s">
        <v>111</v>
      </c>
      <c r="F37">
        <v>0.41666666666666663</v>
      </c>
      <c r="G37">
        <v>0.5625</v>
      </c>
      <c r="H37">
        <v>0.52380952380952384</v>
      </c>
      <c r="I37">
        <v>0.34722222222222221</v>
      </c>
      <c r="J37">
        <v>0.27407407407407408</v>
      </c>
      <c r="K37">
        <v>0</v>
      </c>
      <c r="L37">
        <v>0.29629629629629628</v>
      </c>
      <c r="M37">
        <v>0.57301587301587309</v>
      </c>
      <c r="N37">
        <v>0.65454545454545454</v>
      </c>
      <c r="O37" t="s">
        <v>111</v>
      </c>
      <c r="P37">
        <v>7.1428571428571425E-2</v>
      </c>
      <c r="Q37">
        <v>0.83333333333333326</v>
      </c>
      <c r="R37">
        <v>0.49404761904761901</v>
      </c>
      <c r="S37">
        <v>0.75</v>
      </c>
      <c r="T37">
        <v>0.27407407407407408</v>
      </c>
      <c r="U37">
        <v>0</v>
      </c>
      <c r="V37">
        <v>0.83333333333333337</v>
      </c>
      <c r="W37">
        <v>0.75238095238095237</v>
      </c>
    </row>
    <row r="38" spans="1:23" x14ac:dyDescent="0.2">
      <c r="A38" t="s">
        <v>222</v>
      </c>
      <c r="B38" t="s">
        <v>223</v>
      </c>
      <c r="C38" t="s">
        <v>198</v>
      </c>
      <c r="D38">
        <v>0.5</v>
      </c>
      <c r="E38" t="s">
        <v>111</v>
      </c>
      <c r="F38">
        <v>0.16666666666666666</v>
      </c>
      <c r="G38">
        <v>0.875</v>
      </c>
      <c r="H38">
        <v>0.92063492063492058</v>
      </c>
      <c r="I38">
        <v>0.75</v>
      </c>
      <c r="J38">
        <v>0.74814814814814812</v>
      </c>
      <c r="K38">
        <v>0</v>
      </c>
      <c r="L38">
        <v>0.50925925925925919</v>
      </c>
      <c r="M38">
        <v>0.71984126984126995</v>
      </c>
      <c r="N38">
        <v>0.51818181818181819</v>
      </c>
      <c r="O38" t="s">
        <v>111</v>
      </c>
      <c r="P38">
        <v>7.1428571428571425E-2</v>
      </c>
      <c r="Q38">
        <v>0.70833333333333326</v>
      </c>
      <c r="R38">
        <v>0.52380952380952384</v>
      </c>
      <c r="S38">
        <v>0.75</v>
      </c>
      <c r="T38">
        <v>0.74814814814814812</v>
      </c>
      <c r="U38">
        <v>0</v>
      </c>
      <c r="V38">
        <v>0.88888888888888884</v>
      </c>
      <c r="W38">
        <v>0.84126984126984128</v>
      </c>
    </row>
    <row r="39" spans="1:23" x14ac:dyDescent="0.2">
      <c r="A39" t="s">
        <v>218</v>
      </c>
      <c r="B39" t="s">
        <v>219</v>
      </c>
      <c r="C39" t="s">
        <v>198</v>
      </c>
      <c r="D39">
        <v>0.3888888888888889</v>
      </c>
      <c r="E39" t="s">
        <v>111</v>
      </c>
      <c r="F39">
        <v>0.33333333333333331</v>
      </c>
      <c r="G39">
        <v>0.25</v>
      </c>
      <c r="H39">
        <v>0.34523809523809518</v>
      </c>
      <c r="I39">
        <v>0.75</v>
      </c>
      <c r="J39">
        <v>0.41111111111111115</v>
      </c>
      <c r="K39">
        <v>0.5</v>
      </c>
      <c r="L39">
        <v>0.31481481481481483</v>
      </c>
      <c r="M39">
        <v>0.42976190476190473</v>
      </c>
      <c r="N39">
        <v>0.33636363636363636</v>
      </c>
      <c r="O39" t="s">
        <v>111</v>
      </c>
      <c r="P39">
        <v>0.4642857142857143</v>
      </c>
      <c r="Q39">
        <v>0.45833333333333331</v>
      </c>
      <c r="R39">
        <v>0.37896825396825395</v>
      </c>
      <c r="S39">
        <v>0.75</v>
      </c>
      <c r="T39">
        <v>0.41111111111111115</v>
      </c>
      <c r="U39">
        <v>0.5</v>
      </c>
      <c r="V39">
        <v>0.66666666666666663</v>
      </c>
      <c r="W39">
        <v>0.57539682539682546</v>
      </c>
    </row>
    <row r="40" spans="1:23" x14ac:dyDescent="0.2">
      <c r="A40" t="s">
        <v>214</v>
      </c>
      <c r="B40" t="s">
        <v>215</v>
      </c>
      <c r="C40" t="s">
        <v>198</v>
      </c>
      <c r="D40">
        <v>0.22222222222222221</v>
      </c>
      <c r="E40" t="s">
        <v>111</v>
      </c>
      <c r="F40">
        <v>0.29166666666666663</v>
      </c>
      <c r="G40">
        <v>0.6875</v>
      </c>
      <c r="H40">
        <v>0.39285714285714279</v>
      </c>
      <c r="I40">
        <v>0.59444444444444455</v>
      </c>
      <c r="J40">
        <v>0.3</v>
      </c>
      <c r="K40">
        <v>0.5</v>
      </c>
      <c r="L40">
        <v>0.58333333333333337</v>
      </c>
      <c r="M40">
        <v>0.44880952380952382</v>
      </c>
      <c r="N40">
        <v>0.18181818181818182</v>
      </c>
      <c r="O40" t="s">
        <v>111</v>
      </c>
      <c r="P40">
        <v>7.1428571428571425E-2</v>
      </c>
      <c r="Q40">
        <v>0.125</v>
      </c>
      <c r="R40">
        <v>0.18849206349206349</v>
      </c>
      <c r="S40">
        <v>0.45833333333333331</v>
      </c>
      <c r="T40">
        <v>0.3</v>
      </c>
      <c r="U40">
        <v>0</v>
      </c>
      <c r="V40">
        <v>0.69444444444444431</v>
      </c>
      <c r="W40">
        <v>0.39087301587301587</v>
      </c>
    </row>
    <row r="41" spans="1:23" x14ac:dyDescent="0.2">
      <c r="A41" t="s">
        <v>210</v>
      </c>
      <c r="B41" t="s">
        <v>211</v>
      </c>
      <c r="C41" t="s">
        <v>198</v>
      </c>
      <c r="D41">
        <v>0.33333333333333331</v>
      </c>
      <c r="E41" t="s">
        <v>111</v>
      </c>
      <c r="F41">
        <v>0.58333333333333326</v>
      </c>
      <c r="G41">
        <v>0.6875</v>
      </c>
      <c r="H41">
        <v>0.47619047619047611</v>
      </c>
      <c r="I41">
        <v>0.75</v>
      </c>
      <c r="J41">
        <v>0.51111111111111107</v>
      </c>
      <c r="K41">
        <v>0.5</v>
      </c>
      <c r="L41">
        <v>0.75925925925925919</v>
      </c>
      <c r="M41">
        <v>0.66746031746031742</v>
      </c>
      <c r="N41">
        <v>0.38181818181818183</v>
      </c>
      <c r="O41" t="s">
        <v>111</v>
      </c>
      <c r="P41">
        <v>0.3214285714285714</v>
      </c>
      <c r="Q41">
        <v>0.70833333333333326</v>
      </c>
      <c r="R41">
        <v>0.26190476190476192</v>
      </c>
      <c r="S41">
        <v>0.66666666666666663</v>
      </c>
      <c r="T41">
        <v>0.51111111111111107</v>
      </c>
      <c r="U41">
        <v>0</v>
      </c>
      <c r="V41">
        <v>0.88888888888888884</v>
      </c>
      <c r="W41">
        <v>0.63571428571428579</v>
      </c>
    </row>
    <row r="42" spans="1:23" x14ac:dyDescent="0.2">
      <c r="A42" t="s">
        <v>196</v>
      </c>
      <c r="B42" t="s">
        <v>197</v>
      </c>
      <c r="C42" t="s">
        <v>198</v>
      </c>
      <c r="D42">
        <v>0.3888888888888889</v>
      </c>
      <c r="E42" t="s">
        <v>111</v>
      </c>
      <c r="F42">
        <v>0.41666666666666663</v>
      </c>
      <c r="G42">
        <v>0.875</v>
      </c>
      <c r="H42">
        <v>0.72619047619047616</v>
      </c>
      <c r="I42">
        <v>0.75</v>
      </c>
      <c r="J42">
        <v>0.57777777777777783</v>
      </c>
      <c r="K42">
        <v>0.5</v>
      </c>
      <c r="L42">
        <v>0.19444444444444442</v>
      </c>
      <c r="M42">
        <v>0.56507936507936507</v>
      </c>
      <c r="N42">
        <v>0.29090909090909089</v>
      </c>
      <c r="O42" t="s">
        <v>111</v>
      </c>
      <c r="P42">
        <v>0.4642857142857143</v>
      </c>
      <c r="Q42">
        <v>0.33333333333333331</v>
      </c>
      <c r="R42">
        <v>0.20634920634920637</v>
      </c>
      <c r="S42">
        <v>0.66666666666666663</v>
      </c>
      <c r="T42">
        <v>0.57777777777777783</v>
      </c>
      <c r="U42">
        <v>0.5</v>
      </c>
      <c r="V42">
        <v>0.80555555555555547</v>
      </c>
      <c r="W42">
        <v>0.7150793650793652</v>
      </c>
    </row>
    <row r="43" spans="1:23" x14ac:dyDescent="0.2">
      <c r="A43" t="s">
        <v>205</v>
      </c>
      <c r="B43" t="s">
        <v>206</v>
      </c>
      <c r="C43" t="s">
        <v>198</v>
      </c>
      <c r="D43">
        <v>0.3888888888888889</v>
      </c>
      <c r="E43" t="s">
        <v>111</v>
      </c>
      <c r="F43">
        <v>0.58333333333333326</v>
      </c>
      <c r="G43">
        <v>0.6875</v>
      </c>
      <c r="H43">
        <v>0.71626984126984128</v>
      </c>
      <c r="I43">
        <v>0.75</v>
      </c>
      <c r="J43">
        <v>0.27777777777777779</v>
      </c>
      <c r="K43">
        <v>0.5</v>
      </c>
      <c r="L43">
        <v>0.34259259259259256</v>
      </c>
      <c r="M43">
        <v>0.57301587301587309</v>
      </c>
      <c r="N43">
        <v>0.51818181818181819</v>
      </c>
      <c r="O43" t="s">
        <v>111</v>
      </c>
      <c r="P43">
        <v>0.4642857142857143</v>
      </c>
      <c r="Q43">
        <v>0.83333333333333326</v>
      </c>
      <c r="R43">
        <v>0.50595238095238093</v>
      </c>
      <c r="S43">
        <v>0.75</v>
      </c>
      <c r="T43">
        <v>0.27777777777777779</v>
      </c>
      <c r="U43">
        <v>0.5</v>
      </c>
      <c r="V43">
        <v>0.88888888888888884</v>
      </c>
      <c r="W43">
        <v>0.89523809523809517</v>
      </c>
    </row>
    <row r="44" spans="1:23" x14ac:dyDescent="0.2">
      <c r="A44" t="s">
        <v>202</v>
      </c>
      <c r="B44" t="s">
        <v>203</v>
      </c>
      <c r="C44" t="s">
        <v>198</v>
      </c>
      <c r="D44">
        <v>0.3888888888888889</v>
      </c>
      <c r="E44" t="s">
        <v>111</v>
      </c>
      <c r="F44">
        <v>0.5</v>
      </c>
      <c r="G44">
        <v>0.4375</v>
      </c>
      <c r="H44">
        <v>0.69246031746031733</v>
      </c>
      <c r="I44">
        <v>0.75</v>
      </c>
      <c r="J44">
        <v>0.57777777777777783</v>
      </c>
      <c r="K44">
        <v>0.5</v>
      </c>
      <c r="L44">
        <v>0.33333333333333331</v>
      </c>
      <c r="M44">
        <v>0.7761904761904761</v>
      </c>
      <c r="N44">
        <v>0.60909090909090913</v>
      </c>
      <c r="O44" t="s">
        <v>111</v>
      </c>
      <c r="P44">
        <v>0.5357142857142857</v>
      </c>
      <c r="Q44">
        <v>0.375</v>
      </c>
      <c r="R44">
        <v>0.50595238095238093</v>
      </c>
      <c r="S44">
        <v>0.75</v>
      </c>
      <c r="T44">
        <v>0.57777777777777783</v>
      </c>
      <c r="U44">
        <v>0.5</v>
      </c>
      <c r="V44">
        <v>0.75</v>
      </c>
      <c r="W44">
        <v>0.56309523809523798</v>
      </c>
    </row>
    <row r="45" spans="1:23" x14ac:dyDescent="0.2">
      <c r="A45" t="s">
        <v>130</v>
      </c>
      <c r="B45" t="s">
        <v>349</v>
      </c>
      <c r="C45" t="s">
        <v>110</v>
      </c>
      <c r="D45">
        <v>0.22222222222222221</v>
      </c>
      <c r="E45" t="s">
        <v>111</v>
      </c>
      <c r="F45">
        <v>0</v>
      </c>
      <c r="G45">
        <v>0.6875</v>
      </c>
      <c r="H45">
        <v>0.88492063492063477</v>
      </c>
      <c r="I45">
        <v>0.20555555555555557</v>
      </c>
      <c r="J45">
        <v>0.51111111111111107</v>
      </c>
      <c r="K45">
        <v>0</v>
      </c>
      <c r="L45">
        <v>0.43518518518518517</v>
      </c>
      <c r="M45">
        <v>0.90873015873015872</v>
      </c>
      <c r="N45">
        <v>0.60909090909090913</v>
      </c>
      <c r="O45" t="s">
        <v>111</v>
      </c>
      <c r="P45">
        <v>0.21428571428571427</v>
      </c>
      <c r="Q45">
        <v>0.70833333333333326</v>
      </c>
      <c r="R45">
        <v>0.77380952380952372</v>
      </c>
      <c r="S45">
        <v>0.4375</v>
      </c>
      <c r="T45">
        <v>0.51111111111111107</v>
      </c>
      <c r="U45">
        <v>0.5</v>
      </c>
      <c r="V45">
        <v>0.88888888888888884</v>
      </c>
      <c r="W45">
        <v>0.97619047619047616</v>
      </c>
    </row>
    <row r="46" spans="1:23" x14ac:dyDescent="0.2">
      <c r="A46" t="s">
        <v>131</v>
      </c>
      <c r="B46" t="s">
        <v>310</v>
      </c>
      <c r="C46" t="s">
        <v>269</v>
      </c>
      <c r="D46">
        <v>0.25</v>
      </c>
      <c r="E46" t="s">
        <v>111</v>
      </c>
      <c r="F46">
        <v>0.41666666666666663</v>
      </c>
      <c r="G46">
        <v>0.625</v>
      </c>
      <c r="H46">
        <v>0.52579365079365081</v>
      </c>
      <c r="I46">
        <v>0.375</v>
      </c>
      <c r="J46">
        <v>0.3444444444444445</v>
      </c>
      <c r="K46">
        <v>0.5</v>
      </c>
      <c r="L46">
        <v>0.43518518518518517</v>
      </c>
      <c r="M46">
        <v>0.43650793650793651</v>
      </c>
      <c r="N46">
        <v>0.38181818181818183</v>
      </c>
      <c r="O46" t="s">
        <v>111</v>
      </c>
      <c r="P46">
        <v>0.4821428571428571</v>
      </c>
      <c r="Q46">
        <v>0.58333333333333326</v>
      </c>
      <c r="R46">
        <v>0.51984126984126977</v>
      </c>
      <c r="S46">
        <v>0.4375</v>
      </c>
      <c r="T46">
        <v>0.3444444444444445</v>
      </c>
      <c r="U46">
        <v>0.5</v>
      </c>
      <c r="V46">
        <v>0.76388888888888884</v>
      </c>
      <c r="W46">
        <v>0.65992063492063491</v>
      </c>
    </row>
    <row r="47" spans="1:23" x14ac:dyDescent="0.2">
      <c r="A47" t="s">
        <v>134</v>
      </c>
      <c r="B47" t="s">
        <v>308</v>
      </c>
      <c r="C47" t="s">
        <v>269</v>
      </c>
      <c r="D47">
        <v>0.1111111111111111</v>
      </c>
      <c r="E47" t="s">
        <v>111</v>
      </c>
      <c r="F47">
        <v>0.58333333333333326</v>
      </c>
      <c r="G47">
        <v>0.6875</v>
      </c>
      <c r="H47">
        <v>0.42857142857142855</v>
      </c>
      <c r="I47">
        <v>0.63888888888888884</v>
      </c>
      <c r="J47">
        <v>0.54074074074074074</v>
      </c>
      <c r="K47">
        <v>0.5</v>
      </c>
      <c r="L47">
        <v>0.62037037037037035</v>
      </c>
      <c r="M47">
        <v>0.81904761904761914</v>
      </c>
      <c r="N47">
        <v>0.56363636363636371</v>
      </c>
      <c r="O47" t="s">
        <v>111</v>
      </c>
      <c r="P47">
        <v>0.4642857142857143</v>
      </c>
      <c r="Q47">
        <v>0.45833333333333331</v>
      </c>
      <c r="R47">
        <v>0.35714285714285715</v>
      </c>
      <c r="S47">
        <v>0.2583333333333333</v>
      </c>
      <c r="T47">
        <v>0.54074074074074074</v>
      </c>
      <c r="U47">
        <v>0.5</v>
      </c>
      <c r="V47">
        <v>0.61111111111111105</v>
      </c>
      <c r="W47">
        <v>0.3436507936507936</v>
      </c>
    </row>
    <row r="48" spans="1:23" x14ac:dyDescent="0.2">
      <c r="A48" t="s">
        <v>136</v>
      </c>
      <c r="B48" t="s">
        <v>346</v>
      </c>
      <c r="C48" t="s">
        <v>110</v>
      </c>
      <c r="D48">
        <v>0.3888888888888889</v>
      </c>
      <c r="E48" t="s">
        <v>111</v>
      </c>
      <c r="F48">
        <v>0.58333333333333326</v>
      </c>
      <c r="G48">
        <v>0.5625</v>
      </c>
      <c r="H48">
        <v>0.54761904761904756</v>
      </c>
      <c r="I48">
        <v>0.64444444444444438</v>
      </c>
      <c r="J48">
        <v>0.24444444444444446</v>
      </c>
      <c r="K48">
        <v>0.5</v>
      </c>
      <c r="L48">
        <v>0.20370370370370372</v>
      </c>
      <c r="M48">
        <v>0.70198412698412704</v>
      </c>
      <c r="N48">
        <v>0.7</v>
      </c>
      <c r="O48" t="s">
        <v>111</v>
      </c>
      <c r="P48">
        <v>0.4642857142857143</v>
      </c>
      <c r="Q48">
        <v>0.83333333333333326</v>
      </c>
      <c r="R48">
        <v>0.78571428571428559</v>
      </c>
      <c r="S48">
        <v>0.66666666666666663</v>
      </c>
      <c r="T48">
        <v>0.24444444444444446</v>
      </c>
      <c r="U48">
        <v>0.5</v>
      </c>
      <c r="V48">
        <v>0.88888888888888884</v>
      </c>
      <c r="W48">
        <v>0.56666666666666665</v>
      </c>
    </row>
    <row r="49" spans="1:23" x14ac:dyDescent="0.2">
      <c r="A49" t="s">
        <v>137</v>
      </c>
      <c r="B49" t="s">
        <v>343</v>
      </c>
      <c r="C49" t="s">
        <v>110</v>
      </c>
      <c r="D49">
        <v>0.27777777777777779</v>
      </c>
      <c r="E49" t="s">
        <v>111</v>
      </c>
      <c r="F49">
        <v>0.58333333333333326</v>
      </c>
      <c r="G49">
        <v>0.5625</v>
      </c>
      <c r="H49">
        <v>0.80952380952380942</v>
      </c>
      <c r="I49">
        <v>0.7</v>
      </c>
      <c r="J49">
        <v>0.58518518518518514</v>
      </c>
      <c r="K49">
        <v>0.5</v>
      </c>
      <c r="L49">
        <v>0.50925925925925919</v>
      </c>
      <c r="M49">
        <v>0.90952380952380951</v>
      </c>
      <c r="N49">
        <v>0.7</v>
      </c>
      <c r="O49" t="s">
        <v>111</v>
      </c>
      <c r="P49">
        <v>0.4642857142857143</v>
      </c>
      <c r="Q49">
        <v>0.83333333333333326</v>
      </c>
      <c r="R49">
        <v>0.93253968253968245</v>
      </c>
      <c r="S49">
        <v>0.75</v>
      </c>
      <c r="T49">
        <v>0.58518518518518514</v>
      </c>
      <c r="U49">
        <v>0.5</v>
      </c>
      <c r="V49">
        <v>0.88888888888888884</v>
      </c>
      <c r="W49">
        <v>0.98809523809523814</v>
      </c>
    </row>
    <row r="50" spans="1:23" x14ac:dyDescent="0.2">
      <c r="A50" t="s">
        <v>138</v>
      </c>
      <c r="B50" t="s">
        <v>304</v>
      </c>
      <c r="C50" t="s">
        <v>269</v>
      </c>
      <c r="D50">
        <v>0.1111111111111111</v>
      </c>
      <c r="E50" t="s">
        <v>111</v>
      </c>
      <c r="F50">
        <v>0.58333333333333326</v>
      </c>
      <c r="G50">
        <v>0.625</v>
      </c>
      <c r="H50">
        <v>0.92063492063492058</v>
      </c>
      <c r="I50">
        <v>0.58333333333333326</v>
      </c>
      <c r="J50">
        <v>0.2074074074074074</v>
      </c>
      <c r="K50">
        <v>0.5</v>
      </c>
      <c r="L50">
        <v>0.68518518518518512</v>
      </c>
      <c r="M50">
        <v>0.97619047619047616</v>
      </c>
      <c r="N50">
        <v>0.29090909090909089</v>
      </c>
      <c r="O50" t="s">
        <v>111</v>
      </c>
      <c r="P50">
        <v>0.4642857142857143</v>
      </c>
      <c r="Q50">
        <v>0.45833333333333331</v>
      </c>
      <c r="R50">
        <v>0.71825396825396826</v>
      </c>
      <c r="S50">
        <v>0.60416666666666663</v>
      </c>
      <c r="T50">
        <v>0.2074074074074074</v>
      </c>
      <c r="U50">
        <v>0.5</v>
      </c>
      <c r="V50">
        <v>0.80555555555555547</v>
      </c>
      <c r="W50">
        <v>0.84126984126984128</v>
      </c>
    </row>
    <row r="51" spans="1:23" x14ac:dyDescent="0.2">
      <c r="A51" t="s">
        <v>139</v>
      </c>
      <c r="B51" t="s">
        <v>301</v>
      </c>
      <c r="C51" t="s">
        <v>269</v>
      </c>
      <c r="D51">
        <v>0</v>
      </c>
      <c r="E51" t="s">
        <v>111</v>
      </c>
      <c r="F51">
        <v>0.58333333333333326</v>
      </c>
      <c r="G51">
        <v>0.25</v>
      </c>
      <c r="H51">
        <v>0.27380952380952378</v>
      </c>
      <c r="I51">
        <v>8.5714285714285715E-2</v>
      </c>
      <c r="J51">
        <v>0.6518518518518519</v>
      </c>
      <c r="K51">
        <v>0.5</v>
      </c>
      <c r="L51">
        <v>0.25</v>
      </c>
      <c r="M51">
        <v>0.29523809523809524</v>
      </c>
      <c r="N51">
        <v>0.60909090909090913</v>
      </c>
      <c r="O51" t="s">
        <v>111</v>
      </c>
      <c r="P51">
        <v>0.6071428571428571</v>
      </c>
      <c r="Q51">
        <v>0.33333333333333331</v>
      </c>
      <c r="R51">
        <v>0.42063492063492064</v>
      </c>
      <c r="S51">
        <v>0.25</v>
      </c>
      <c r="T51">
        <v>0.6518518518518519</v>
      </c>
      <c r="U51">
        <v>0.5</v>
      </c>
      <c r="V51">
        <v>0.38888888888888884</v>
      </c>
      <c r="W51">
        <v>0.26428571428571429</v>
      </c>
    </row>
    <row r="52" spans="1:23" x14ac:dyDescent="0.2">
      <c r="A52" t="s">
        <v>140</v>
      </c>
      <c r="B52" t="s">
        <v>300</v>
      </c>
      <c r="C52" t="s">
        <v>269</v>
      </c>
      <c r="D52">
        <v>0.25</v>
      </c>
      <c r="E52" t="s">
        <v>111</v>
      </c>
      <c r="F52">
        <v>0.75</v>
      </c>
      <c r="G52">
        <v>0.59375</v>
      </c>
      <c r="H52">
        <v>0.36309523809523808</v>
      </c>
      <c r="I52">
        <v>0.21944444444444447</v>
      </c>
      <c r="J52">
        <v>0.71851851851851867</v>
      </c>
      <c r="K52">
        <v>0.5</v>
      </c>
      <c r="L52">
        <v>0.3611111111111111</v>
      </c>
      <c r="M52">
        <v>0.47420634920634924</v>
      </c>
      <c r="N52">
        <v>0.35909090909090913</v>
      </c>
      <c r="O52" t="s">
        <v>111</v>
      </c>
      <c r="P52">
        <v>7.1428571428571425E-2</v>
      </c>
      <c r="Q52">
        <v>0.45833333333333331</v>
      </c>
      <c r="R52">
        <v>0.32936507936507936</v>
      </c>
      <c r="S52">
        <v>0.6875</v>
      </c>
      <c r="T52">
        <v>0.71851851851851867</v>
      </c>
      <c r="U52">
        <v>0.5</v>
      </c>
      <c r="V52">
        <v>0.80555555555555547</v>
      </c>
      <c r="W52">
        <v>0.44087301587301586</v>
      </c>
    </row>
    <row r="53" spans="1:23" x14ac:dyDescent="0.2">
      <c r="A53" t="s">
        <v>141</v>
      </c>
      <c r="B53" t="s">
        <v>297</v>
      </c>
      <c r="C53" t="s">
        <v>269</v>
      </c>
      <c r="D53">
        <v>0</v>
      </c>
      <c r="E53" t="s">
        <v>111</v>
      </c>
      <c r="F53">
        <v>0.5</v>
      </c>
      <c r="G53">
        <v>0.28125</v>
      </c>
      <c r="H53">
        <v>0.5357142857142857</v>
      </c>
      <c r="I53">
        <v>0.15277777777777779</v>
      </c>
      <c r="J53">
        <v>0.34074074074074079</v>
      </c>
      <c r="K53">
        <v>0.5</v>
      </c>
      <c r="L53">
        <v>0.26851851851851855</v>
      </c>
      <c r="M53">
        <v>0.75436507936507935</v>
      </c>
      <c r="N53">
        <v>0.24545454545454548</v>
      </c>
      <c r="O53" t="s">
        <v>111</v>
      </c>
      <c r="P53">
        <v>0.39285714285714285</v>
      </c>
      <c r="Q53">
        <v>6.25E-2</v>
      </c>
      <c r="R53">
        <v>0.71626984126984128</v>
      </c>
      <c r="S53">
        <v>0.39583333333333331</v>
      </c>
      <c r="T53">
        <v>0.34074074074074079</v>
      </c>
      <c r="U53">
        <v>0.5</v>
      </c>
      <c r="V53">
        <v>0.80555555555555547</v>
      </c>
      <c r="W53">
        <v>0.71825396825396826</v>
      </c>
    </row>
    <row r="54" spans="1:23" x14ac:dyDescent="0.2">
      <c r="A54" t="s">
        <v>142</v>
      </c>
      <c r="B54" t="s">
        <v>342</v>
      </c>
      <c r="C54" t="s">
        <v>110</v>
      </c>
      <c r="D54">
        <v>0.3888888888888889</v>
      </c>
      <c r="E54" t="s">
        <v>111</v>
      </c>
      <c r="F54">
        <v>0.33333333333333331</v>
      </c>
      <c r="G54">
        <v>0.75</v>
      </c>
      <c r="H54">
        <v>0.70238095238095222</v>
      </c>
      <c r="I54">
        <v>0.69444444444444442</v>
      </c>
      <c r="J54">
        <v>0.2074074074074074</v>
      </c>
      <c r="K54">
        <v>0.5</v>
      </c>
      <c r="L54">
        <v>0.52777777777777779</v>
      </c>
      <c r="M54">
        <v>0.70238095238095244</v>
      </c>
      <c r="N54">
        <v>0.47272727272727272</v>
      </c>
      <c r="O54" t="s">
        <v>111</v>
      </c>
      <c r="P54">
        <v>0.4642857142857143</v>
      </c>
      <c r="Q54">
        <v>0.70833333333333326</v>
      </c>
      <c r="R54">
        <v>0.70238095238095222</v>
      </c>
      <c r="S54">
        <v>0.75</v>
      </c>
      <c r="T54">
        <v>0.2074074074074074</v>
      </c>
      <c r="U54">
        <v>0</v>
      </c>
      <c r="V54">
        <v>0.88888888888888884</v>
      </c>
      <c r="W54">
        <v>0.94047619047619035</v>
      </c>
    </row>
    <row r="55" spans="1:23" x14ac:dyDescent="0.2">
      <c r="A55" t="s">
        <v>143</v>
      </c>
      <c r="B55" t="s">
        <v>341</v>
      </c>
      <c r="C55" t="s">
        <v>110</v>
      </c>
      <c r="D55">
        <v>0.44444444444444448</v>
      </c>
      <c r="E55" t="s">
        <v>111</v>
      </c>
      <c r="F55">
        <v>0.33333333333333331</v>
      </c>
      <c r="G55">
        <v>0.8125</v>
      </c>
      <c r="H55">
        <v>0.78174603174603163</v>
      </c>
      <c r="I55">
        <v>0.75</v>
      </c>
      <c r="J55">
        <v>0.37777777777777777</v>
      </c>
      <c r="K55">
        <v>0.5</v>
      </c>
      <c r="L55">
        <v>0.43518518518518517</v>
      </c>
      <c r="M55">
        <v>0.92857142857142849</v>
      </c>
      <c r="N55">
        <v>0.60909090909090913</v>
      </c>
      <c r="O55" t="s">
        <v>111</v>
      </c>
      <c r="P55">
        <v>0.21428571428571427</v>
      </c>
      <c r="Q55">
        <v>0.70833333333333326</v>
      </c>
      <c r="R55">
        <v>0.87301587301587291</v>
      </c>
      <c r="S55">
        <v>0.8</v>
      </c>
      <c r="T55">
        <v>0.37777777777777777</v>
      </c>
      <c r="U55">
        <v>0.5</v>
      </c>
      <c r="V55">
        <v>0.88888888888888884</v>
      </c>
      <c r="W55">
        <v>0.97619047619047616</v>
      </c>
    </row>
    <row r="56" spans="1:23" x14ac:dyDescent="0.2">
      <c r="A56" t="s">
        <v>144</v>
      </c>
      <c r="B56" t="s">
        <v>295</v>
      </c>
      <c r="C56" t="s">
        <v>269</v>
      </c>
      <c r="D56">
        <v>0</v>
      </c>
      <c r="E56" t="s">
        <v>111</v>
      </c>
      <c r="F56">
        <v>0.33333333333333331</v>
      </c>
      <c r="G56">
        <v>0.125</v>
      </c>
      <c r="H56">
        <v>6.7460317460317457E-2</v>
      </c>
      <c r="I56">
        <v>2.7777777777777776E-2</v>
      </c>
      <c r="J56">
        <v>0.3481481481481481</v>
      </c>
      <c r="K56">
        <v>0</v>
      </c>
      <c r="L56">
        <v>8.3333333333333329E-2</v>
      </c>
      <c r="M56">
        <v>0</v>
      </c>
      <c r="N56">
        <v>0.2</v>
      </c>
      <c r="O56" t="s">
        <v>111</v>
      </c>
      <c r="P56">
        <v>7.1428571428571425E-2</v>
      </c>
      <c r="Q56">
        <v>0.33333333333333331</v>
      </c>
      <c r="R56">
        <v>1.1904761904761904E-2</v>
      </c>
      <c r="S56">
        <v>0</v>
      </c>
      <c r="T56">
        <v>0.3481481481481481</v>
      </c>
      <c r="U56">
        <v>0</v>
      </c>
      <c r="V56">
        <v>0</v>
      </c>
      <c r="W56">
        <v>3.5714285714285712E-2</v>
      </c>
    </row>
    <row r="57" spans="1:23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spans="1:23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</sheetData>
  <sortState xmlns:xlrd2="http://schemas.microsoft.com/office/spreadsheetml/2017/richdata2" ref="A3:W58">
    <sortCondition ref="A3:A5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FB09-7FDC-1E49-A866-DF5350E5EA7E}">
  <dimension ref="A1:M60"/>
  <sheetViews>
    <sheetView workbookViewId="0">
      <pane ySplit="1" topLeftCell="A2" activePane="bottomLeft" state="frozen"/>
      <selection pane="bottomLeft" activeCell="B7" sqref="B7"/>
    </sheetView>
  </sheetViews>
  <sheetFormatPr baseColWidth="10" defaultColWidth="11.33203125" defaultRowHeight="15" x14ac:dyDescent="0.2"/>
  <sheetData>
    <row r="1" spans="1:13" ht="24" customHeight="1" x14ac:dyDescent="0.2">
      <c r="A1" t="s">
        <v>45</v>
      </c>
      <c r="B1" t="s">
        <v>46</v>
      </c>
      <c r="C1" t="s">
        <v>47</v>
      </c>
      <c r="D1" t="s">
        <v>357</v>
      </c>
      <c r="E1" t="s">
        <v>358</v>
      </c>
      <c r="F1" t="s">
        <v>359</v>
      </c>
      <c r="G1" t="s">
        <v>360</v>
      </c>
      <c r="H1" t="s">
        <v>361</v>
      </c>
      <c r="I1" t="s">
        <v>16</v>
      </c>
      <c r="J1" t="s">
        <v>17</v>
      </c>
      <c r="K1" t="s">
        <v>19</v>
      </c>
      <c r="L1" t="s">
        <v>18</v>
      </c>
      <c r="M1" t="s">
        <v>4</v>
      </c>
    </row>
    <row r="2" spans="1:13" x14ac:dyDescent="0.2">
      <c r="A2" t="s">
        <v>101</v>
      </c>
      <c r="B2" t="s">
        <v>268</v>
      </c>
      <c r="C2" t="s">
        <v>269</v>
      </c>
      <c r="D2">
        <v>0.39260912698412698</v>
      </c>
      <c r="E2">
        <v>0.49709145021645018</v>
      </c>
      <c r="F2">
        <v>0.28706349206349208</v>
      </c>
      <c r="G2">
        <v>0.36215608465608462</v>
      </c>
      <c r="H2">
        <v>0.38473003848003851</v>
      </c>
      <c r="I2">
        <v>0.38801353874883282</v>
      </c>
      <c r="J2">
        <v>0.48890692640692646</v>
      </c>
      <c r="K2">
        <v>0.24562830687830686</v>
      </c>
      <c r="L2">
        <v>0.30771885521885523</v>
      </c>
      <c r="M2">
        <v>0.35756690681323033</v>
      </c>
    </row>
    <row r="3" spans="1:13" x14ac:dyDescent="0.2">
      <c r="A3" t="s">
        <v>102</v>
      </c>
      <c r="B3" t="s">
        <v>272</v>
      </c>
      <c r="C3" t="s">
        <v>269</v>
      </c>
      <c r="D3">
        <v>0.32738095238095238</v>
      </c>
      <c r="E3">
        <v>0.30065386002886002</v>
      </c>
      <c r="F3">
        <v>0.3473809523809524</v>
      </c>
      <c r="G3">
        <v>0.41888888888888881</v>
      </c>
      <c r="H3">
        <v>0.34857616341991343</v>
      </c>
      <c r="I3">
        <v>0.32370448179271705</v>
      </c>
      <c r="J3">
        <v>0.32967171717171717</v>
      </c>
      <c r="K3">
        <v>0.30095238095238097</v>
      </c>
      <c r="L3">
        <v>0.37062049062049057</v>
      </c>
      <c r="M3">
        <v>0.33123726763432643</v>
      </c>
    </row>
    <row r="4" spans="1:13" x14ac:dyDescent="0.2">
      <c r="A4" t="s">
        <v>107</v>
      </c>
      <c r="B4" t="s">
        <v>275</v>
      </c>
      <c r="C4" t="s">
        <v>269</v>
      </c>
      <c r="D4">
        <v>0.51364087301587302</v>
      </c>
      <c r="E4">
        <v>0.25504148629148632</v>
      </c>
      <c r="F4">
        <v>0.42738095238095236</v>
      </c>
      <c r="G4">
        <v>0.47199735449735447</v>
      </c>
      <c r="H4">
        <v>0.41701516654641657</v>
      </c>
      <c r="I4">
        <v>0.50904528478057887</v>
      </c>
      <c r="J4">
        <v>0.28480339105339109</v>
      </c>
      <c r="K4">
        <v>0.42900132275132269</v>
      </c>
      <c r="L4">
        <v>0.41290644540644539</v>
      </c>
      <c r="M4">
        <v>0.40893911099793456</v>
      </c>
    </row>
    <row r="5" spans="1:13" s="27" customFormat="1" x14ac:dyDescent="0.2">
      <c r="A5" t="s">
        <v>108</v>
      </c>
      <c r="B5" t="s">
        <v>278</v>
      </c>
      <c r="C5" t="s">
        <v>269</v>
      </c>
      <c r="D5">
        <v>0.1674107142857143</v>
      </c>
      <c r="E5">
        <v>0.40693993506493503</v>
      </c>
      <c r="F5">
        <v>0.2605291005291005</v>
      </c>
      <c r="G5">
        <v>0.44566798941798941</v>
      </c>
      <c r="H5">
        <v>0.32013693482443484</v>
      </c>
      <c r="I5">
        <v>0.17935924369747902</v>
      </c>
      <c r="J5">
        <v>0.42405303030303027</v>
      </c>
      <c r="K5">
        <v>0.24148148148148149</v>
      </c>
      <c r="L5">
        <v>0.38358285233285228</v>
      </c>
      <c r="M5">
        <v>0.30711915195371076</v>
      </c>
    </row>
    <row r="6" spans="1:13" x14ac:dyDescent="0.2">
      <c r="A6" t="s">
        <v>115</v>
      </c>
      <c r="B6" t="s">
        <v>279</v>
      </c>
      <c r="C6" t="s">
        <v>269</v>
      </c>
      <c r="D6">
        <v>0.42224702380952378</v>
      </c>
      <c r="E6">
        <v>0.46143578643578642</v>
      </c>
      <c r="F6">
        <v>0.34380952380952379</v>
      </c>
      <c r="G6">
        <v>0.56407407407407406</v>
      </c>
      <c r="H6">
        <v>0.447891602032227</v>
      </c>
      <c r="I6">
        <v>0.4466036414565826</v>
      </c>
      <c r="J6">
        <v>0.45250721500721502</v>
      </c>
      <c r="K6">
        <v>0.33246693121693116</v>
      </c>
      <c r="L6">
        <v>0.48939874939874939</v>
      </c>
      <c r="M6">
        <v>0.43024413426986952</v>
      </c>
    </row>
    <row r="7" spans="1:13" x14ac:dyDescent="0.2">
      <c r="A7" t="s">
        <v>117</v>
      </c>
      <c r="B7" t="s">
        <v>280</v>
      </c>
      <c r="C7" t="s">
        <v>269</v>
      </c>
      <c r="D7">
        <v>0.38603670634920634</v>
      </c>
      <c r="E7">
        <v>0.41622925685425682</v>
      </c>
      <c r="F7">
        <v>0.36126984126984124</v>
      </c>
      <c r="G7">
        <v>0.45744047619047618</v>
      </c>
      <c r="H7">
        <v>0.40524407016594516</v>
      </c>
      <c r="I7">
        <v>0.41039332399626516</v>
      </c>
      <c r="J7">
        <v>0.43334235209235206</v>
      </c>
      <c r="K7">
        <v>0.36126984126984124</v>
      </c>
      <c r="L7">
        <v>0.41746933621933618</v>
      </c>
      <c r="M7">
        <v>0.40561871339444866</v>
      </c>
    </row>
    <row r="8" spans="1:13" x14ac:dyDescent="0.2">
      <c r="A8" t="s">
        <v>119</v>
      </c>
      <c r="B8" t="s">
        <v>283</v>
      </c>
      <c r="C8" t="s">
        <v>269</v>
      </c>
      <c r="D8">
        <v>0.41939484126984128</v>
      </c>
      <c r="E8">
        <v>0.28579545454545452</v>
      </c>
      <c r="F8">
        <v>0.10314814814814814</v>
      </c>
      <c r="G8">
        <v>0.29166005291005292</v>
      </c>
      <c r="H8">
        <v>0.27499962421837421</v>
      </c>
      <c r="I8">
        <v>0.400093370681606</v>
      </c>
      <c r="J8">
        <v>0.23966450216450216</v>
      </c>
      <c r="K8">
        <v>0.10314814814814814</v>
      </c>
      <c r="L8">
        <v>0.25933682058682056</v>
      </c>
      <c r="M8">
        <v>0.25056071039526923</v>
      </c>
    </row>
    <row r="9" spans="1:13" x14ac:dyDescent="0.2">
      <c r="A9" t="s">
        <v>120</v>
      </c>
      <c r="B9" t="s">
        <v>285</v>
      </c>
      <c r="C9" t="s">
        <v>269</v>
      </c>
      <c r="D9">
        <v>0.30642361111111116</v>
      </c>
      <c r="E9">
        <v>0.44366883116883116</v>
      </c>
      <c r="F9">
        <v>0.3734656084656085</v>
      </c>
      <c r="G9">
        <v>0.29376984126984129</v>
      </c>
      <c r="H9">
        <v>0.35433197300384806</v>
      </c>
      <c r="I9">
        <v>0.30780228758169936</v>
      </c>
      <c r="J9">
        <v>0.42283549783549779</v>
      </c>
      <c r="K9">
        <v>0.37115079365079368</v>
      </c>
      <c r="L9">
        <v>0.29376984126984129</v>
      </c>
      <c r="M9">
        <v>0.34888960508445804</v>
      </c>
    </row>
    <row r="10" spans="1:13" x14ac:dyDescent="0.2">
      <c r="A10" t="s">
        <v>122</v>
      </c>
      <c r="B10" t="s">
        <v>287</v>
      </c>
      <c r="C10" t="s">
        <v>269</v>
      </c>
      <c r="D10">
        <v>0.20585317460317459</v>
      </c>
      <c r="E10">
        <v>0.39021013708513708</v>
      </c>
      <c r="F10">
        <v>0.31873015873015875</v>
      </c>
      <c r="G10">
        <v>0.56853174603174594</v>
      </c>
      <c r="H10">
        <v>0.37083130411255405</v>
      </c>
      <c r="I10">
        <v>0.22607376283846869</v>
      </c>
      <c r="J10">
        <v>0.40732323232323231</v>
      </c>
      <c r="K10">
        <v>0.32329365079365074</v>
      </c>
      <c r="L10">
        <v>0.49515512265512263</v>
      </c>
      <c r="M10">
        <v>0.36296144215261861</v>
      </c>
    </row>
    <row r="11" spans="1:13" x14ac:dyDescent="0.2">
      <c r="A11" t="s">
        <v>123</v>
      </c>
      <c r="B11" t="s">
        <v>289</v>
      </c>
      <c r="C11" t="s">
        <v>269</v>
      </c>
      <c r="D11">
        <v>0.60627480158730152</v>
      </c>
      <c r="E11">
        <v>0.70426587301587296</v>
      </c>
      <c r="F11">
        <v>0.64301587301587304</v>
      </c>
      <c r="G11">
        <v>0.62097883597883596</v>
      </c>
      <c r="H11">
        <v>0.64363384589947081</v>
      </c>
      <c r="I11">
        <v>0.58835200746965444</v>
      </c>
      <c r="J11">
        <v>0.67450396825396819</v>
      </c>
      <c r="K11">
        <v>0.59824074074074074</v>
      </c>
      <c r="L11">
        <v>0.54154160654160655</v>
      </c>
      <c r="M11">
        <v>0.60065958075149251</v>
      </c>
    </row>
    <row r="12" spans="1:13" s="27" customFormat="1" x14ac:dyDescent="0.2">
      <c r="A12" t="s">
        <v>124</v>
      </c>
      <c r="B12" t="s">
        <v>290</v>
      </c>
      <c r="C12" t="s">
        <v>269</v>
      </c>
      <c r="D12">
        <v>0.49032738095238093</v>
      </c>
      <c r="E12">
        <v>0.42441829004329001</v>
      </c>
      <c r="F12">
        <v>0.43121693121693128</v>
      </c>
      <c r="G12">
        <v>0.6061441798941799</v>
      </c>
      <c r="H12">
        <v>0.48802669552669553</v>
      </c>
      <c r="I12">
        <v>0.48573179271708683</v>
      </c>
      <c r="J12">
        <v>0.44153138528138525</v>
      </c>
      <c r="K12">
        <v>0.45330687830687832</v>
      </c>
      <c r="L12">
        <v>0.52681517556517554</v>
      </c>
      <c r="M12">
        <v>0.4768463079676315</v>
      </c>
    </row>
    <row r="13" spans="1:13" x14ac:dyDescent="0.2">
      <c r="A13" t="s">
        <v>128</v>
      </c>
      <c r="B13" t="s">
        <v>292</v>
      </c>
      <c r="C13" t="s">
        <v>269</v>
      </c>
      <c r="D13">
        <v>0.29786706349206349</v>
      </c>
      <c r="E13">
        <v>0.37704274891774886</v>
      </c>
      <c r="F13">
        <v>0.33291005291005293</v>
      </c>
      <c r="G13">
        <v>0.40789682539682542</v>
      </c>
      <c r="H13">
        <v>0.35392917267917262</v>
      </c>
      <c r="I13">
        <v>0.27856559290382821</v>
      </c>
      <c r="J13">
        <v>0.38336715367965363</v>
      </c>
      <c r="K13">
        <v>0.3264285714285714</v>
      </c>
      <c r="L13">
        <v>0.36749278499278504</v>
      </c>
      <c r="M13">
        <v>0.33896352575120958</v>
      </c>
    </row>
    <row r="14" spans="1:13" x14ac:dyDescent="0.2">
      <c r="A14" t="s">
        <v>129</v>
      </c>
      <c r="B14" t="s">
        <v>293</v>
      </c>
      <c r="C14" t="s">
        <v>269</v>
      </c>
      <c r="D14">
        <v>0.19990079365079363</v>
      </c>
      <c r="E14">
        <v>0.40159632034632031</v>
      </c>
      <c r="F14">
        <v>0.2496031746031746</v>
      </c>
      <c r="G14">
        <v>0.24063492063492067</v>
      </c>
      <c r="H14">
        <v>0.27293380230880232</v>
      </c>
      <c r="I14">
        <v>0.23666549953314658</v>
      </c>
      <c r="J14">
        <v>0.380762987012987</v>
      </c>
      <c r="K14">
        <v>0.2496031746031746</v>
      </c>
      <c r="L14">
        <v>0.22447330447330449</v>
      </c>
      <c r="M14">
        <v>0.27287624140565314</v>
      </c>
    </row>
    <row r="15" spans="1:13" x14ac:dyDescent="0.2">
      <c r="A15" t="s">
        <v>131</v>
      </c>
      <c r="B15" t="s">
        <v>310</v>
      </c>
      <c r="C15" t="s">
        <v>269</v>
      </c>
      <c r="D15">
        <v>0.45436507936507931</v>
      </c>
      <c r="E15">
        <v>0.49178391053391046</v>
      </c>
      <c r="F15">
        <v>0.41822751322751317</v>
      </c>
      <c r="G15">
        <v>0.54115079365079366</v>
      </c>
      <c r="H15">
        <v>0.47638182419432418</v>
      </c>
      <c r="I15">
        <v>0.45620331465919695</v>
      </c>
      <c r="J15">
        <v>0.48285533910533907</v>
      </c>
      <c r="K15">
        <v>0.40619047619047616</v>
      </c>
      <c r="L15">
        <v>0.48454906204906206</v>
      </c>
      <c r="M15">
        <v>0.45744954800101856</v>
      </c>
    </row>
    <row r="16" spans="1:13" s="27" customFormat="1" x14ac:dyDescent="0.2">
      <c r="A16" t="s">
        <v>134</v>
      </c>
      <c r="B16" t="s">
        <v>308</v>
      </c>
      <c r="C16" t="s">
        <v>269</v>
      </c>
      <c r="D16">
        <v>0.45262896825396826</v>
      </c>
      <c r="E16">
        <v>0.46084956709956709</v>
      </c>
      <c r="F16">
        <v>0.62380952380952381</v>
      </c>
      <c r="G16">
        <v>0.45076719576719582</v>
      </c>
      <c r="H16">
        <v>0.4970138137325637</v>
      </c>
      <c r="I16">
        <v>0.44803338001867415</v>
      </c>
      <c r="J16">
        <v>0.43555194805194808</v>
      </c>
      <c r="K16">
        <v>0.57771164021164023</v>
      </c>
      <c r="L16">
        <v>0.40415824915824911</v>
      </c>
      <c r="M16">
        <v>0.46636380436012792</v>
      </c>
    </row>
    <row r="17" spans="1:13" x14ac:dyDescent="0.2">
      <c r="A17" t="s">
        <v>138</v>
      </c>
      <c r="B17" t="s">
        <v>304</v>
      </c>
      <c r="C17" t="s">
        <v>269</v>
      </c>
      <c r="D17">
        <v>0.56001984126984128</v>
      </c>
      <c r="E17">
        <v>0.48294552669552671</v>
      </c>
      <c r="F17">
        <v>0.59042328042328041</v>
      </c>
      <c r="G17">
        <v>0.59167989417989419</v>
      </c>
      <c r="H17">
        <v>0.5562671356421357</v>
      </c>
      <c r="I17">
        <v>0.57656395891690004</v>
      </c>
      <c r="J17">
        <v>0.4874098124098124</v>
      </c>
      <c r="K17">
        <v>0.56767195767195766</v>
      </c>
      <c r="L17">
        <v>0.5412469937469937</v>
      </c>
      <c r="M17">
        <v>0.54322318068641595</v>
      </c>
    </row>
    <row r="18" spans="1:13" x14ac:dyDescent="0.2">
      <c r="A18" t="s">
        <v>139</v>
      </c>
      <c r="B18" t="s">
        <v>301</v>
      </c>
      <c r="C18" t="s">
        <v>269</v>
      </c>
      <c r="D18">
        <v>0.27678571428571425</v>
      </c>
      <c r="E18">
        <v>0.49255050505050502</v>
      </c>
      <c r="F18">
        <v>0.35656084656084663</v>
      </c>
      <c r="G18">
        <v>0.41100529100529098</v>
      </c>
      <c r="H18">
        <v>0.38422558922558919</v>
      </c>
      <c r="I18">
        <v>0.24369747899159661</v>
      </c>
      <c r="J18">
        <v>0.49775883838383833</v>
      </c>
      <c r="K18">
        <v>0.38513227513227516</v>
      </c>
      <c r="L18">
        <v>0.3871957671957672</v>
      </c>
      <c r="M18">
        <v>0.37844608992586937</v>
      </c>
    </row>
    <row r="19" spans="1:13" x14ac:dyDescent="0.2">
      <c r="A19" t="s">
        <v>140</v>
      </c>
      <c r="B19" t="s">
        <v>300</v>
      </c>
      <c r="C19" t="s">
        <v>269</v>
      </c>
      <c r="D19">
        <v>0.48921130952380953</v>
      </c>
      <c r="E19">
        <v>0.30455447330447327</v>
      </c>
      <c r="F19">
        <v>0.45465608465608465</v>
      </c>
      <c r="G19">
        <v>0.63048941798941804</v>
      </c>
      <c r="H19">
        <v>0.46972782136844637</v>
      </c>
      <c r="I19">
        <v>0.45454014939309056</v>
      </c>
      <c r="J19">
        <v>0.30901875901875903</v>
      </c>
      <c r="K19">
        <v>0.44493386243386246</v>
      </c>
      <c r="L19">
        <v>0.57399591149591145</v>
      </c>
      <c r="M19">
        <v>0.44562217058540587</v>
      </c>
    </row>
    <row r="20" spans="1:13" x14ac:dyDescent="0.2">
      <c r="A20" t="s">
        <v>141</v>
      </c>
      <c r="B20" t="s">
        <v>297</v>
      </c>
      <c r="C20" t="s">
        <v>269</v>
      </c>
      <c r="D20">
        <v>0.3292410714285714</v>
      </c>
      <c r="E20">
        <v>0.35427038239538244</v>
      </c>
      <c r="F20">
        <v>0.40328042328042335</v>
      </c>
      <c r="G20">
        <v>0.55207671957671955</v>
      </c>
      <c r="H20">
        <v>0.40971714917027419</v>
      </c>
      <c r="I20">
        <v>0.34532563025210083</v>
      </c>
      <c r="J20">
        <v>0.37138347763347768</v>
      </c>
      <c r="K20">
        <v>0.3754695767195767</v>
      </c>
      <c r="L20">
        <v>0.47870009620009613</v>
      </c>
      <c r="M20">
        <v>0.39271969520131289</v>
      </c>
    </row>
    <row r="21" spans="1:13" x14ac:dyDescent="0.2">
      <c r="A21" t="s">
        <v>144</v>
      </c>
      <c r="B21" t="s">
        <v>295</v>
      </c>
      <c r="C21" t="s">
        <v>269</v>
      </c>
      <c r="D21">
        <v>0.1314484126984127</v>
      </c>
      <c r="E21">
        <v>0.15416666666666667</v>
      </c>
      <c r="F21">
        <v>9.1851851851851837E-2</v>
      </c>
      <c r="G21">
        <v>7.6772486772486756E-2</v>
      </c>
      <c r="H21">
        <v>0.11355985449735449</v>
      </c>
      <c r="I21">
        <v>0.16821311858076565</v>
      </c>
      <c r="J21">
        <v>0.18392857142857141</v>
      </c>
      <c r="K21">
        <v>9.1851851851851837E-2</v>
      </c>
      <c r="L21">
        <v>7.6772486772486756E-2</v>
      </c>
      <c r="M21">
        <v>0.1301915071584189</v>
      </c>
    </row>
    <row r="22" spans="1:13" x14ac:dyDescent="0.2">
      <c r="A22" t="s">
        <v>103</v>
      </c>
      <c r="B22" t="s">
        <v>315</v>
      </c>
      <c r="C22" t="s">
        <v>110</v>
      </c>
      <c r="D22">
        <v>0.71552579365079361</v>
      </c>
      <c r="E22">
        <v>0.73402777777777772</v>
      </c>
      <c r="F22">
        <v>0.67338624338624342</v>
      </c>
      <c r="G22">
        <v>0.78547619047619044</v>
      </c>
      <c r="H22">
        <v>0.72710400132275133</v>
      </c>
      <c r="I22">
        <v>0.69438608776844069</v>
      </c>
      <c r="J22">
        <v>0.6878968253968254</v>
      </c>
      <c r="K22">
        <v>0.6620436507936508</v>
      </c>
      <c r="L22">
        <v>0.69413419913419916</v>
      </c>
      <c r="M22">
        <v>0.68461519077327893</v>
      </c>
    </row>
    <row r="23" spans="1:13" x14ac:dyDescent="0.2">
      <c r="A23" t="s">
        <v>105</v>
      </c>
      <c r="B23" t="s">
        <v>317</v>
      </c>
      <c r="C23" t="s">
        <v>110</v>
      </c>
      <c r="D23">
        <v>0.59697420634920628</v>
      </c>
      <c r="E23">
        <v>0.56294191919191916</v>
      </c>
      <c r="F23">
        <v>0.58984126984126983</v>
      </c>
      <c r="G23">
        <v>0.62925925925925918</v>
      </c>
      <c r="H23">
        <v>0.59475416366041367</v>
      </c>
      <c r="I23">
        <v>0.56112861811391224</v>
      </c>
      <c r="J23">
        <v>0.54954906204906206</v>
      </c>
      <c r="K23">
        <v>0.58798941798941795</v>
      </c>
      <c r="L23">
        <v>0.54527657527657525</v>
      </c>
      <c r="M23">
        <v>0.56098591835724188</v>
      </c>
    </row>
    <row r="24" spans="1:13" x14ac:dyDescent="0.2">
      <c r="A24" t="s">
        <v>106</v>
      </c>
      <c r="B24" t="s">
        <v>319</v>
      </c>
      <c r="C24" t="s">
        <v>110</v>
      </c>
      <c r="D24">
        <v>0.4888392857142857</v>
      </c>
      <c r="E24">
        <v>0.65515873015873016</v>
      </c>
      <c r="F24">
        <v>0.58198412698412705</v>
      </c>
      <c r="G24">
        <v>0.60031746031746036</v>
      </c>
      <c r="H24">
        <v>0.58157490079365082</v>
      </c>
      <c r="I24">
        <v>0.46769957983193278</v>
      </c>
      <c r="J24">
        <v>0.61163194444444446</v>
      </c>
      <c r="K24">
        <v>0.54686507936507944</v>
      </c>
      <c r="L24">
        <v>0.57650793650793652</v>
      </c>
      <c r="M24">
        <v>0.55067613503734825</v>
      </c>
    </row>
    <row r="25" spans="1:13" x14ac:dyDescent="0.2">
      <c r="A25" t="s">
        <v>112</v>
      </c>
      <c r="B25" t="s">
        <v>322</v>
      </c>
      <c r="C25" t="s">
        <v>110</v>
      </c>
      <c r="D25">
        <v>0.64112103174603174</v>
      </c>
      <c r="E25">
        <v>0.76730699855699847</v>
      </c>
      <c r="F25">
        <v>0.44394179894179897</v>
      </c>
      <c r="G25">
        <v>0.7714550264550265</v>
      </c>
      <c r="H25">
        <v>0.65595621392496395</v>
      </c>
      <c r="I25">
        <v>0.62345354808590103</v>
      </c>
      <c r="J25">
        <v>0.74349747474747474</v>
      </c>
      <c r="K25">
        <v>0.43583994708994711</v>
      </c>
      <c r="L25">
        <v>0.69223424723424731</v>
      </c>
      <c r="M25">
        <v>0.62375630428939255</v>
      </c>
    </row>
    <row r="26" spans="1:13" x14ac:dyDescent="0.2">
      <c r="A26" t="s">
        <v>113</v>
      </c>
      <c r="B26" t="s">
        <v>324</v>
      </c>
      <c r="C26" t="s">
        <v>110</v>
      </c>
      <c r="D26">
        <v>0.60094246031746035</v>
      </c>
      <c r="E26">
        <v>0.35799062049062047</v>
      </c>
      <c r="F26">
        <v>0.50481481481481483</v>
      </c>
      <c r="G26">
        <v>0.55501322751322746</v>
      </c>
      <c r="H26">
        <v>0.50469028078403078</v>
      </c>
      <c r="I26">
        <v>0.61289098972922507</v>
      </c>
      <c r="J26">
        <v>0.36245490620490622</v>
      </c>
      <c r="K26">
        <v>0.49509259259259258</v>
      </c>
      <c r="L26">
        <v>0.48697570947570945</v>
      </c>
      <c r="M26">
        <v>0.48935354950060833</v>
      </c>
    </row>
    <row r="27" spans="1:13" x14ac:dyDescent="0.2">
      <c r="A27" t="s">
        <v>116</v>
      </c>
      <c r="B27" t="s">
        <v>327</v>
      </c>
      <c r="C27" t="s">
        <v>110</v>
      </c>
      <c r="D27">
        <v>0.625</v>
      </c>
      <c r="E27">
        <v>0.7270833333333333</v>
      </c>
      <c r="F27">
        <v>0.60431216931216925</v>
      </c>
      <c r="G27">
        <v>0.73476190476190473</v>
      </c>
      <c r="H27">
        <v>0.67278935185185185</v>
      </c>
      <c r="I27">
        <v>0.625</v>
      </c>
      <c r="J27">
        <v>0.67946428571428574</v>
      </c>
      <c r="K27">
        <v>0.59829365079365071</v>
      </c>
      <c r="L27">
        <v>0.71423733129615485</v>
      </c>
      <c r="M27">
        <v>0.65424881695102288</v>
      </c>
    </row>
    <row r="28" spans="1:13" x14ac:dyDescent="0.2">
      <c r="A28" t="s">
        <v>118</v>
      </c>
      <c r="B28" t="s">
        <v>329</v>
      </c>
      <c r="C28" t="s">
        <v>110</v>
      </c>
      <c r="D28">
        <v>0.63318452380952372</v>
      </c>
      <c r="E28">
        <v>0.51931367243867244</v>
      </c>
      <c r="F28">
        <v>0.5880158730158731</v>
      </c>
      <c r="G28">
        <v>0.65650132275132278</v>
      </c>
      <c r="H28">
        <v>0.59925384800384807</v>
      </c>
      <c r="I28">
        <v>0.61204481792717091</v>
      </c>
      <c r="J28">
        <v>0.5111291486291486</v>
      </c>
      <c r="K28">
        <v>0.57713624338624336</v>
      </c>
      <c r="L28">
        <v>0.57587361712361707</v>
      </c>
      <c r="M28">
        <v>0.56904595676654501</v>
      </c>
    </row>
    <row r="29" spans="1:13" x14ac:dyDescent="0.2">
      <c r="A29" t="s">
        <v>121</v>
      </c>
      <c r="B29" t="s">
        <v>331</v>
      </c>
      <c r="C29" t="s">
        <v>110</v>
      </c>
      <c r="D29">
        <v>0.57862103174603174</v>
      </c>
      <c r="E29">
        <v>0.60970418470418464</v>
      </c>
      <c r="F29">
        <v>0.49751322751322757</v>
      </c>
      <c r="G29">
        <v>0.49326719576719569</v>
      </c>
      <c r="H29">
        <v>0.54477640993265986</v>
      </c>
      <c r="I29">
        <v>0.55748132586367882</v>
      </c>
      <c r="J29">
        <v>0.58887085137085138</v>
      </c>
      <c r="K29">
        <v>0.45802910052910056</v>
      </c>
      <c r="L29">
        <v>0.44956971677559909</v>
      </c>
      <c r="M29">
        <v>0.51348774863480751</v>
      </c>
    </row>
    <row r="30" spans="1:13" x14ac:dyDescent="0.2">
      <c r="A30" t="s">
        <v>125</v>
      </c>
      <c r="B30" t="s">
        <v>334</v>
      </c>
      <c r="C30" t="s">
        <v>110</v>
      </c>
      <c r="D30">
        <v>0.63566468253968256</v>
      </c>
      <c r="E30">
        <v>0.53701298701298694</v>
      </c>
      <c r="F30">
        <v>0.59880952380952379</v>
      </c>
      <c r="G30">
        <v>0.68571428571428572</v>
      </c>
      <c r="H30">
        <v>0.61430036976911984</v>
      </c>
      <c r="I30">
        <v>0.5998190943043884</v>
      </c>
      <c r="J30">
        <v>0.54147727272727275</v>
      </c>
      <c r="K30">
        <v>0.56547619047619047</v>
      </c>
      <c r="L30">
        <v>0.64848484848484855</v>
      </c>
      <c r="M30">
        <v>0.58881435149817507</v>
      </c>
    </row>
    <row r="31" spans="1:13" x14ac:dyDescent="0.2">
      <c r="A31" t="s">
        <v>126</v>
      </c>
      <c r="B31" t="s">
        <v>335</v>
      </c>
      <c r="C31" t="s">
        <v>110</v>
      </c>
      <c r="D31">
        <v>0.66145833333333326</v>
      </c>
      <c r="E31">
        <v>0.73005952380952377</v>
      </c>
      <c r="F31">
        <v>0.66089947089947088</v>
      </c>
      <c r="G31">
        <v>0.68404761904761913</v>
      </c>
      <c r="H31">
        <v>0.68411623677248667</v>
      </c>
      <c r="I31">
        <v>0.64031862745098045</v>
      </c>
      <c r="J31">
        <v>0.67648809523809528</v>
      </c>
      <c r="K31">
        <v>0.63285714285714278</v>
      </c>
      <c r="L31">
        <v>0.68404761904761913</v>
      </c>
      <c r="M31">
        <v>0.65842787114845946</v>
      </c>
    </row>
    <row r="32" spans="1:13" x14ac:dyDescent="0.2">
      <c r="A32" t="s">
        <v>127</v>
      </c>
      <c r="B32" t="s">
        <v>338</v>
      </c>
      <c r="C32" t="s">
        <v>110</v>
      </c>
      <c r="D32">
        <v>0.71304563492063489</v>
      </c>
      <c r="E32">
        <v>0.52835497835497836</v>
      </c>
      <c r="F32">
        <v>0.54661375661375655</v>
      </c>
      <c r="G32">
        <v>0.49136904761904765</v>
      </c>
      <c r="H32">
        <v>0.56984585437710433</v>
      </c>
      <c r="I32">
        <v>0.69190592903828196</v>
      </c>
      <c r="J32">
        <v>0.50752164502164498</v>
      </c>
      <c r="K32">
        <v>0.50507936507936502</v>
      </c>
      <c r="L32">
        <v>0.45392316017316015</v>
      </c>
      <c r="M32">
        <v>0.53960752482811303</v>
      </c>
    </row>
    <row r="33" spans="1:13" x14ac:dyDescent="0.2">
      <c r="A33" t="s">
        <v>130</v>
      </c>
      <c r="B33" t="s">
        <v>349</v>
      </c>
      <c r="C33" t="s">
        <v>110</v>
      </c>
      <c r="D33">
        <v>0.44866071428571425</v>
      </c>
      <c r="E33">
        <v>0.57637987012987013</v>
      </c>
      <c r="F33">
        <v>0.4121164021164021</v>
      </c>
      <c r="G33">
        <v>0.66273809523809524</v>
      </c>
      <c r="H33">
        <v>0.52497377044252036</v>
      </c>
      <c r="I33">
        <v>0.42752100840336132</v>
      </c>
      <c r="J33">
        <v>0.53024891774891769</v>
      </c>
      <c r="K33">
        <v>0.40841269841269839</v>
      </c>
      <c r="L33">
        <v>0.61425324675324666</v>
      </c>
      <c r="M33">
        <v>0.49510896782955599</v>
      </c>
    </row>
    <row r="34" spans="1:13" s="27" customFormat="1" x14ac:dyDescent="0.2">
      <c r="A34" t="s">
        <v>136</v>
      </c>
      <c r="B34" t="s">
        <v>346</v>
      </c>
      <c r="C34" t="s">
        <v>110</v>
      </c>
      <c r="D34">
        <v>0.52058531746031744</v>
      </c>
      <c r="E34">
        <v>0.6958333333333333</v>
      </c>
      <c r="F34">
        <v>0.45891534391534394</v>
      </c>
      <c r="G34">
        <v>0.57333333333333325</v>
      </c>
      <c r="H34">
        <v>0.56216683201058193</v>
      </c>
      <c r="I34">
        <v>0.51598972922502329</v>
      </c>
      <c r="J34">
        <v>0.6422619047619047</v>
      </c>
      <c r="K34">
        <v>0.45567460317460318</v>
      </c>
      <c r="L34">
        <v>0.49627705627705626</v>
      </c>
      <c r="M34">
        <v>0.52755082335964687</v>
      </c>
    </row>
    <row r="35" spans="1:13" x14ac:dyDescent="0.2">
      <c r="A35" t="s">
        <v>137</v>
      </c>
      <c r="B35" t="s">
        <v>343</v>
      </c>
      <c r="C35" t="s">
        <v>110</v>
      </c>
      <c r="D35">
        <v>0.55828373015873012</v>
      </c>
      <c r="E35">
        <v>0.73253968253968249</v>
      </c>
      <c r="F35">
        <v>0.64079365079365069</v>
      </c>
      <c r="G35">
        <v>0.74243386243386245</v>
      </c>
      <c r="H35">
        <v>0.66851273148148138</v>
      </c>
      <c r="I35">
        <v>0.55368814192343596</v>
      </c>
      <c r="J35">
        <v>0.68492063492063482</v>
      </c>
      <c r="K35">
        <v>0.63060846560846562</v>
      </c>
      <c r="L35">
        <v>0.71386243386243386</v>
      </c>
      <c r="M35">
        <v>0.64576991907874259</v>
      </c>
    </row>
    <row r="36" spans="1:13" x14ac:dyDescent="0.2">
      <c r="A36" t="s">
        <v>142</v>
      </c>
      <c r="B36" t="s">
        <v>342</v>
      </c>
      <c r="C36" t="s">
        <v>110</v>
      </c>
      <c r="D36">
        <v>0.54365079365079361</v>
      </c>
      <c r="E36">
        <v>0.58693181818181817</v>
      </c>
      <c r="F36">
        <v>0.52640211640211643</v>
      </c>
      <c r="G36">
        <v>0.55735449735449727</v>
      </c>
      <c r="H36">
        <v>0.55358480639730634</v>
      </c>
      <c r="I36">
        <v>0.56019491129785237</v>
      </c>
      <c r="J36">
        <v>0.54080086580086573</v>
      </c>
      <c r="K36">
        <v>0.48691798941798947</v>
      </c>
      <c r="L36">
        <v>0.48289562289562288</v>
      </c>
      <c r="M36">
        <v>0.51770234735308251</v>
      </c>
    </row>
    <row r="37" spans="1:13" x14ac:dyDescent="0.2">
      <c r="A37" t="s">
        <v>143</v>
      </c>
      <c r="B37" t="s">
        <v>341</v>
      </c>
      <c r="C37" t="s">
        <v>110</v>
      </c>
      <c r="D37">
        <v>0.59300595238095233</v>
      </c>
      <c r="E37">
        <v>0.60118145743145746</v>
      </c>
      <c r="F37">
        <v>0.59830687830687823</v>
      </c>
      <c r="G37">
        <v>0.70857142857142852</v>
      </c>
      <c r="H37">
        <v>0.62526642917267916</v>
      </c>
      <c r="I37">
        <v>0.57186624649859941</v>
      </c>
      <c r="J37">
        <v>0.55505050505050502</v>
      </c>
      <c r="K37">
        <v>0.58210317460317462</v>
      </c>
      <c r="L37">
        <v>0.68432900432900434</v>
      </c>
      <c r="M37">
        <v>0.59833723262032079</v>
      </c>
    </row>
    <row r="38" spans="1:13" x14ac:dyDescent="0.2">
      <c r="A38" t="s">
        <v>264</v>
      </c>
      <c r="B38" t="s">
        <v>265</v>
      </c>
      <c r="C38" t="s">
        <v>198</v>
      </c>
      <c r="D38">
        <v>0.42832341269841268</v>
      </c>
      <c r="E38">
        <v>0.41877705627705619</v>
      </c>
      <c r="F38">
        <v>0.67359788359788353</v>
      </c>
      <c r="G38">
        <v>0.59499999999999997</v>
      </c>
      <c r="H38">
        <v>0.52892458814333809</v>
      </c>
      <c r="I38">
        <v>0.42372782446311863</v>
      </c>
      <c r="J38">
        <v>0.39794372294372293</v>
      </c>
      <c r="K38">
        <v>0.66341269841269834</v>
      </c>
      <c r="L38">
        <v>0.52054112554112542</v>
      </c>
      <c r="M38">
        <v>0.50140634284016627</v>
      </c>
    </row>
    <row r="39" spans="1:13" x14ac:dyDescent="0.2">
      <c r="A39" t="s">
        <v>260</v>
      </c>
      <c r="B39" t="s">
        <v>261</v>
      </c>
      <c r="C39" t="s">
        <v>198</v>
      </c>
      <c r="D39">
        <v>0.39335317460317459</v>
      </c>
      <c r="E39">
        <v>0.45706168831168831</v>
      </c>
      <c r="F39">
        <v>0.46335978835978836</v>
      </c>
      <c r="G39">
        <v>0.55584656084656081</v>
      </c>
      <c r="H39">
        <v>0.46740530303030303</v>
      </c>
      <c r="I39">
        <v>0.37497082166199813</v>
      </c>
      <c r="J39">
        <v>0.43622835497835494</v>
      </c>
      <c r="K39">
        <v>0.44715608465608464</v>
      </c>
      <c r="L39">
        <v>0.48449013949013953</v>
      </c>
      <c r="M39">
        <v>0.43571135019664431</v>
      </c>
    </row>
    <row r="40" spans="1:13" x14ac:dyDescent="0.2">
      <c r="A40" t="s">
        <v>257</v>
      </c>
      <c r="B40" t="s">
        <v>258</v>
      </c>
      <c r="C40" t="s">
        <v>198</v>
      </c>
      <c r="D40">
        <v>0.52777777777777779</v>
      </c>
      <c r="E40">
        <v>0.30784632034632031</v>
      </c>
      <c r="F40">
        <v>0.55275132275132277</v>
      </c>
      <c r="G40">
        <v>0.64132275132275141</v>
      </c>
      <c r="H40">
        <v>0.5074245430495431</v>
      </c>
      <c r="I40">
        <v>0.50531045751633985</v>
      </c>
      <c r="J40">
        <v>0.33760822510822508</v>
      </c>
      <c r="K40">
        <v>0.54441798941798947</v>
      </c>
      <c r="L40">
        <v>0.58591149591149594</v>
      </c>
      <c r="M40">
        <v>0.49331204198851258</v>
      </c>
    </row>
    <row r="41" spans="1:13" x14ac:dyDescent="0.2">
      <c r="A41" t="s">
        <v>254</v>
      </c>
      <c r="B41" t="s">
        <v>255</v>
      </c>
      <c r="C41" t="s">
        <v>198</v>
      </c>
      <c r="D41">
        <v>0.37301587301587302</v>
      </c>
      <c r="E41">
        <v>0.40946518759018757</v>
      </c>
      <c r="F41">
        <v>0.61883597883597885</v>
      </c>
      <c r="G41">
        <v>0.56703703703703701</v>
      </c>
      <c r="H41">
        <v>0.49208851911976914</v>
      </c>
      <c r="I41">
        <v>0.36014822595704948</v>
      </c>
      <c r="J41">
        <v>0.42062590187590188</v>
      </c>
      <c r="K41">
        <v>0.57941798941798939</v>
      </c>
      <c r="L41">
        <v>0.5561063011063011</v>
      </c>
      <c r="M41">
        <v>0.4790746045893105</v>
      </c>
    </row>
    <row r="42" spans="1:13" x14ac:dyDescent="0.2">
      <c r="A42" t="s">
        <v>250</v>
      </c>
      <c r="B42" t="s">
        <v>251</v>
      </c>
      <c r="C42" t="s">
        <v>198</v>
      </c>
      <c r="D42">
        <v>0.44816468253968256</v>
      </c>
      <c r="E42">
        <v>0.30605158730158727</v>
      </c>
      <c r="F42">
        <v>0.67280423280423274</v>
      </c>
      <c r="G42">
        <v>0.60316137566137562</v>
      </c>
      <c r="H42">
        <v>0.50754546957671953</v>
      </c>
      <c r="I42">
        <v>0.42886321195144728</v>
      </c>
      <c r="J42">
        <v>0.31051587301587302</v>
      </c>
      <c r="K42">
        <v>0.66447089947089943</v>
      </c>
      <c r="L42">
        <v>0.55987133237133224</v>
      </c>
      <c r="M42">
        <v>0.49093032920238799</v>
      </c>
    </row>
    <row r="43" spans="1:13" x14ac:dyDescent="0.2">
      <c r="A43" t="s">
        <v>246</v>
      </c>
      <c r="B43" t="s">
        <v>247</v>
      </c>
      <c r="C43" t="s">
        <v>198</v>
      </c>
      <c r="D43">
        <v>0.50917658730158732</v>
      </c>
      <c r="E43">
        <v>0.57728174603174598</v>
      </c>
      <c r="F43">
        <v>0.37682539682539684</v>
      </c>
      <c r="G43">
        <v>0.65380952380952384</v>
      </c>
      <c r="H43">
        <v>0.52927331349206352</v>
      </c>
      <c r="I43">
        <v>0.4880368814192344</v>
      </c>
      <c r="J43">
        <v>0.58174603174603168</v>
      </c>
      <c r="K43">
        <v>0.38376984126984126</v>
      </c>
      <c r="L43">
        <v>0.58887445887445888</v>
      </c>
      <c r="M43">
        <v>0.51060680332739161</v>
      </c>
    </row>
    <row r="44" spans="1:13" x14ac:dyDescent="0.2">
      <c r="A44" t="s">
        <v>239</v>
      </c>
      <c r="B44" t="s">
        <v>240</v>
      </c>
      <c r="C44" t="s">
        <v>198</v>
      </c>
      <c r="D44">
        <v>0.54985119047619047</v>
      </c>
      <c r="E44">
        <v>0.41963383838383839</v>
      </c>
      <c r="F44">
        <v>0.39645502645502645</v>
      </c>
      <c r="G44">
        <v>0.28338624338624341</v>
      </c>
      <c r="H44">
        <v>0.41233157467532466</v>
      </c>
      <c r="I44">
        <v>0.53790266106442575</v>
      </c>
      <c r="J44">
        <v>0.42409812409812409</v>
      </c>
      <c r="K44">
        <v>0.38997354497354497</v>
      </c>
      <c r="L44">
        <v>0.30243386243386244</v>
      </c>
      <c r="M44">
        <v>0.4136020481424893</v>
      </c>
    </row>
    <row r="45" spans="1:13" x14ac:dyDescent="0.2">
      <c r="A45" t="s">
        <v>235</v>
      </c>
      <c r="B45" t="s">
        <v>236</v>
      </c>
      <c r="C45" t="s">
        <v>198</v>
      </c>
      <c r="D45">
        <v>0.64360119047619047</v>
      </c>
      <c r="E45">
        <v>0.29896284271284274</v>
      </c>
      <c r="F45">
        <v>0.50455026455026453</v>
      </c>
      <c r="G45">
        <v>0.49195767195767193</v>
      </c>
      <c r="H45">
        <v>0.4847679924242424</v>
      </c>
      <c r="I45">
        <v>0.60775560224089631</v>
      </c>
      <c r="J45">
        <v>0.3153318903318903</v>
      </c>
      <c r="K45">
        <v>0.48834656084656086</v>
      </c>
      <c r="L45">
        <v>0.45386243386243386</v>
      </c>
      <c r="M45">
        <v>0.46632412182044536</v>
      </c>
    </row>
    <row r="46" spans="1:13" x14ac:dyDescent="0.2">
      <c r="A46" t="s">
        <v>232</v>
      </c>
      <c r="B46" t="s">
        <v>233</v>
      </c>
      <c r="C46" t="s">
        <v>198</v>
      </c>
      <c r="D46">
        <v>0.43477182539682535</v>
      </c>
      <c r="E46">
        <v>0.53768939393939386</v>
      </c>
      <c r="F46">
        <v>0.34608465608465611</v>
      </c>
      <c r="G46">
        <v>0.49476190476190479</v>
      </c>
      <c r="H46">
        <v>0.45332694504569498</v>
      </c>
      <c r="I46">
        <v>0.43017623716153131</v>
      </c>
      <c r="J46">
        <v>0.49155844155844153</v>
      </c>
      <c r="K46">
        <v>0.32988095238095239</v>
      </c>
      <c r="L46">
        <v>0.42030303030303029</v>
      </c>
      <c r="M46">
        <v>0.41797966535098885</v>
      </c>
    </row>
    <row r="47" spans="1:13" x14ac:dyDescent="0.2">
      <c r="A47" t="s">
        <v>228</v>
      </c>
      <c r="B47" t="s">
        <v>229</v>
      </c>
      <c r="C47" t="s">
        <v>198</v>
      </c>
      <c r="D47">
        <v>0.69766865079365081</v>
      </c>
      <c r="E47">
        <v>0.54488185425685431</v>
      </c>
      <c r="F47">
        <v>0.42253968253968255</v>
      </c>
      <c r="G47">
        <v>0.60515873015873001</v>
      </c>
      <c r="H47">
        <v>0.56756222943722934</v>
      </c>
      <c r="I47">
        <v>0.66917600373482722</v>
      </c>
      <c r="J47">
        <v>0.53669733044733048</v>
      </c>
      <c r="K47">
        <v>0.40498015873015875</v>
      </c>
      <c r="L47">
        <v>0.56078643578643572</v>
      </c>
      <c r="M47">
        <v>0.542909982174688</v>
      </c>
    </row>
    <row r="48" spans="1:13" x14ac:dyDescent="0.2">
      <c r="A48" t="s">
        <v>226</v>
      </c>
      <c r="B48" t="s">
        <v>227</v>
      </c>
      <c r="C48" t="s">
        <v>198</v>
      </c>
      <c r="D48">
        <v>0.47296626984126988</v>
      </c>
      <c r="E48">
        <v>0.51333874458874451</v>
      </c>
      <c r="F48">
        <v>0.29812169312169312</v>
      </c>
      <c r="G48">
        <v>0.52195767195767195</v>
      </c>
      <c r="H48">
        <v>0.45159609487734487</v>
      </c>
      <c r="I48">
        <v>0.46837068160597572</v>
      </c>
      <c r="J48">
        <v>0.42702922077922079</v>
      </c>
      <c r="K48">
        <v>0.29511243386243385</v>
      </c>
      <c r="L48">
        <v>0.48891293891293885</v>
      </c>
      <c r="M48">
        <v>0.41985631879014229</v>
      </c>
    </row>
    <row r="49" spans="1:13" x14ac:dyDescent="0.2">
      <c r="A49" t="s">
        <v>222</v>
      </c>
      <c r="B49" t="s">
        <v>223</v>
      </c>
      <c r="C49" t="s">
        <v>198</v>
      </c>
      <c r="D49">
        <v>0.61557539682539675</v>
      </c>
      <c r="E49">
        <v>0.45543831168831161</v>
      </c>
      <c r="F49">
        <v>0.54544973544973541</v>
      </c>
      <c r="G49">
        <v>0.6456613756613756</v>
      </c>
      <c r="H49">
        <v>0.5655312049062049</v>
      </c>
      <c r="I49">
        <v>0.60781395891690004</v>
      </c>
      <c r="J49">
        <v>0.40261093073593068</v>
      </c>
      <c r="K49">
        <v>0.52276455026455027</v>
      </c>
      <c r="L49">
        <v>0.60237133237133234</v>
      </c>
      <c r="M49">
        <v>0.53389019307217833</v>
      </c>
    </row>
    <row r="50" spans="1:13" x14ac:dyDescent="0.2">
      <c r="A50" t="s">
        <v>218</v>
      </c>
      <c r="B50" t="s">
        <v>219</v>
      </c>
      <c r="C50" t="s">
        <v>198</v>
      </c>
      <c r="D50">
        <v>0.32936507936507936</v>
      </c>
      <c r="E50">
        <v>0.40948773448773446</v>
      </c>
      <c r="F50">
        <v>0.4811375661375662</v>
      </c>
      <c r="G50">
        <v>0.58063492063492073</v>
      </c>
      <c r="H50">
        <v>0.4501563251563252</v>
      </c>
      <c r="I50">
        <v>0.34131360877684402</v>
      </c>
      <c r="J50">
        <v>0.41395202020202015</v>
      </c>
      <c r="K50">
        <v>0.46817460317460319</v>
      </c>
      <c r="L50">
        <v>0.50357864357864357</v>
      </c>
      <c r="M50">
        <v>0.43175471893302775</v>
      </c>
    </row>
    <row r="51" spans="1:13" s="27" customFormat="1" x14ac:dyDescent="0.2">
      <c r="A51" t="s">
        <v>214</v>
      </c>
      <c r="B51" t="s">
        <v>215</v>
      </c>
      <c r="C51" t="s">
        <v>198</v>
      </c>
      <c r="D51">
        <v>0.39856150793650791</v>
      </c>
      <c r="E51">
        <v>0.14168470418470419</v>
      </c>
      <c r="F51">
        <v>0.48531746031746037</v>
      </c>
      <c r="G51">
        <v>0.36873015873015869</v>
      </c>
      <c r="H51">
        <v>0.34857345779220783</v>
      </c>
      <c r="I51">
        <v>0.36271591970121381</v>
      </c>
      <c r="J51">
        <v>0.14614898989898989</v>
      </c>
      <c r="K51">
        <v>0.433234126984127</v>
      </c>
      <c r="L51">
        <v>0.33705627705627705</v>
      </c>
      <c r="M51">
        <v>0.31978882841015194</v>
      </c>
    </row>
    <row r="52" spans="1:13" x14ac:dyDescent="0.2">
      <c r="A52" t="s">
        <v>210</v>
      </c>
      <c r="B52" t="s">
        <v>211</v>
      </c>
      <c r="C52" t="s">
        <v>198</v>
      </c>
      <c r="D52">
        <v>0.5200892857142857</v>
      </c>
      <c r="E52">
        <v>0.41837121212121209</v>
      </c>
      <c r="F52">
        <v>0.63756613756613745</v>
      </c>
      <c r="G52">
        <v>0.54047619047619044</v>
      </c>
      <c r="H52">
        <v>0.52912570646945645</v>
      </c>
      <c r="I52">
        <v>0.5136554621848739</v>
      </c>
      <c r="J52">
        <v>0.36033549783549779</v>
      </c>
      <c r="K52">
        <v>0.63571428571428568</v>
      </c>
      <c r="L52">
        <v>0.54047619047619044</v>
      </c>
      <c r="M52">
        <v>0.51254535905271192</v>
      </c>
    </row>
    <row r="53" spans="1:13" x14ac:dyDescent="0.2">
      <c r="A53" t="s">
        <v>196</v>
      </c>
      <c r="B53" t="s">
        <v>197</v>
      </c>
      <c r="C53" t="s">
        <v>198</v>
      </c>
      <c r="D53">
        <v>0.60168650793650791</v>
      </c>
      <c r="E53">
        <v>0.32371933621933618</v>
      </c>
      <c r="F53">
        <v>0.5174603174603174</v>
      </c>
      <c r="G53">
        <v>0.65301587301587305</v>
      </c>
      <c r="H53">
        <v>0.52397050865800865</v>
      </c>
      <c r="I53">
        <v>0.57227474323062555</v>
      </c>
      <c r="J53">
        <v>0.35348124098124095</v>
      </c>
      <c r="K53">
        <v>0.47440476190476188</v>
      </c>
      <c r="L53">
        <v>0.65539682539682542</v>
      </c>
      <c r="M53">
        <v>0.51388939287836344</v>
      </c>
    </row>
    <row r="54" spans="1:13" x14ac:dyDescent="0.2">
      <c r="A54" t="s">
        <v>205</v>
      </c>
      <c r="B54" t="s">
        <v>206</v>
      </c>
      <c r="C54" t="s">
        <v>198</v>
      </c>
      <c r="D54">
        <v>0.59399801587301582</v>
      </c>
      <c r="E54">
        <v>0.58043831168831161</v>
      </c>
      <c r="F54">
        <v>0.48867724867724871</v>
      </c>
      <c r="G54">
        <v>0.66238095238095229</v>
      </c>
      <c r="H54">
        <v>0.58137363215488214</v>
      </c>
      <c r="I54">
        <v>0.5728583099906629</v>
      </c>
      <c r="J54">
        <v>0.53281926406926405</v>
      </c>
      <c r="K54">
        <v>0.46807539682539678</v>
      </c>
      <c r="L54">
        <v>0.66238095238095229</v>
      </c>
      <c r="M54">
        <v>0.55903348081656901</v>
      </c>
    </row>
    <row r="55" spans="1:13" x14ac:dyDescent="0.2">
      <c r="A55" t="s">
        <v>202</v>
      </c>
      <c r="B55" t="s">
        <v>203</v>
      </c>
      <c r="C55" t="s">
        <v>198</v>
      </c>
      <c r="D55">
        <v>0.50471230158730152</v>
      </c>
      <c r="E55">
        <v>0.50643939393939397</v>
      </c>
      <c r="F55">
        <v>0.58746031746031746</v>
      </c>
      <c r="G55">
        <v>0.62817460317460316</v>
      </c>
      <c r="H55">
        <v>0.55669665404040403</v>
      </c>
      <c r="I55">
        <v>0.48357259570494859</v>
      </c>
      <c r="J55">
        <v>0.46030844155844158</v>
      </c>
      <c r="K55">
        <v>0.5749603174603175</v>
      </c>
      <c r="L55">
        <v>0.58778329513623628</v>
      </c>
      <c r="M55">
        <v>0.52665616246498592</v>
      </c>
    </row>
    <row r="56" spans="1:13" x14ac:dyDescent="0.2">
      <c r="A56" s="27" t="s">
        <v>362</v>
      </c>
      <c r="B56" s="27" t="s">
        <v>274</v>
      </c>
      <c r="C56" s="27" t="s">
        <v>363</v>
      </c>
      <c r="D56" s="27">
        <v>0.19270833333333331</v>
      </c>
      <c r="E56" s="27">
        <v>0.4864402958152958</v>
      </c>
      <c r="F56" s="27">
        <v>0.47465608465608466</v>
      </c>
      <c r="G56" s="27">
        <v>0.51195767195767194</v>
      </c>
      <c r="H56" s="27">
        <v>0.41644059644059639</v>
      </c>
      <c r="I56" s="27">
        <v>0.22947303921568629</v>
      </c>
      <c r="J56" s="27">
        <v>0.47825577200577196</v>
      </c>
      <c r="K56" s="27">
        <v>0.48160052910052914</v>
      </c>
      <c r="L56" s="27">
        <v>0.49579605579605579</v>
      </c>
      <c r="M56" s="27">
        <v>0.42128134902951075</v>
      </c>
    </row>
    <row r="57" spans="1:13" x14ac:dyDescent="0.2">
      <c r="A57" s="27" t="s">
        <v>364</v>
      </c>
      <c r="B57" s="27" t="s">
        <v>313</v>
      </c>
      <c r="C57" s="27" t="s">
        <v>363</v>
      </c>
      <c r="D57" s="27">
        <v>0.35949900793650791</v>
      </c>
      <c r="E57" s="27">
        <v>0.55525342712842707</v>
      </c>
      <c r="F57" s="27">
        <v>0.41706349206349208</v>
      </c>
      <c r="G57" s="27">
        <v>0.48767857142857152</v>
      </c>
      <c r="H57" s="27">
        <v>0.45487362463924963</v>
      </c>
      <c r="I57" s="27">
        <v>0.36823062558356678</v>
      </c>
      <c r="J57" s="27">
        <v>0.5723665223665223</v>
      </c>
      <c r="K57" s="27">
        <v>0.37876984126984126</v>
      </c>
      <c r="L57" s="27">
        <v>0.4484289321789322</v>
      </c>
      <c r="M57" s="27">
        <v>0.44194898034971564</v>
      </c>
    </row>
    <row r="58" spans="1:13" x14ac:dyDescent="0.2">
      <c r="A58" s="27" t="s">
        <v>365</v>
      </c>
      <c r="B58" s="27" t="s">
        <v>305</v>
      </c>
      <c r="C58" s="27" t="s">
        <v>363</v>
      </c>
      <c r="D58" s="27">
        <v>0.49280753968253965</v>
      </c>
      <c r="E58" s="27">
        <v>0.51820887445887442</v>
      </c>
      <c r="F58" s="27">
        <v>0.50105820105820109</v>
      </c>
      <c r="G58" s="27">
        <v>0.70137566137566132</v>
      </c>
      <c r="H58" s="27">
        <v>0.55336256914381921</v>
      </c>
      <c r="I58" s="27">
        <v>0.48821195144724561</v>
      </c>
      <c r="J58" s="27">
        <v>0.52267316017316012</v>
      </c>
      <c r="K58" s="27">
        <v>0.51990740740740748</v>
      </c>
      <c r="L58" s="27">
        <v>0.66046657046657042</v>
      </c>
      <c r="M58" s="27">
        <v>0.54781477237359599</v>
      </c>
    </row>
    <row r="59" spans="1:13" x14ac:dyDescent="0.2">
      <c r="A59" s="27" t="s">
        <v>366</v>
      </c>
      <c r="B59" s="27" t="s">
        <v>325</v>
      </c>
      <c r="C59" s="27" t="s">
        <v>367</v>
      </c>
      <c r="D59" s="27">
        <v>0.51388888888888884</v>
      </c>
      <c r="E59" s="27">
        <v>0.58947961760461753</v>
      </c>
      <c r="F59" s="27">
        <v>0.47092592592592586</v>
      </c>
      <c r="G59" s="27">
        <v>0.54658730158730162</v>
      </c>
      <c r="H59" s="27">
        <v>0.53022043350168346</v>
      </c>
      <c r="I59" s="27">
        <v>0.51756535947712412</v>
      </c>
      <c r="J59" s="27">
        <v>0.5812950937950937</v>
      </c>
      <c r="K59" s="27">
        <v>0.47138888888888886</v>
      </c>
      <c r="L59" s="27">
        <v>0.50933452168746285</v>
      </c>
      <c r="M59" s="27">
        <v>0.51989596596214238</v>
      </c>
    </row>
    <row r="60" spans="1:13" x14ac:dyDescent="0.2">
      <c r="A60" s="27" t="s">
        <v>368</v>
      </c>
      <c r="B60" s="27" t="s">
        <v>244</v>
      </c>
      <c r="C60" s="27" t="s">
        <v>369</v>
      </c>
      <c r="D60" s="27">
        <v>0.46775793650793646</v>
      </c>
      <c r="E60" s="27">
        <v>0.37178932178932178</v>
      </c>
      <c r="F60" s="27">
        <v>0.43783068783068779</v>
      </c>
      <c r="G60" s="27">
        <v>0.33243386243386241</v>
      </c>
      <c r="H60" s="27">
        <v>0.40245295214045218</v>
      </c>
      <c r="I60" s="27">
        <v>0.4695961718020541</v>
      </c>
      <c r="J60" s="27">
        <v>0.40155122655122655</v>
      </c>
      <c r="K60" s="27">
        <v>0.42949735449735449</v>
      </c>
      <c r="L60" s="27">
        <v>0.33430976430976433</v>
      </c>
      <c r="M60" s="27">
        <v>0.40873862929009991</v>
      </c>
    </row>
  </sheetData>
  <sortState xmlns:xlrd2="http://schemas.microsoft.com/office/spreadsheetml/2017/richdata2" ref="A2:M67">
    <sortCondition ref="C1:C67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D7C2-988C-CD42-9B5F-3B82C5574D51}">
  <dimension ref="A1:C63"/>
  <sheetViews>
    <sheetView workbookViewId="0">
      <selection activeCell="G43" sqref="G43"/>
    </sheetView>
  </sheetViews>
  <sheetFormatPr baseColWidth="10" defaultColWidth="11.33203125" defaultRowHeight="15" x14ac:dyDescent="0.2"/>
  <sheetData>
    <row r="1" spans="1:3" x14ac:dyDescent="0.2">
      <c r="A1" t="s">
        <v>45</v>
      </c>
      <c r="B1" t="s">
        <v>46</v>
      </c>
      <c r="C1" t="s">
        <v>370</v>
      </c>
    </row>
    <row r="2" spans="1:3" x14ac:dyDescent="0.2">
      <c r="A2" t="s">
        <v>101</v>
      </c>
      <c r="B2" t="s">
        <v>268</v>
      </c>
      <c r="C2" t="s">
        <v>269</v>
      </c>
    </row>
    <row r="3" spans="1:3" x14ac:dyDescent="0.2">
      <c r="A3" t="s">
        <v>102</v>
      </c>
      <c r="B3" t="s">
        <v>272</v>
      </c>
      <c r="C3" t="s">
        <v>269</v>
      </c>
    </row>
    <row r="4" spans="1:3" x14ac:dyDescent="0.2">
      <c r="A4" s="28" t="s">
        <v>104</v>
      </c>
      <c r="B4" s="28" t="s">
        <v>274</v>
      </c>
      <c r="C4" s="28" t="s">
        <v>269</v>
      </c>
    </row>
    <row r="5" spans="1:3" x14ac:dyDescent="0.2">
      <c r="A5" t="s">
        <v>107</v>
      </c>
      <c r="B5" t="s">
        <v>275</v>
      </c>
      <c r="C5" t="s">
        <v>269</v>
      </c>
    </row>
    <row r="6" spans="1:3" x14ac:dyDescent="0.2">
      <c r="A6" t="s">
        <v>108</v>
      </c>
      <c r="B6" t="s">
        <v>278</v>
      </c>
      <c r="C6" t="s">
        <v>269</v>
      </c>
    </row>
    <row r="7" spans="1:3" x14ac:dyDescent="0.2">
      <c r="A7" t="s">
        <v>115</v>
      </c>
      <c r="B7" t="s">
        <v>279</v>
      </c>
      <c r="C7" t="s">
        <v>269</v>
      </c>
    </row>
    <row r="8" spans="1:3" x14ac:dyDescent="0.2">
      <c r="A8" t="s">
        <v>117</v>
      </c>
      <c r="B8" t="s">
        <v>280</v>
      </c>
      <c r="C8" t="s">
        <v>269</v>
      </c>
    </row>
    <row r="9" spans="1:3" x14ac:dyDescent="0.2">
      <c r="A9" t="s">
        <v>119</v>
      </c>
      <c r="B9" t="s">
        <v>283</v>
      </c>
      <c r="C9" t="s">
        <v>269</v>
      </c>
    </row>
    <row r="10" spans="1:3" x14ac:dyDescent="0.2">
      <c r="A10" t="s">
        <v>120</v>
      </c>
      <c r="B10" t="s">
        <v>285</v>
      </c>
      <c r="C10" t="s">
        <v>269</v>
      </c>
    </row>
    <row r="11" spans="1:3" x14ac:dyDescent="0.2">
      <c r="A11" t="s">
        <v>122</v>
      </c>
      <c r="B11" t="s">
        <v>287</v>
      </c>
      <c r="C11" t="s">
        <v>269</v>
      </c>
    </row>
    <row r="12" spans="1:3" x14ac:dyDescent="0.2">
      <c r="A12" t="s">
        <v>123</v>
      </c>
      <c r="B12" t="s">
        <v>289</v>
      </c>
      <c r="C12" t="s">
        <v>269</v>
      </c>
    </row>
    <row r="13" spans="1:3" x14ac:dyDescent="0.2">
      <c r="A13" t="s">
        <v>124</v>
      </c>
      <c r="B13" t="s">
        <v>290</v>
      </c>
      <c r="C13" t="s">
        <v>269</v>
      </c>
    </row>
    <row r="14" spans="1:3" x14ac:dyDescent="0.2">
      <c r="A14" t="s">
        <v>128</v>
      </c>
      <c r="B14" t="s">
        <v>292</v>
      </c>
      <c r="C14" t="s">
        <v>269</v>
      </c>
    </row>
    <row r="15" spans="1:3" x14ac:dyDescent="0.2">
      <c r="A15" t="s">
        <v>129</v>
      </c>
      <c r="B15" t="s">
        <v>293</v>
      </c>
      <c r="C15" t="s">
        <v>269</v>
      </c>
    </row>
    <row r="16" spans="1:3" x14ac:dyDescent="0.2">
      <c r="A16" t="s">
        <v>131</v>
      </c>
      <c r="B16" t="s">
        <v>310</v>
      </c>
      <c r="C16" t="s">
        <v>269</v>
      </c>
    </row>
    <row r="17" spans="1:3" x14ac:dyDescent="0.2">
      <c r="A17" s="28" t="s">
        <v>133</v>
      </c>
      <c r="B17" s="28" t="s">
        <v>313</v>
      </c>
      <c r="C17" s="28" t="s">
        <v>269</v>
      </c>
    </row>
    <row r="18" spans="1:3" x14ac:dyDescent="0.2">
      <c r="A18" t="s">
        <v>134</v>
      </c>
      <c r="B18" t="s">
        <v>308</v>
      </c>
      <c r="C18" t="s">
        <v>269</v>
      </c>
    </row>
    <row r="19" spans="1:3" x14ac:dyDescent="0.2">
      <c r="A19" s="28" t="s">
        <v>135</v>
      </c>
      <c r="B19" s="28" t="s">
        <v>305</v>
      </c>
      <c r="C19" s="28" t="s">
        <v>269</v>
      </c>
    </row>
    <row r="20" spans="1:3" x14ac:dyDescent="0.2">
      <c r="A20" t="s">
        <v>138</v>
      </c>
      <c r="B20" t="s">
        <v>304</v>
      </c>
      <c r="C20" t="s">
        <v>269</v>
      </c>
    </row>
    <row r="21" spans="1:3" x14ac:dyDescent="0.2">
      <c r="A21" t="s">
        <v>139</v>
      </c>
      <c r="B21" t="s">
        <v>301</v>
      </c>
      <c r="C21" t="s">
        <v>269</v>
      </c>
    </row>
    <row r="22" spans="1:3" x14ac:dyDescent="0.2">
      <c r="A22" t="s">
        <v>140</v>
      </c>
      <c r="B22" t="s">
        <v>300</v>
      </c>
      <c r="C22" t="s">
        <v>269</v>
      </c>
    </row>
    <row r="23" spans="1:3" x14ac:dyDescent="0.2">
      <c r="A23" t="s">
        <v>141</v>
      </c>
      <c r="B23" t="s">
        <v>297</v>
      </c>
      <c r="C23" t="s">
        <v>269</v>
      </c>
    </row>
    <row r="24" spans="1:3" x14ac:dyDescent="0.2">
      <c r="A24" t="s">
        <v>144</v>
      </c>
      <c r="B24" t="s">
        <v>295</v>
      </c>
      <c r="C24" t="s">
        <v>269</v>
      </c>
    </row>
    <row r="25" spans="1:3" x14ac:dyDescent="0.2">
      <c r="A25" t="s">
        <v>103</v>
      </c>
      <c r="B25" t="s">
        <v>315</v>
      </c>
      <c r="C25" t="s">
        <v>110</v>
      </c>
    </row>
    <row r="26" spans="1:3" x14ac:dyDescent="0.2">
      <c r="A26" t="s">
        <v>105</v>
      </c>
      <c r="B26" t="s">
        <v>317</v>
      </c>
      <c r="C26" t="s">
        <v>110</v>
      </c>
    </row>
    <row r="27" spans="1:3" x14ac:dyDescent="0.2">
      <c r="A27" t="s">
        <v>106</v>
      </c>
      <c r="B27" t="s">
        <v>319</v>
      </c>
      <c r="C27" t="s">
        <v>110</v>
      </c>
    </row>
    <row r="28" spans="1:3" x14ac:dyDescent="0.2">
      <c r="A28" t="s">
        <v>112</v>
      </c>
      <c r="B28" t="s">
        <v>322</v>
      </c>
      <c r="C28" t="s">
        <v>110</v>
      </c>
    </row>
    <row r="29" spans="1:3" x14ac:dyDescent="0.2">
      <c r="A29" t="s">
        <v>113</v>
      </c>
      <c r="B29" t="s">
        <v>324</v>
      </c>
      <c r="C29" t="s">
        <v>110</v>
      </c>
    </row>
    <row r="30" spans="1:3" x14ac:dyDescent="0.2">
      <c r="A30" s="28" t="s">
        <v>114</v>
      </c>
      <c r="B30" s="28" t="s">
        <v>325</v>
      </c>
      <c r="C30" s="28" t="s">
        <v>110</v>
      </c>
    </row>
    <row r="31" spans="1:3" x14ac:dyDescent="0.2">
      <c r="A31" t="s">
        <v>116</v>
      </c>
      <c r="B31" t="s">
        <v>327</v>
      </c>
      <c r="C31" t="s">
        <v>110</v>
      </c>
    </row>
    <row r="32" spans="1:3" x14ac:dyDescent="0.2">
      <c r="A32" t="s">
        <v>118</v>
      </c>
      <c r="B32" t="s">
        <v>329</v>
      </c>
      <c r="C32" t="s">
        <v>110</v>
      </c>
    </row>
    <row r="33" spans="1:3" x14ac:dyDescent="0.2">
      <c r="A33" t="s">
        <v>121</v>
      </c>
      <c r="B33" t="s">
        <v>331</v>
      </c>
      <c r="C33" t="s">
        <v>110</v>
      </c>
    </row>
    <row r="34" spans="1:3" x14ac:dyDescent="0.2">
      <c r="A34" t="s">
        <v>125</v>
      </c>
      <c r="B34" t="s">
        <v>334</v>
      </c>
      <c r="C34" t="s">
        <v>110</v>
      </c>
    </row>
    <row r="35" spans="1:3" x14ac:dyDescent="0.2">
      <c r="A35" t="s">
        <v>126</v>
      </c>
      <c r="B35" t="s">
        <v>335</v>
      </c>
      <c r="C35" t="s">
        <v>110</v>
      </c>
    </row>
    <row r="36" spans="1:3" x14ac:dyDescent="0.2">
      <c r="A36" t="s">
        <v>127</v>
      </c>
      <c r="B36" t="s">
        <v>338</v>
      </c>
      <c r="C36" t="s">
        <v>110</v>
      </c>
    </row>
    <row r="37" spans="1:3" x14ac:dyDescent="0.2">
      <c r="A37" t="s">
        <v>130</v>
      </c>
      <c r="B37" t="s">
        <v>349</v>
      </c>
      <c r="C37" t="s">
        <v>110</v>
      </c>
    </row>
    <row r="38" spans="1:3" x14ac:dyDescent="0.2">
      <c r="A38" t="s">
        <v>136</v>
      </c>
      <c r="B38" t="s">
        <v>346</v>
      </c>
      <c r="C38" t="s">
        <v>110</v>
      </c>
    </row>
    <row r="39" spans="1:3" x14ac:dyDescent="0.2">
      <c r="A39" t="s">
        <v>137</v>
      </c>
      <c r="B39" t="s">
        <v>343</v>
      </c>
      <c r="C39" t="s">
        <v>110</v>
      </c>
    </row>
    <row r="40" spans="1:3" x14ac:dyDescent="0.2">
      <c r="A40" t="s">
        <v>142</v>
      </c>
      <c r="B40" t="s">
        <v>342</v>
      </c>
      <c r="C40" t="s">
        <v>110</v>
      </c>
    </row>
    <row r="41" spans="1:3" x14ac:dyDescent="0.2">
      <c r="A41" t="s">
        <v>143</v>
      </c>
      <c r="B41" t="s">
        <v>341</v>
      </c>
      <c r="C41" t="s">
        <v>110</v>
      </c>
    </row>
    <row r="42" spans="1:3" x14ac:dyDescent="0.2">
      <c r="A42" t="s">
        <v>264</v>
      </c>
      <c r="B42" t="s">
        <v>265</v>
      </c>
      <c r="C42" t="s">
        <v>198</v>
      </c>
    </row>
    <row r="43" spans="1:3" x14ac:dyDescent="0.2">
      <c r="A43" t="s">
        <v>260</v>
      </c>
      <c r="B43" t="s">
        <v>261</v>
      </c>
      <c r="C43" t="s">
        <v>198</v>
      </c>
    </row>
    <row r="44" spans="1:3" x14ac:dyDescent="0.2">
      <c r="A44" t="s">
        <v>257</v>
      </c>
      <c r="B44" t="s">
        <v>258</v>
      </c>
      <c r="C44" t="s">
        <v>198</v>
      </c>
    </row>
    <row r="45" spans="1:3" x14ac:dyDescent="0.2">
      <c r="A45" t="s">
        <v>254</v>
      </c>
      <c r="B45" t="s">
        <v>255</v>
      </c>
      <c r="C45" t="s">
        <v>198</v>
      </c>
    </row>
    <row r="46" spans="1:3" x14ac:dyDescent="0.2">
      <c r="A46" t="s">
        <v>250</v>
      </c>
      <c r="B46" t="s">
        <v>251</v>
      </c>
      <c r="C46" t="s">
        <v>198</v>
      </c>
    </row>
    <row r="47" spans="1:3" x14ac:dyDescent="0.2">
      <c r="A47" t="s">
        <v>246</v>
      </c>
      <c r="B47" t="s">
        <v>247</v>
      </c>
      <c r="C47" t="s">
        <v>198</v>
      </c>
    </row>
    <row r="48" spans="1:3" x14ac:dyDescent="0.2">
      <c r="A48" s="28" t="s">
        <v>243</v>
      </c>
      <c r="B48" s="28" t="s">
        <v>244</v>
      </c>
      <c r="C48" s="28" t="s">
        <v>198</v>
      </c>
    </row>
    <row r="49" spans="1:3" x14ac:dyDescent="0.2">
      <c r="A49" t="s">
        <v>239</v>
      </c>
      <c r="B49" t="s">
        <v>240</v>
      </c>
      <c r="C49" t="s">
        <v>198</v>
      </c>
    </row>
    <row r="50" spans="1:3" x14ac:dyDescent="0.2">
      <c r="A50" t="s">
        <v>235</v>
      </c>
      <c r="B50" t="s">
        <v>236</v>
      </c>
      <c r="C50" t="s">
        <v>198</v>
      </c>
    </row>
    <row r="51" spans="1:3" x14ac:dyDescent="0.2">
      <c r="A51" t="s">
        <v>232</v>
      </c>
      <c r="B51" t="s">
        <v>233</v>
      </c>
      <c r="C51" t="s">
        <v>198</v>
      </c>
    </row>
    <row r="52" spans="1:3" x14ac:dyDescent="0.2">
      <c r="A52" t="s">
        <v>228</v>
      </c>
      <c r="B52" t="s">
        <v>229</v>
      </c>
      <c r="C52" t="s">
        <v>198</v>
      </c>
    </row>
    <row r="53" spans="1:3" x14ac:dyDescent="0.2">
      <c r="A53" t="s">
        <v>226</v>
      </c>
      <c r="B53" t="s">
        <v>227</v>
      </c>
      <c r="C53" t="s">
        <v>198</v>
      </c>
    </row>
    <row r="54" spans="1:3" x14ac:dyDescent="0.2">
      <c r="A54" t="s">
        <v>222</v>
      </c>
      <c r="B54" t="s">
        <v>223</v>
      </c>
      <c r="C54" t="s">
        <v>198</v>
      </c>
    </row>
    <row r="55" spans="1:3" x14ac:dyDescent="0.2">
      <c r="A55" t="s">
        <v>218</v>
      </c>
      <c r="B55" t="s">
        <v>219</v>
      </c>
      <c r="C55" t="s">
        <v>198</v>
      </c>
    </row>
    <row r="56" spans="1:3" x14ac:dyDescent="0.2">
      <c r="A56" t="s">
        <v>214</v>
      </c>
      <c r="B56" t="s">
        <v>215</v>
      </c>
      <c r="C56" t="s">
        <v>198</v>
      </c>
    </row>
    <row r="57" spans="1:3" x14ac:dyDescent="0.2">
      <c r="A57" t="s">
        <v>210</v>
      </c>
      <c r="B57" t="s">
        <v>211</v>
      </c>
      <c r="C57" t="s">
        <v>198</v>
      </c>
    </row>
    <row r="58" spans="1:3" x14ac:dyDescent="0.2">
      <c r="A58" s="28" t="s">
        <v>196</v>
      </c>
      <c r="B58" s="28" t="s">
        <v>197</v>
      </c>
      <c r="C58" s="28" t="s">
        <v>198</v>
      </c>
    </row>
    <row r="59" spans="1:3" x14ac:dyDescent="0.2">
      <c r="A59" t="s">
        <v>196</v>
      </c>
      <c r="B59" t="s">
        <v>197</v>
      </c>
      <c r="C59" t="s">
        <v>198</v>
      </c>
    </row>
    <row r="60" spans="1:3" x14ac:dyDescent="0.2">
      <c r="A60" t="s">
        <v>205</v>
      </c>
      <c r="B60" t="s">
        <v>206</v>
      </c>
      <c r="C60" t="s">
        <v>198</v>
      </c>
    </row>
    <row r="61" spans="1:3" x14ac:dyDescent="0.2">
      <c r="A61" t="s">
        <v>202</v>
      </c>
      <c r="B61" t="s">
        <v>203</v>
      </c>
      <c r="C61" t="s">
        <v>198</v>
      </c>
    </row>
    <row r="62" spans="1:3" x14ac:dyDescent="0.2">
      <c r="A62" s="13"/>
      <c r="B62" s="13"/>
      <c r="C62" s="13"/>
    </row>
    <row r="63" spans="1:3" x14ac:dyDescent="0.2">
      <c r="A63" s="13"/>
      <c r="B63" s="13"/>
      <c r="C63" s="13"/>
    </row>
  </sheetData>
  <sortState xmlns:xlrd2="http://schemas.microsoft.com/office/spreadsheetml/2017/richdata2" ref="A1:C67">
    <sortCondition ref="C1:C6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65E9-3F59-5E4B-9708-92822860ADE3}">
  <dimension ref="A1:N73"/>
  <sheetViews>
    <sheetView workbookViewId="0">
      <selection activeCell="A61" sqref="A61"/>
    </sheetView>
  </sheetViews>
  <sheetFormatPr baseColWidth="10" defaultColWidth="11.33203125" defaultRowHeight="15" x14ac:dyDescent="0.2"/>
  <sheetData>
    <row r="1" spans="1:14" x14ac:dyDescent="0.2">
      <c r="A1" t="s">
        <v>45</v>
      </c>
      <c r="B1" t="s">
        <v>47</v>
      </c>
      <c r="C1" t="s">
        <v>46</v>
      </c>
      <c r="D1" t="s">
        <v>16</v>
      </c>
      <c r="E1" t="s">
        <v>17</v>
      </c>
      <c r="F1" t="s">
        <v>19</v>
      </c>
      <c r="G1" t="s">
        <v>18</v>
      </c>
      <c r="H1" t="s">
        <v>4</v>
      </c>
      <c r="J1" t="s">
        <v>16</v>
      </c>
      <c r="K1" t="s">
        <v>17</v>
      </c>
      <c r="L1" t="s">
        <v>19</v>
      </c>
      <c r="M1" t="s">
        <v>18</v>
      </c>
      <c r="N1" t="s">
        <v>4</v>
      </c>
    </row>
    <row r="2" spans="1:14" x14ac:dyDescent="0.2">
      <c r="A2" t="str">
        <f>'[42]Template '!$A$2</f>
        <v>M_079</v>
      </c>
      <c r="B2" t="str">
        <f>'[42]Template '!$C$2</f>
        <v>mSTAT only</v>
      </c>
      <c r="C2" t="str">
        <f t="shared" ref="C2:C21" si="0">CONCATENATE(A2,".xlsx")</f>
        <v>M_079.xlsx</v>
      </c>
      <c r="D2">
        <f>'[42]Template '!$D$5</f>
        <v>0.60168650793650791</v>
      </c>
      <c r="E2">
        <f>'[42]Template '!$D$6</f>
        <v>0.32371933621933618</v>
      </c>
      <c r="F2">
        <f>'[42]Template '!$D$7</f>
        <v>0.5174603174603174</v>
      </c>
      <c r="G2">
        <f>'[42]Template '!$D$8</f>
        <v>0.65301587301587305</v>
      </c>
      <c r="H2">
        <f>'[42]Template '!$D$9</f>
        <v>0.52397050865800865</v>
      </c>
      <c r="J2">
        <f>'[42]Template '!$E$5</f>
        <v>0.57227474323062555</v>
      </c>
      <c r="K2">
        <f>'[42]Template '!$E$6</f>
        <v>0.35348124098124095</v>
      </c>
      <c r="L2">
        <f>'[42]Template '!$E$7</f>
        <v>0.47440476190476188</v>
      </c>
      <c r="M2">
        <f>'[42]Template '!$E$8</f>
        <v>0.65539682539682542</v>
      </c>
      <c r="N2">
        <f>'[42]Template '!$E$9</f>
        <v>0.51388939287836344</v>
      </c>
    </row>
    <row r="3" spans="1:14" x14ac:dyDescent="0.2">
      <c r="A3" t="str">
        <f>'[43]Template '!$A$2</f>
        <v>M_082</v>
      </c>
      <c r="B3" t="str">
        <f>'[43]Template '!$C$2</f>
        <v>mSTAT only</v>
      </c>
      <c r="C3" t="str">
        <f t="shared" si="0"/>
        <v>M_082.xlsx</v>
      </c>
      <c r="D3">
        <f>'[43]Template '!$D$5</f>
        <v>0.50471230158730152</v>
      </c>
      <c r="E3">
        <f>'[43]Template '!$D$6</f>
        <v>0.50643939393939397</v>
      </c>
      <c r="F3">
        <f>'[43]Template '!$D$7</f>
        <v>0.58746031746031746</v>
      </c>
      <c r="G3">
        <f>'[43]Template '!$D$8</f>
        <v>0.62817460317460316</v>
      </c>
      <c r="H3">
        <f>'[43]Template '!$D$9</f>
        <v>0.55669665404040403</v>
      </c>
      <c r="J3">
        <f>'[43]Template '!$E$5</f>
        <v>0.48357259570494859</v>
      </c>
      <c r="K3">
        <f>'[43]Template '!$E$6</f>
        <v>0.46030844155844158</v>
      </c>
      <c r="L3">
        <f>'[43]Template '!$E$7</f>
        <v>0.5749603174603175</v>
      </c>
      <c r="M3">
        <f>'[43]Template '!$E$8</f>
        <v>0.58778329513623628</v>
      </c>
      <c r="N3">
        <f>'[43]Template '!$E$9</f>
        <v>0.52665616246498592</v>
      </c>
    </row>
    <row r="4" spans="1:14" x14ac:dyDescent="0.2">
      <c r="A4" t="str">
        <f>'[44]Template '!$A$2</f>
        <v>M_081</v>
      </c>
      <c r="B4" t="str">
        <f>'[44]Template '!$C$2</f>
        <v>mSTAT only</v>
      </c>
      <c r="C4" t="str">
        <f t="shared" si="0"/>
        <v>M_081.xlsx</v>
      </c>
      <c r="D4">
        <f>'[44]Template '!$D$5</f>
        <v>0.59399801587301582</v>
      </c>
      <c r="E4">
        <f>'[44]Template '!$D$6</f>
        <v>0.58043831168831161</v>
      </c>
      <c r="F4">
        <f>'[44]Template '!$D$7</f>
        <v>0.48867724867724871</v>
      </c>
      <c r="G4">
        <f>'[44]Template '!$D$8</f>
        <v>0.66238095238095229</v>
      </c>
      <c r="H4">
        <f>'[44]Template '!$D$9</f>
        <v>0.58137363215488214</v>
      </c>
      <c r="J4">
        <f>'[44]Template '!$E$5</f>
        <v>0.5728583099906629</v>
      </c>
      <c r="K4">
        <f>'[44]Template '!$E$6</f>
        <v>0.53281926406926405</v>
      </c>
      <c r="L4">
        <f>'[44]Template '!$E$7</f>
        <v>0.46807539682539678</v>
      </c>
      <c r="M4">
        <f>'[44]Template '!$E$8</f>
        <v>0.66238095238095229</v>
      </c>
      <c r="N4">
        <f>'[44]Template '!$E$9</f>
        <v>0.55903348081656901</v>
      </c>
    </row>
    <row r="5" spans="1:14" x14ac:dyDescent="0.2">
      <c r="A5" t="str">
        <f>'[42]Template '!$A$2</f>
        <v>M_079</v>
      </c>
      <c r="B5" t="str">
        <f>'[42]Template '!$C$2</f>
        <v>mSTAT only</v>
      </c>
      <c r="C5" t="str">
        <f t="shared" si="0"/>
        <v>M_079.xlsx</v>
      </c>
      <c r="D5">
        <f>'[42]Template '!$D$5</f>
        <v>0.60168650793650791</v>
      </c>
      <c r="E5">
        <f>'[42]Template '!$D$6</f>
        <v>0.32371933621933618</v>
      </c>
      <c r="F5">
        <f>'[42]Template '!$D$7</f>
        <v>0.5174603174603174</v>
      </c>
      <c r="G5">
        <f>'[42]Template '!$D$8</f>
        <v>0.65301587301587305</v>
      </c>
      <c r="H5">
        <f>'[42]Template '!$D$9</f>
        <v>0.52397050865800865</v>
      </c>
      <c r="J5">
        <f>'[42]Template '!$E$5</f>
        <v>0.57227474323062555</v>
      </c>
      <c r="K5">
        <f>'[42]Template '!$E$6</f>
        <v>0.35348124098124095</v>
      </c>
      <c r="L5">
        <f>'[42]Template '!$E$7</f>
        <v>0.47440476190476188</v>
      </c>
      <c r="M5">
        <f>'[42]Template '!$E$8</f>
        <v>0.65539682539682542</v>
      </c>
      <c r="N5">
        <f>'[42]Template '!$E$9</f>
        <v>0.51388939287836344</v>
      </c>
    </row>
    <row r="6" spans="1:14" x14ac:dyDescent="0.2">
      <c r="A6" t="str">
        <f>'[45]Template '!$A$2</f>
        <v>M_078</v>
      </c>
      <c r="B6" t="str">
        <f>'[45]Template '!$C$2</f>
        <v>mSTAT only</v>
      </c>
      <c r="C6" t="str">
        <f t="shared" si="0"/>
        <v>M_078.xlsx</v>
      </c>
      <c r="D6">
        <f>'[45]Template '!$D$5</f>
        <v>0.5200892857142857</v>
      </c>
      <c r="E6">
        <f>'[45]Template '!$D$6</f>
        <v>0.41837121212121209</v>
      </c>
      <c r="F6">
        <f>'[45]Template '!$D$7</f>
        <v>0.63756613756613745</v>
      </c>
      <c r="G6">
        <f>'[45]Template '!$D$8</f>
        <v>0.54047619047619044</v>
      </c>
      <c r="H6">
        <f>'[45]Template '!$D$9</f>
        <v>0.52912570646945645</v>
      </c>
      <c r="J6">
        <f>'[45]Template '!$E$5</f>
        <v>0.5136554621848739</v>
      </c>
      <c r="K6">
        <f>'[45]Template '!$E$6</f>
        <v>0.36033549783549779</v>
      </c>
      <c r="L6">
        <f>'[45]Template '!$E$7</f>
        <v>0.63571428571428568</v>
      </c>
      <c r="M6">
        <f>'[45]Template '!$E$8</f>
        <v>0.54047619047619044</v>
      </c>
      <c r="N6">
        <f>'[45]Template '!$E$9</f>
        <v>0.51254535905271192</v>
      </c>
    </row>
    <row r="7" spans="1:14" x14ac:dyDescent="0.2">
      <c r="A7" t="str">
        <f>'[46]Template '!$A$2</f>
        <v>M_077</v>
      </c>
      <c r="B7" t="str">
        <f>'[46]Template '!$C$2</f>
        <v>mSTAT only</v>
      </c>
      <c r="C7" t="str">
        <f t="shared" si="0"/>
        <v>M_077.xlsx</v>
      </c>
      <c r="D7">
        <f>'[46]Template '!$D$5</f>
        <v>0.39856150793650791</v>
      </c>
      <c r="E7">
        <f>'[46]Template '!$D$6</f>
        <v>0.14168470418470419</v>
      </c>
      <c r="F7">
        <f>'[46]Template '!$D$7</f>
        <v>0.48531746031746037</v>
      </c>
      <c r="G7">
        <f>'[46]Template '!$D$8</f>
        <v>0.36873015873015869</v>
      </c>
      <c r="H7">
        <f>'[46]Template '!$D$9</f>
        <v>0.34857345779220783</v>
      </c>
      <c r="J7">
        <f>'[46]Template '!$E$5</f>
        <v>0.36271591970121381</v>
      </c>
      <c r="K7">
        <f>'[46]Template '!$E$6</f>
        <v>0.14614898989898989</v>
      </c>
      <c r="L7">
        <f>'[46]Template '!$E$7</f>
        <v>0.433234126984127</v>
      </c>
      <c r="M7">
        <f>'[46]Template '!$E$8</f>
        <v>0.33705627705627705</v>
      </c>
      <c r="N7">
        <f>'[46]Template '!$E$9</f>
        <v>0.31978882841015194</v>
      </c>
    </row>
    <row r="8" spans="1:14" x14ac:dyDescent="0.2">
      <c r="A8" t="str">
        <f>'[47]Template '!$A$2</f>
        <v>M_076</v>
      </c>
      <c r="B8" t="str">
        <f>'[47]Template '!$C$2</f>
        <v>mSTAT only</v>
      </c>
      <c r="C8" t="str">
        <f t="shared" si="0"/>
        <v>M_076.xlsx</v>
      </c>
      <c r="D8">
        <f>'[47]Template '!$D$5</f>
        <v>0.32936507936507936</v>
      </c>
      <c r="E8">
        <f>'[47]Template '!$D$6</f>
        <v>0.40948773448773446</v>
      </c>
      <c r="F8">
        <f>'[47]Template '!$D$7</f>
        <v>0.4811375661375662</v>
      </c>
      <c r="G8">
        <f>'[47]Template '!$D$8</f>
        <v>0.58063492063492073</v>
      </c>
      <c r="H8">
        <f>'[47]Template '!$D$9</f>
        <v>0.4501563251563252</v>
      </c>
      <c r="J8">
        <f>'[47]Template '!$E$5</f>
        <v>0.34131360877684402</v>
      </c>
      <c r="K8">
        <f>'[47]Template '!$E$6</f>
        <v>0.41395202020202015</v>
      </c>
      <c r="L8">
        <f>'[47]Template '!$E$7</f>
        <v>0.46817460317460319</v>
      </c>
      <c r="M8">
        <f>'[47]Template '!$E$8</f>
        <v>0.50357864357864357</v>
      </c>
      <c r="N8">
        <f>'[47]Template '!$E$9</f>
        <v>0.43175471893302775</v>
      </c>
    </row>
    <row r="9" spans="1:14" x14ac:dyDescent="0.2">
      <c r="A9" t="str">
        <f>'[48]Template '!$A$2</f>
        <v>M_075</v>
      </c>
      <c r="B9" t="str">
        <f>'[48]Template '!$C$2</f>
        <v>mSTAT only</v>
      </c>
      <c r="C9" t="str">
        <f t="shared" si="0"/>
        <v>M_075.xlsx</v>
      </c>
      <c r="D9">
        <f>'[48]Template '!$D$5</f>
        <v>0.61557539682539675</v>
      </c>
      <c r="E9">
        <f>'[48]Template '!$D$6</f>
        <v>0.45543831168831161</v>
      </c>
      <c r="F9">
        <f>'[48]Template '!$D$7</f>
        <v>0.54544973544973541</v>
      </c>
      <c r="G9">
        <f>'[48]Template '!$D$8</f>
        <v>0.6456613756613756</v>
      </c>
      <c r="H9">
        <f>'[48]Template '!$D$9</f>
        <v>0.5655312049062049</v>
      </c>
      <c r="J9">
        <f>'[48]Template '!$E$5</f>
        <v>0.60781395891690004</v>
      </c>
      <c r="K9">
        <f>'[48]Template '!$E$6</f>
        <v>0.40261093073593068</v>
      </c>
      <c r="L9">
        <f>'[48]Template '!$E$7</f>
        <v>0.52276455026455027</v>
      </c>
      <c r="M9">
        <f>'[48]Template '!$E$8</f>
        <v>0.60237133237133234</v>
      </c>
      <c r="N9">
        <f>'[48]Template '!$E$9</f>
        <v>0.53389019307217833</v>
      </c>
    </row>
    <row r="10" spans="1:14" x14ac:dyDescent="0.2">
      <c r="A10" t="str">
        <f>'[49]Template '!$A$2</f>
        <v>M_074</v>
      </c>
      <c r="B10" t="str">
        <f>'[49]Template '!$C$2</f>
        <v>mSTAT only</v>
      </c>
      <c r="C10" t="str">
        <f t="shared" si="0"/>
        <v>M_074.xlsx</v>
      </c>
      <c r="D10">
        <f>'[49]Template '!$D$5</f>
        <v>0.47296626984126988</v>
      </c>
      <c r="E10">
        <f>'[49]Template '!$D$6</f>
        <v>0.51333874458874451</v>
      </c>
      <c r="F10">
        <f>'[49]Template '!$D$7</f>
        <v>0.29812169312169312</v>
      </c>
      <c r="G10">
        <f>'[49]Template '!$D$8</f>
        <v>0.52195767195767195</v>
      </c>
      <c r="H10">
        <f>'[49]Template '!$D$9</f>
        <v>0.45159609487734487</v>
      </c>
      <c r="J10">
        <f>'[49]Template '!$E$5</f>
        <v>0.46837068160597572</v>
      </c>
      <c r="K10">
        <f>'[49]Template '!$E$6</f>
        <v>0.42702922077922079</v>
      </c>
      <c r="L10">
        <f>'[49]Template '!$E$7</f>
        <v>0.29511243386243385</v>
      </c>
      <c r="M10">
        <f>'[49]Template '!$E$8</f>
        <v>0.48891293891293885</v>
      </c>
      <c r="N10">
        <f>'[49]Template '!$E$9</f>
        <v>0.41985631879014229</v>
      </c>
    </row>
    <row r="11" spans="1:14" x14ac:dyDescent="0.2">
      <c r="A11" t="str">
        <f>'[50]Template '!$A$2</f>
        <v>M_073</v>
      </c>
      <c r="B11" t="str">
        <f>'[50]Template '!$C$2</f>
        <v>mSTAT only</v>
      </c>
      <c r="C11" t="str">
        <f t="shared" si="0"/>
        <v>M_073.xlsx</v>
      </c>
      <c r="D11">
        <f>'[50]Template '!$D$5</f>
        <v>0.69766865079365081</v>
      </c>
      <c r="E11">
        <f>'[50]Template '!$D$6</f>
        <v>0.54488185425685431</v>
      </c>
      <c r="F11">
        <f>'[50]Template '!$D$7</f>
        <v>0.42253968253968255</v>
      </c>
      <c r="G11">
        <f>'[50]Template '!$D$8</f>
        <v>0.60515873015873001</v>
      </c>
      <c r="H11">
        <f>'[50]Template '!$D$9</f>
        <v>0.56756222943722934</v>
      </c>
      <c r="J11">
        <f>'[50]Template '!$E$5</f>
        <v>0.66917600373482722</v>
      </c>
      <c r="K11">
        <f>'[50]Template '!$E$6</f>
        <v>0.53669733044733048</v>
      </c>
      <c r="L11">
        <f>'[50]Template '!$E$7</f>
        <v>0.40498015873015875</v>
      </c>
      <c r="M11">
        <f>'[50]Template '!$E$8</f>
        <v>0.56078643578643572</v>
      </c>
      <c r="N11">
        <f>'[50]Template '!$E$9</f>
        <v>0.542909982174688</v>
      </c>
    </row>
    <row r="12" spans="1:14" x14ac:dyDescent="0.2">
      <c r="A12" t="str">
        <f>'[51]Template '!$A$2</f>
        <v>M_072</v>
      </c>
      <c r="B12" t="str">
        <f>'[51]Template '!$C$2</f>
        <v>mSTAT only</v>
      </c>
      <c r="C12" t="str">
        <f t="shared" si="0"/>
        <v>M_072.xlsx</v>
      </c>
      <c r="D12">
        <f>'[51]Template '!$D$5</f>
        <v>0.43477182539682535</v>
      </c>
      <c r="E12">
        <f>'[51]Template '!$D$6</f>
        <v>0.53768939393939386</v>
      </c>
      <c r="F12">
        <f>'[51]Template '!$D$7</f>
        <v>0.34608465608465611</v>
      </c>
      <c r="G12">
        <f>'[51]Template '!$D$8</f>
        <v>0.49476190476190479</v>
      </c>
      <c r="H12">
        <f>'[51]Template '!$D$9</f>
        <v>0.45332694504569498</v>
      </c>
      <c r="J12">
        <f>'[51]Template '!$E$5</f>
        <v>0.43017623716153131</v>
      </c>
      <c r="K12">
        <f>'[51]Template '!$E$6</f>
        <v>0.49155844155844153</v>
      </c>
      <c r="L12">
        <f>'[51]Template '!$E$7</f>
        <v>0.32988095238095239</v>
      </c>
      <c r="M12">
        <f>'[51]Template '!$E$8</f>
        <v>0.42030303030303029</v>
      </c>
      <c r="N12">
        <f>'[51]Template '!$E$9</f>
        <v>0.41797966535098885</v>
      </c>
    </row>
    <row r="13" spans="1:14" x14ac:dyDescent="0.2">
      <c r="A13" t="str">
        <f>'[52]Template '!$A$2</f>
        <v>M_071</v>
      </c>
      <c r="B13" t="str">
        <f>'[52]Template '!$C$2</f>
        <v>mSTAT only</v>
      </c>
      <c r="C13" t="str">
        <f t="shared" si="0"/>
        <v>M_071.xlsx</v>
      </c>
      <c r="D13">
        <f>'[52]Template '!$D$5</f>
        <v>0.64360119047619047</v>
      </c>
      <c r="E13">
        <f>'[52]Template '!$D$6</f>
        <v>0.29896284271284274</v>
      </c>
      <c r="F13">
        <f>'[52]Template '!$D$7</f>
        <v>0.50455026455026453</v>
      </c>
      <c r="G13">
        <f>'[52]Template '!$D$8</f>
        <v>0.49195767195767193</v>
      </c>
      <c r="H13">
        <f>'[52]Template '!$D$9</f>
        <v>0.4847679924242424</v>
      </c>
      <c r="J13">
        <f>'[52]Template '!$E$5</f>
        <v>0.60775560224089631</v>
      </c>
      <c r="K13">
        <f>'[52]Template '!$E$6</f>
        <v>0.3153318903318903</v>
      </c>
      <c r="L13">
        <f>'[52]Template '!$E$7</f>
        <v>0.48834656084656086</v>
      </c>
      <c r="M13">
        <f>'[52]Template '!$E$8</f>
        <v>0.45386243386243386</v>
      </c>
      <c r="N13">
        <f>'[52]Template '!$E$9</f>
        <v>0.46632412182044536</v>
      </c>
    </row>
    <row r="14" spans="1:14" x14ac:dyDescent="0.2">
      <c r="A14" t="str">
        <f>'[53]Template '!$A$2</f>
        <v>M_070</v>
      </c>
      <c r="B14" t="str">
        <f>'[53]Template '!$C$2</f>
        <v>mSTAT only</v>
      </c>
      <c r="C14" t="str">
        <f t="shared" si="0"/>
        <v>M_070.xlsx</v>
      </c>
      <c r="D14">
        <f>'[53]Template '!$D$5</f>
        <v>0.54985119047619047</v>
      </c>
      <c r="E14">
        <f>'[53]Template '!$D$6</f>
        <v>0.41963383838383839</v>
      </c>
      <c r="F14">
        <f>'[53]Template '!$D$7</f>
        <v>0.39645502645502645</v>
      </c>
      <c r="G14">
        <f>'[53]Template '!$D$8</f>
        <v>0.28338624338624341</v>
      </c>
      <c r="H14">
        <f>'[53]Template '!$D$9</f>
        <v>0.41233157467532466</v>
      </c>
      <c r="J14">
        <f>'[53]Template '!$E$5</f>
        <v>0.53790266106442575</v>
      </c>
      <c r="K14">
        <f>'[53]Template '!$E$6</f>
        <v>0.42409812409812409</v>
      </c>
      <c r="L14">
        <f>'[53]Template '!$E$7</f>
        <v>0.38997354497354497</v>
      </c>
      <c r="M14">
        <f>'[53]Template '!$E$8</f>
        <v>0.30243386243386244</v>
      </c>
      <c r="N14">
        <f>'[53]Template '!$E$9</f>
        <v>0.4136020481424893</v>
      </c>
    </row>
    <row r="15" spans="1:14" x14ac:dyDescent="0.2">
      <c r="A15" t="str">
        <f>'[54]Template '!$A$2</f>
        <v>M_069</v>
      </c>
      <c r="B15" t="str">
        <f>'[54]Template '!$C$2</f>
        <v>mSTAT only</v>
      </c>
      <c r="C15" t="str">
        <f t="shared" si="0"/>
        <v>M_069.xlsx</v>
      </c>
      <c r="D15">
        <f>'[54]Template '!$D$5</f>
        <v>0.46775793650793646</v>
      </c>
      <c r="E15">
        <f>'[54]Template '!$D$6</f>
        <v>0.37178932178932178</v>
      </c>
      <c r="F15">
        <f>'[54]Template '!$D$7</f>
        <v>0.43783068783068779</v>
      </c>
      <c r="G15">
        <f>'[54]Template '!$D$8</f>
        <v>0.33243386243386241</v>
      </c>
      <c r="H15">
        <f>'[54]Template '!$D$9</f>
        <v>0.40245295214045218</v>
      </c>
      <c r="J15">
        <f>'[54]Template '!$E$5</f>
        <v>0.4695961718020541</v>
      </c>
      <c r="K15">
        <f>'[54]Template '!$E$6</f>
        <v>0.40155122655122655</v>
      </c>
      <c r="L15">
        <f>'[54]Template '!$E$7</f>
        <v>0.42949735449735449</v>
      </c>
      <c r="M15">
        <f>'[54]Template '!$E$8</f>
        <v>0.33430976430976433</v>
      </c>
      <c r="N15">
        <f>'[54]Template '!$E$9</f>
        <v>0.40873862929009991</v>
      </c>
    </row>
    <row r="16" spans="1:14" x14ac:dyDescent="0.2">
      <c r="A16" t="str">
        <f>'[55]Template '!$A$2</f>
        <v>M_068</v>
      </c>
      <c r="B16" t="str">
        <f>'[55]Template '!$C$2</f>
        <v>mSTAT only</v>
      </c>
      <c r="C16" t="str">
        <f t="shared" si="0"/>
        <v>M_068.xlsx</v>
      </c>
      <c r="D16">
        <f>'[55]Template '!$D$5</f>
        <v>0.50917658730158732</v>
      </c>
      <c r="E16">
        <f>'[55]Template '!$D$6</f>
        <v>0.57728174603174598</v>
      </c>
      <c r="F16">
        <f>'[55]Template '!$D$7</f>
        <v>0.37682539682539684</v>
      </c>
      <c r="G16">
        <f>'[55]Template '!$D$8</f>
        <v>0.65380952380952384</v>
      </c>
      <c r="H16">
        <f>'[55]Template '!$D$9</f>
        <v>0.52927331349206352</v>
      </c>
      <c r="J16">
        <f>'[55]Template '!$E$5</f>
        <v>0.4880368814192344</v>
      </c>
      <c r="K16">
        <f>'[55]Template '!$E$6</f>
        <v>0.58174603174603168</v>
      </c>
      <c r="L16">
        <f>'[55]Template '!$E$7</f>
        <v>0.38376984126984126</v>
      </c>
      <c r="M16">
        <f>'[55]Template '!$E$8</f>
        <v>0.58887445887445888</v>
      </c>
      <c r="N16">
        <f>'[55]Template '!$E$9</f>
        <v>0.51060680332739161</v>
      </c>
    </row>
    <row r="17" spans="1:14" x14ac:dyDescent="0.2">
      <c r="A17" t="str">
        <f>'[56]Template '!$A$2</f>
        <v>M_067</v>
      </c>
      <c r="B17" t="str">
        <f>'[56]Template '!$C$2</f>
        <v>mSTAT only</v>
      </c>
      <c r="C17" t="str">
        <f t="shared" si="0"/>
        <v>M_067.xlsx</v>
      </c>
      <c r="D17">
        <f>'[56]Template '!$D$5</f>
        <v>0.44816468253968256</v>
      </c>
      <c r="E17">
        <f>'[56]Template '!$D$6</f>
        <v>0.30605158730158727</v>
      </c>
      <c r="F17">
        <f>'[56]Template '!$D$7</f>
        <v>0.67280423280423274</v>
      </c>
      <c r="G17">
        <f>'[56]Template '!$D$8</f>
        <v>0.60316137566137562</v>
      </c>
      <c r="H17">
        <f>'[56]Template '!$D$9</f>
        <v>0.50754546957671953</v>
      </c>
      <c r="J17">
        <f>'[56]Template '!$E$5</f>
        <v>0.42886321195144728</v>
      </c>
      <c r="K17">
        <f>'[56]Template '!$E$6</f>
        <v>0.31051587301587302</v>
      </c>
      <c r="L17">
        <f>'[56]Template '!$E$7</f>
        <v>0.66447089947089943</v>
      </c>
      <c r="M17">
        <f>'[56]Template '!$E$8</f>
        <v>0.55987133237133224</v>
      </c>
      <c r="N17">
        <f>'[56]Template '!$E$9</f>
        <v>0.49093032920238799</v>
      </c>
    </row>
    <row r="18" spans="1:14" x14ac:dyDescent="0.2">
      <c r="A18" t="str">
        <f>'[57]Template '!$A$2</f>
        <v>M_066</v>
      </c>
      <c r="B18" t="str">
        <f>'[57]Template '!$C$2</f>
        <v>mSTAT only</v>
      </c>
      <c r="C18" t="str">
        <f t="shared" si="0"/>
        <v>M_066.xlsx</v>
      </c>
      <c r="D18">
        <f>'[57]Template '!$D$5</f>
        <v>0.37301587301587302</v>
      </c>
      <c r="E18">
        <f>'[57]Template '!$D$6</f>
        <v>0.40946518759018757</v>
      </c>
      <c r="F18">
        <f>'[57]Template '!$D$7</f>
        <v>0.61883597883597885</v>
      </c>
      <c r="G18">
        <f>'[57]Template '!$D$8</f>
        <v>0.56703703703703701</v>
      </c>
      <c r="H18">
        <f>'[57]Template '!$D$9</f>
        <v>0.49208851911976914</v>
      </c>
      <c r="J18">
        <f>'[57]Template '!$E$5</f>
        <v>0.36014822595704948</v>
      </c>
      <c r="K18">
        <f>'[57]Template '!$E$6</f>
        <v>0.42062590187590188</v>
      </c>
      <c r="L18">
        <f>'[57]Template '!$E$7</f>
        <v>0.57941798941798939</v>
      </c>
      <c r="M18">
        <f>'[57]Template '!$E$8</f>
        <v>0.5561063011063011</v>
      </c>
      <c r="N18">
        <f>'[57]Template '!$E$9</f>
        <v>0.4790746045893105</v>
      </c>
    </row>
    <row r="19" spans="1:14" x14ac:dyDescent="0.2">
      <c r="A19" t="str">
        <f>'[58]Template '!$A$2</f>
        <v>M_065</v>
      </c>
      <c r="B19" t="str">
        <f>'[58]Template '!$C$2</f>
        <v>mSTAT only</v>
      </c>
      <c r="C19" t="str">
        <f t="shared" si="0"/>
        <v>M_065.xlsx</v>
      </c>
      <c r="D19">
        <f>'[58]Template '!$D$5</f>
        <v>0.52777777777777779</v>
      </c>
      <c r="E19">
        <f>'[58]Template '!$D$6</f>
        <v>0.30784632034632031</v>
      </c>
      <c r="F19">
        <f>'[58]Template '!$D$7</f>
        <v>0.55275132275132277</v>
      </c>
      <c r="G19">
        <f>'[58]Template '!$D$8</f>
        <v>0.64132275132275141</v>
      </c>
      <c r="H19">
        <f>'[58]Template '!$D$9</f>
        <v>0.5074245430495431</v>
      </c>
      <c r="J19">
        <f>'[58]Template '!$E$5</f>
        <v>0.50531045751633985</v>
      </c>
      <c r="K19">
        <f>'[58]Template '!$E$6</f>
        <v>0.33760822510822508</v>
      </c>
      <c r="L19">
        <f>'[58]Template '!$E$7</f>
        <v>0.54441798941798947</v>
      </c>
      <c r="M19">
        <f>'[58]Template '!$E$8</f>
        <v>0.58591149591149594</v>
      </c>
      <c r="N19">
        <f>'[58]Template '!$E$9</f>
        <v>0.49331204198851258</v>
      </c>
    </row>
    <row r="20" spans="1:14" x14ac:dyDescent="0.2">
      <c r="A20" t="str">
        <f>'[59]Template '!$A$2</f>
        <v>M_064</v>
      </c>
      <c r="B20" t="str">
        <f>'[59]Template '!$C$2</f>
        <v>mSTAT only</v>
      </c>
      <c r="C20" t="str">
        <f t="shared" si="0"/>
        <v>M_064.xlsx</v>
      </c>
      <c r="D20">
        <f>'[59]Template '!$D$5</f>
        <v>0.39335317460317459</v>
      </c>
      <c r="E20">
        <f>'[59]Template '!$D$6</f>
        <v>0.45706168831168831</v>
      </c>
      <c r="F20">
        <f>'[59]Template '!$D$7</f>
        <v>0.46335978835978836</v>
      </c>
      <c r="G20">
        <f>'[59]Template '!$D$8</f>
        <v>0.55584656084656081</v>
      </c>
      <c r="H20">
        <f>'[59]Template '!$D$9</f>
        <v>0.46740530303030303</v>
      </c>
      <c r="J20">
        <f>'[59]Template '!$E$5</f>
        <v>0.37497082166199813</v>
      </c>
      <c r="K20">
        <f>'[59]Template '!$E$6</f>
        <v>0.43622835497835494</v>
      </c>
      <c r="L20">
        <f>'[59]Template '!$E$7</f>
        <v>0.44715608465608464</v>
      </c>
      <c r="M20">
        <f>'[59]Template '!$E$8</f>
        <v>0.48449013949013953</v>
      </c>
      <c r="N20">
        <f>'[59]Template '!$E$9</f>
        <v>0.43571135019664431</v>
      </c>
    </row>
    <row r="21" spans="1:14" x14ac:dyDescent="0.2">
      <c r="A21" t="str">
        <f>'[60]Template '!$A$2</f>
        <v>M_063</v>
      </c>
      <c r="B21" t="str">
        <f>'[60]Template '!$C$2</f>
        <v>mSTAT only</v>
      </c>
      <c r="C21" t="str">
        <f t="shared" si="0"/>
        <v>M_063.xlsx</v>
      </c>
      <c r="D21">
        <f>'[60]Template '!$D$5</f>
        <v>0.42832341269841268</v>
      </c>
      <c r="E21">
        <f>'[60]Template '!$D$6</f>
        <v>0.41877705627705619</v>
      </c>
      <c r="F21">
        <f>'[60]Template '!$D$7</f>
        <v>0.67359788359788353</v>
      </c>
      <c r="G21">
        <f>'[60]Template '!$D$8</f>
        <v>0.59499999999999997</v>
      </c>
      <c r="H21">
        <f>'[60]Template '!$D$9</f>
        <v>0.52892458814333809</v>
      </c>
      <c r="J21">
        <f>'[60]Template '!$E$5</f>
        <v>0.42372782446311863</v>
      </c>
      <c r="K21">
        <f>'[60]Template '!$E$6</f>
        <v>0.39794372294372293</v>
      </c>
      <c r="L21">
        <f>'[60]Template '!$E$7</f>
        <v>0.66341269841269834</v>
      </c>
      <c r="M21">
        <f>'[60]Template '!$E$8</f>
        <v>0.52054112554112542</v>
      </c>
      <c r="N21">
        <f>'[60]Template '!$E$9</f>
        <v>0.50140634284016627</v>
      </c>
    </row>
    <row r="22" spans="1:14" x14ac:dyDescent="0.2">
      <c r="A22" t="str">
        <f>'[38]Template '!$A$2</f>
        <v>M_007</v>
      </c>
      <c r="B22" t="str">
        <f>'[38]Template '!$C$2</f>
        <v>D only</v>
      </c>
      <c r="C22" t="str">
        <f t="shared" ref="C22:C44" si="1">CONCATENATE(A22,".xlsx")</f>
        <v>M_007.xlsx</v>
      </c>
      <c r="D22">
        <f>'[38]Template '!$D$5</f>
        <v>0.39260912698412698</v>
      </c>
      <c r="E22">
        <f>'[38]Template '!$D$6</f>
        <v>0.49709145021645018</v>
      </c>
      <c r="F22">
        <f>'[38]Template '!$D$7</f>
        <v>0.28706349206349208</v>
      </c>
      <c r="G22">
        <f>'[38]Template '!$D$8</f>
        <v>0.36215608465608462</v>
      </c>
      <c r="H22">
        <f>'[38]Template '!$D$9</f>
        <v>0.38473003848003851</v>
      </c>
      <c r="J22">
        <f>'[38]Template '!$E$5</f>
        <v>0.38801353874883282</v>
      </c>
      <c r="K22">
        <f>'[38]Template '!$E$6</f>
        <v>0.48890692640692646</v>
      </c>
      <c r="L22">
        <f>'[38]Template '!$E$7</f>
        <v>0.24562830687830686</v>
      </c>
      <c r="M22">
        <f>'[38]Template '!$E$8</f>
        <v>0.30771885521885523</v>
      </c>
      <c r="N22">
        <f>'[38]Template '!$E$9</f>
        <v>0.35756690681323033</v>
      </c>
    </row>
    <row r="23" spans="1:14" x14ac:dyDescent="0.2">
      <c r="A23" t="str">
        <f>'[39]Template '!$A$2</f>
        <v>M_009</v>
      </c>
      <c r="B23" t="str">
        <f>'[39]Template '!$C$2</f>
        <v>D only</v>
      </c>
      <c r="C23" t="str">
        <f t="shared" si="1"/>
        <v>M_009.xlsx</v>
      </c>
      <c r="D23">
        <f>'[39]Template '!$D$5</f>
        <v>0.32738095238095238</v>
      </c>
      <c r="E23">
        <f>'[39]Template '!$D$6</f>
        <v>0.30065386002886002</v>
      </c>
      <c r="F23">
        <f>'[39]Template '!$D$7</f>
        <v>0.3473809523809524</v>
      </c>
      <c r="G23">
        <f>'[39]Template '!$D$8</f>
        <v>0.41888888888888881</v>
      </c>
      <c r="H23">
        <f>'[39]Template '!$D$9</f>
        <v>0.34857616341991343</v>
      </c>
      <c r="J23">
        <f>'[39]Template '!$E$5</f>
        <v>0.32370448179271705</v>
      </c>
      <c r="K23">
        <f>'[39]Template '!$E$6</f>
        <v>0.32967171717171717</v>
      </c>
      <c r="L23">
        <f>'[39]Template '!$E$7</f>
        <v>0.30095238095238097</v>
      </c>
      <c r="M23">
        <f>'[39]Template '!$E$8</f>
        <v>0.37062049062049057</v>
      </c>
      <c r="N23">
        <f>'[39]Template '!$E$9</f>
        <v>0.33123726763432643</v>
      </c>
    </row>
    <row r="24" spans="1:14" x14ac:dyDescent="0.2">
      <c r="A24" t="str">
        <f>'[1]Template '!$A$2</f>
        <v>M_013</v>
      </c>
      <c r="B24" t="str">
        <f>'[1]Template '!$C$2</f>
        <v>D only</v>
      </c>
      <c r="C24" t="str">
        <f t="shared" si="1"/>
        <v>M_013.xlsx</v>
      </c>
      <c r="D24">
        <f>'[1]Template '!$D$5</f>
        <v>0.19270833333333331</v>
      </c>
      <c r="E24">
        <f>'[1]Template '!$D$6</f>
        <v>0.4864402958152958</v>
      </c>
      <c r="F24">
        <f>'[1]Template '!$D$7</f>
        <v>0.47465608465608466</v>
      </c>
      <c r="G24">
        <f>'[1]Template '!$D$8</f>
        <v>0.51195767195767194</v>
      </c>
      <c r="H24">
        <f>'[1]Template '!$D$9</f>
        <v>0.41644059644059639</v>
      </c>
      <c r="J24">
        <f>'[1]Template '!$E$5</f>
        <v>0.22947303921568629</v>
      </c>
      <c r="K24">
        <f>'[1]Template '!$E$6</f>
        <v>0.47825577200577196</v>
      </c>
      <c r="L24">
        <f>'[1]Template '!$E$7</f>
        <v>0.48160052910052914</v>
      </c>
      <c r="M24">
        <f>'[1]Template '!$E$8</f>
        <v>0.49579605579605579</v>
      </c>
      <c r="N24">
        <f>'[1]Template '!$E$9</f>
        <v>0.42128134902951075</v>
      </c>
    </row>
    <row r="25" spans="1:14" x14ac:dyDescent="0.2">
      <c r="A25" t="str">
        <f>'[4]Template '!$A$2</f>
        <v>M_022</v>
      </c>
      <c r="B25" t="str">
        <f>'[4]Template '!$C$2</f>
        <v>D only</v>
      </c>
      <c r="C25" t="str">
        <f t="shared" si="1"/>
        <v>M_022.xlsx</v>
      </c>
      <c r="D25">
        <f>'[4]Template '!$D$5</f>
        <v>0.51364087301587302</v>
      </c>
      <c r="E25">
        <f>'[4]Template '!$D$6</f>
        <v>0.25504148629148632</v>
      </c>
      <c r="F25">
        <f>'[4]Template '!$D$7</f>
        <v>0.42738095238095236</v>
      </c>
      <c r="G25">
        <f>'[4]Template '!$D$8</f>
        <v>0.47199735449735447</v>
      </c>
      <c r="H25">
        <f>'[4]Template '!$D$9</f>
        <v>0.41701516654641657</v>
      </c>
      <c r="J25">
        <f>'[4]Template '!$E$5</f>
        <v>0.50904528478057887</v>
      </c>
      <c r="K25">
        <f>'[4]Template '!$E$6</f>
        <v>0.28480339105339109</v>
      </c>
      <c r="L25">
        <f>'[4]Template '!$E$7</f>
        <v>0.42900132275132269</v>
      </c>
      <c r="M25">
        <f>'[4]Template '!$E$8</f>
        <v>0.41290644540644539</v>
      </c>
      <c r="N25">
        <f>'[4]Template '!$E$9</f>
        <v>0.40893911099793456</v>
      </c>
    </row>
    <row r="26" spans="1:14" x14ac:dyDescent="0.2">
      <c r="A26" t="str">
        <f>'[5]Template '!$A$2</f>
        <v>M_024</v>
      </c>
      <c r="B26" t="str">
        <f>'[5]Template '!$C$2</f>
        <v>D only</v>
      </c>
      <c r="C26" t="str">
        <f t="shared" si="1"/>
        <v>M_024.xlsx</v>
      </c>
      <c r="D26">
        <f>'[5]Template '!$D$5</f>
        <v>0.1674107142857143</v>
      </c>
      <c r="E26">
        <f>'[5]Template '!$D$6</f>
        <v>0.40693993506493503</v>
      </c>
      <c r="F26">
        <f>'[5]Template '!$D$7</f>
        <v>0.2605291005291005</v>
      </c>
      <c r="G26">
        <f>'[5]Template '!$D$8</f>
        <v>0.44566798941798941</v>
      </c>
      <c r="H26">
        <f>'[5]Template '!$D$9</f>
        <v>0.32013693482443484</v>
      </c>
      <c r="J26">
        <f>'[5]Template '!$E$5</f>
        <v>0.17935924369747902</v>
      </c>
      <c r="K26">
        <f>'[5]Template '!$E$6</f>
        <v>0.42405303030303027</v>
      </c>
      <c r="L26">
        <f>'[5]Template '!$E$7</f>
        <v>0.24148148148148149</v>
      </c>
      <c r="M26">
        <f>'[5]Template '!$E$8</f>
        <v>0.38358285233285228</v>
      </c>
      <c r="N26">
        <f>'[5]Template '!$E$9</f>
        <v>0.30711915195371076</v>
      </c>
    </row>
    <row r="27" spans="1:14" x14ac:dyDescent="0.2">
      <c r="A27" t="str">
        <f>'[9]Template '!$A$2</f>
        <v>M_031</v>
      </c>
      <c r="B27" t="str">
        <f>'[9]Template '!$C$2</f>
        <v>D only</v>
      </c>
      <c r="C27" t="str">
        <f t="shared" si="1"/>
        <v>M_031.xlsx</v>
      </c>
      <c r="D27">
        <f>'[9]Template '!$D$5</f>
        <v>0.42224702380952378</v>
      </c>
      <c r="E27">
        <f>'[9]Template '!$D$6</f>
        <v>0.46143578643578642</v>
      </c>
      <c r="F27">
        <f>'[9]Template '!$D$7</f>
        <v>0.34380952380952379</v>
      </c>
      <c r="G27">
        <f>'[9]Template '!$D$8</f>
        <v>0.56407407407407406</v>
      </c>
      <c r="H27">
        <f>'[9]Template '!$D$9</f>
        <v>0.447891602032227</v>
      </c>
      <c r="J27">
        <f>'[9]Template '!$E$5</f>
        <v>0.4466036414565826</v>
      </c>
      <c r="K27">
        <f>'[9]Template '!$E$6</f>
        <v>0.45250721500721502</v>
      </c>
      <c r="L27">
        <f>'[9]Template '!$E$7</f>
        <v>0.33246693121693116</v>
      </c>
      <c r="M27">
        <f>'[9]Template '!$E$8</f>
        <v>0.48939874939874939</v>
      </c>
      <c r="N27">
        <f>'[9]Template '!$E$9</f>
        <v>0.43024413426986952</v>
      </c>
    </row>
    <row r="28" spans="1:14" x14ac:dyDescent="0.2">
      <c r="A28" t="str">
        <f>'[11]Template '!$A$2</f>
        <v>M_033</v>
      </c>
      <c r="B28" t="str">
        <f>'[11]Template '!$C$2</f>
        <v>D only</v>
      </c>
      <c r="C28" t="str">
        <f t="shared" si="1"/>
        <v>M_033.xlsx</v>
      </c>
      <c r="D28">
        <f>'[11]Template '!$D$5</f>
        <v>0.38603670634920634</v>
      </c>
      <c r="E28">
        <f>'[11]Template '!$D$6</f>
        <v>0.41622925685425682</v>
      </c>
      <c r="F28">
        <f>'[11]Template '!$D$7</f>
        <v>0.36126984126984124</v>
      </c>
      <c r="G28">
        <f>'[11]Template '!$D$8</f>
        <v>0.45744047619047618</v>
      </c>
      <c r="H28">
        <f>'[11]Template '!$D$9</f>
        <v>0.40524407016594516</v>
      </c>
      <c r="J28">
        <f>'[11]Template '!$E$5</f>
        <v>0.41039332399626516</v>
      </c>
      <c r="K28">
        <f>'[11]Template '!$E$6</f>
        <v>0.43334235209235206</v>
      </c>
      <c r="L28">
        <f>'[11]Template '!$E$7</f>
        <v>0.36126984126984124</v>
      </c>
      <c r="M28">
        <f>'[11]Template '!$E$8</f>
        <v>0.41746933621933618</v>
      </c>
      <c r="N28">
        <f>'[11]Template '!$E$9</f>
        <v>0.40561871339444866</v>
      </c>
    </row>
    <row r="29" spans="1:14" x14ac:dyDescent="0.2">
      <c r="A29" t="str">
        <f>'[13]Template '!$A$2</f>
        <v>M_035</v>
      </c>
      <c r="B29" t="str">
        <f>'[13]Template '!$C$2</f>
        <v>D only</v>
      </c>
      <c r="C29" t="str">
        <f t="shared" si="1"/>
        <v>M_035.xlsx</v>
      </c>
      <c r="D29">
        <f>'[13]Template '!$D$5</f>
        <v>0.41939484126984128</v>
      </c>
      <c r="E29">
        <f>'[13]Template '!$D$6</f>
        <v>0.28579545454545452</v>
      </c>
      <c r="F29">
        <f>'[13]Template '!$D$7</f>
        <v>0.10314814814814814</v>
      </c>
      <c r="G29">
        <f>'[13]Template '!$D$8</f>
        <v>0.29166005291005292</v>
      </c>
      <c r="H29">
        <f>'[13]Template '!$D$9</f>
        <v>0.27499962421837421</v>
      </c>
      <c r="J29">
        <f>'[13]Template '!$E$5</f>
        <v>0.400093370681606</v>
      </c>
      <c r="K29">
        <f>'[13]Template '!$E$6</f>
        <v>0.23966450216450216</v>
      </c>
      <c r="L29">
        <f>'[13]Template '!$E$7</f>
        <v>0.10314814814814814</v>
      </c>
      <c r="M29">
        <f>'[13]Template '!$E$8</f>
        <v>0.25933682058682056</v>
      </c>
      <c r="N29">
        <f>'[13]Template '!$E$9</f>
        <v>0.25056071039526923</v>
      </c>
    </row>
    <row r="30" spans="1:14" x14ac:dyDescent="0.2">
      <c r="A30" t="str">
        <f>'[14]Template '!$A$2</f>
        <v>M_036</v>
      </c>
      <c r="B30" t="str">
        <f>'[14]Template '!$C$2</f>
        <v>D only</v>
      </c>
      <c r="C30" t="str">
        <f t="shared" si="1"/>
        <v>M_036.xlsx</v>
      </c>
      <c r="D30">
        <f>'[14]Template '!$D$5</f>
        <v>0.30642361111111116</v>
      </c>
      <c r="E30">
        <f>'[14]Template '!$D$6</f>
        <v>0.44366883116883116</v>
      </c>
      <c r="F30">
        <f>'[14]Template '!$D$7</f>
        <v>0.3734656084656085</v>
      </c>
      <c r="G30">
        <f>'[14]Template '!$D$8</f>
        <v>0.29376984126984129</v>
      </c>
      <c r="H30">
        <f>'[14]Template '!$D$9</f>
        <v>0.35433197300384806</v>
      </c>
      <c r="J30">
        <f>'[14]Template '!$E$5</f>
        <v>0.30780228758169936</v>
      </c>
      <c r="K30">
        <f>'[14]Template '!$E$6</f>
        <v>0.42283549783549779</v>
      </c>
      <c r="L30">
        <f>'[14]Template '!$E$7</f>
        <v>0.37115079365079368</v>
      </c>
      <c r="M30">
        <f>'[14]Template '!$E$8</f>
        <v>0.29376984126984129</v>
      </c>
      <c r="N30">
        <f>'[14]Template '!$E$9</f>
        <v>0.34888960508445804</v>
      </c>
    </row>
    <row r="31" spans="1:14" x14ac:dyDescent="0.2">
      <c r="A31" t="str">
        <f>'[16]Template '!$A$2</f>
        <v>M_039</v>
      </c>
      <c r="B31" t="str">
        <f>'[16]Template '!$C$2</f>
        <v>D only</v>
      </c>
      <c r="C31" t="str">
        <f t="shared" si="1"/>
        <v>M_039.xlsx</v>
      </c>
      <c r="D31">
        <f>'[16]Template '!$D$5</f>
        <v>0.20585317460317459</v>
      </c>
      <c r="E31">
        <f>'[16]Template '!$D$6</f>
        <v>0.39021013708513708</v>
      </c>
      <c r="F31">
        <f>'[16]Template '!$D$7</f>
        <v>0.31873015873015875</v>
      </c>
      <c r="G31">
        <f>'[16]Template '!$D$8</f>
        <v>0.56853174603174594</v>
      </c>
      <c r="H31">
        <f>'[16]Template '!$D$9</f>
        <v>0.37083130411255405</v>
      </c>
      <c r="J31">
        <f>'[16]Template '!$E$5</f>
        <v>0.22607376283846869</v>
      </c>
      <c r="K31">
        <f>'[16]Template '!$E$6</f>
        <v>0.40732323232323231</v>
      </c>
      <c r="L31">
        <f>'[16]Template '!$E$7</f>
        <v>0.32329365079365074</v>
      </c>
      <c r="M31">
        <f>'[16]Template '!$E$8</f>
        <v>0.49515512265512263</v>
      </c>
      <c r="N31">
        <f>'[16]Template '!$E$9</f>
        <v>0.36296144215261861</v>
      </c>
    </row>
    <row r="32" spans="1:14" x14ac:dyDescent="0.2">
      <c r="A32" t="str">
        <f>'[17]Template '!$A$2</f>
        <v>M_040</v>
      </c>
      <c r="B32" t="str">
        <f>'[17]Template '!$C$2</f>
        <v>D only</v>
      </c>
      <c r="C32" t="str">
        <f t="shared" si="1"/>
        <v>M_040.xlsx</v>
      </c>
      <c r="D32">
        <f>'[17]Template '!$D$5</f>
        <v>0.60627480158730152</v>
      </c>
      <c r="E32">
        <f>'[17]Template '!$D$6</f>
        <v>0.70426587301587296</v>
      </c>
      <c r="F32">
        <f>'[17]Template '!$D$7</f>
        <v>0.64301587301587304</v>
      </c>
      <c r="G32">
        <f>'[17]Template '!$D$8</f>
        <v>0.62097883597883596</v>
      </c>
      <c r="H32">
        <f>'[17]Template '!$D$9</f>
        <v>0.64363384589947081</v>
      </c>
      <c r="J32">
        <f>'[17]Template '!$E$5</f>
        <v>0.58835200746965444</v>
      </c>
      <c r="K32">
        <f>'[17]Template '!$E$6</f>
        <v>0.67450396825396819</v>
      </c>
      <c r="L32">
        <f>'[17]Template '!$E$7</f>
        <v>0.59824074074074074</v>
      </c>
      <c r="M32">
        <f>'[17]Template '!$E$8</f>
        <v>0.54154160654160655</v>
      </c>
      <c r="N32">
        <f>'[17]Template '!$E$9</f>
        <v>0.60065958075149251</v>
      </c>
    </row>
    <row r="33" spans="1:14" x14ac:dyDescent="0.2">
      <c r="A33" t="str">
        <f>'[18]Template '!$A$2</f>
        <v>M_041</v>
      </c>
      <c r="B33" t="str">
        <f>'[18]Template '!$C$2</f>
        <v>D only</v>
      </c>
      <c r="C33" t="str">
        <f t="shared" si="1"/>
        <v>M_041.xlsx</v>
      </c>
      <c r="D33">
        <f>'[18]Template '!$D$5</f>
        <v>0.49032738095238093</v>
      </c>
      <c r="E33">
        <f>'[18]Template '!$D$6</f>
        <v>0.42441829004329001</v>
      </c>
      <c r="F33">
        <f>'[18]Template '!$D$7</f>
        <v>0.43121693121693128</v>
      </c>
      <c r="G33">
        <f>'[18]Template '!$D$8</f>
        <v>0.6061441798941799</v>
      </c>
      <c r="H33">
        <f>'[18]Template '!$D$9</f>
        <v>0.48802669552669553</v>
      </c>
      <c r="J33">
        <f>'[18]Template '!$E$5</f>
        <v>0.48573179271708683</v>
      </c>
      <c r="K33">
        <f>'[18]Template '!$E$6</f>
        <v>0.44153138528138525</v>
      </c>
      <c r="L33">
        <f>'[18]Template '!$E$7</f>
        <v>0.45330687830687832</v>
      </c>
      <c r="M33">
        <f>'[18]Template '!$E$8</f>
        <v>0.52681517556517554</v>
      </c>
      <c r="N33">
        <f>'[18]Template '!$E$9</f>
        <v>0.4768463079676315</v>
      </c>
    </row>
    <row r="34" spans="1:14" x14ac:dyDescent="0.2">
      <c r="A34" t="str">
        <f>'[22]Template '!$A$2</f>
        <v>M_048</v>
      </c>
      <c r="B34" t="str">
        <f>'[22]Template '!$C$2</f>
        <v>D only</v>
      </c>
      <c r="C34" t="str">
        <f t="shared" si="1"/>
        <v>M_048.xlsx</v>
      </c>
      <c r="D34">
        <f>'[22]Template '!$D$5</f>
        <v>0.29786706349206349</v>
      </c>
      <c r="E34">
        <f>'[22]Template '!$D$6</f>
        <v>0.37704274891774886</v>
      </c>
      <c r="F34">
        <f>'[22]Template '!$D$7</f>
        <v>0.33291005291005293</v>
      </c>
      <c r="G34">
        <f>'[22]Template '!$D$8</f>
        <v>0.40789682539682542</v>
      </c>
      <c r="H34">
        <f>'[22]Template '!$D$9</f>
        <v>0.35392917267917262</v>
      </c>
      <c r="J34">
        <f>'[22]Template '!$E$5</f>
        <v>0.27856559290382821</v>
      </c>
      <c r="K34">
        <f>'[22]Template '!$E$6</f>
        <v>0.38336715367965363</v>
      </c>
      <c r="L34">
        <f>'[22]Template '!$E$7</f>
        <v>0.3264285714285714</v>
      </c>
      <c r="M34">
        <f>'[22]Template '!$E$8</f>
        <v>0.36749278499278504</v>
      </c>
      <c r="N34">
        <f>'[22]Template '!$E$9</f>
        <v>0.33896352575120958</v>
      </c>
    </row>
    <row r="35" spans="1:14" x14ac:dyDescent="0.2">
      <c r="A35" t="str">
        <f>'[23]Template '!$A$2</f>
        <v>M_049</v>
      </c>
      <c r="B35" t="str">
        <f>'[23]Template '!$C$2</f>
        <v>D only</v>
      </c>
      <c r="C35" t="str">
        <f t="shared" si="1"/>
        <v>M_049.xlsx</v>
      </c>
      <c r="D35">
        <f>'[23]Template '!$D$5</f>
        <v>0.19990079365079363</v>
      </c>
      <c r="E35">
        <f>'[23]Template '!$D$6</f>
        <v>0.40159632034632031</v>
      </c>
      <c r="F35">
        <f>'[23]Template '!$D$7</f>
        <v>0.2496031746031746</v>
      </c>
      <c r="G35">
        <f>'[23]Template '!$D$8</f>
        <v>0.24063492063492067</v>
      </c>
      <c r="H35">
        <f>'[23]Template '!$D$9</f>
        <v>0.27293380230880232</v>
      </c>
      <c r="J35">
        <f>'[23]Template '!$E$5</f>
        <v>0.23666549953314658</v>
      </c>
      <c r="K35">
        <f>'[23]Template '!$E$6</f>
        <v>0.380762987012987</v>
      </c>
      <c r="L35">
        <f>'[23]Template '!$E$7</f>
        <v>0.2496031746031746</v>
      </c>
      <c r="M35">
        <f>'[23]Template '!$E$8</f>
        <v>0.22447330447330449</v>
      </c>
      <c r="N35">
        <f>'[23]Template '!$E$9</f>
        <v>0.27287624140565314</v>
      </c>
    </row>
    <row r="36" spans="1:14" x14ac:dyDescent="0.2">
      <c r="A36" t="str">
        <f>'[36]Template '!$A$2</f>
        <v>M_099</v>
      </c>
      <c r="B36" t="str">
        <f>'[36]Template '!$C$2</f>
        <v>D only</v>
      </c>
      <c r="C36" t="str">
        <f t="shared" si="1"/>
        <v>M_099.xlsx</v>
      </c>
      <c r="D36">
        <f>'[36]Template '!$D$5</f>
        <v>0.1314484126984127</v>
      </c>
      <c r="E36">
        <f>'[36]Template '!$D$6</f>
        <v>0.15416666666666667</v>
      </c>
      <c r="F36">
        <f>'[36]Template '!$D$7</f>
        <v>9.1851851851851837E-2</v>
      </c>
      <c r="G36">
        <f>'[36]Template '!$D$8</f>
        <v>7.6772486772486756E-2</v>
      </c>
      <c r="H36">
        <f>'[36]Template '!$D$9</f>
        <v>0.11355985449735449</v>
      </c>
      <c r="J36">
        <f>'[36]Template '!$E$5</f>
        <v>0.16821311858076565</v>
      </c>
      <c r="K36">
        <f>'[36]Template '!$E$6</f>
        <v>0.18392857142857141</v>
      </c>
      <c r="L36">
        <f>'[36]Template '!$E$7</f>
        <v>9.1851851851851837E-2</v>
      </c>
      <c r="M36">
        <f>'[36]Template '!$E$8</f>
        <v>7.6772486772486756E-2</v>
      </c>
      <c r="N36">
        <f>'[36]Template '!$E$9</f>
        <v>0.1301915071584189</v>
      </c>
    </row>
    <row r="37" spans="1:14" x14ac:dyDescent="0.2">
      <c r="A37" t="str">
        <f>'[33]Template '!$A$2</f>
        <v>M_095</v>
      </c>
      <c r="B37" t="str">
        <f>'[33]Template '!$C$2</f>
        <v>D only</v>
      </c>
      <c r="C37" t="str">
        <f t="shared" si="1"/>
        <v>M_095.xlsx</v>
      </c>
      <c r="D37">
        <f>'[33]Template '!$D$5</f>
        <v>0.3292410714285714</v>
      </c>
      <c r="E37">
        <f>'[33]Template '!$D$6</f>
        <v>0.35427038239538244</v>
      </c>
      <c r="F37">
        <f>'[33]Template '!$D$7</f>
        <v>0.40328042328042335</v>
      </c>
      <c r="G37">
        <f>'[33]Template '!$D$8</f>
        <v>0.55207671957671955</v>
      </c>
      <c r="H37">
        <f>'[33]Template '!$D$9</f>
        <v>0.40971714917027419</v>
      </c>
      <c r="J37">
        <f>'[33]Template '!$E$5</f>
        <v>0.34532563025210083</v>
      </c>
      <c r="K37">
        <f>'[33]Template '!$E$6</f>
        <v>0.37138347763347768</v>
      </c>
      <c r="L37">
        <f>'[33]Template '!$E$7</f>
        <v>0.3754695767195767</v>
      </c>
      <c r="M37">
        <f>'[33]Template '!$E$8</f>
        <v>0.47870009620009613</v>
      </c>
      <c r="N37">
        <f>'[33]Template '!$E$9</f>
        <v>0.39271969520131289</v>
      </c>
    </row>
    <row r="38" spans="1:14" x14ac:dyDescent="0.2">
      <c r="A38" t="str">
        <f>'[32]Template '!$A$2</f>
        <v>M_094</v>
      </c>
      <c r="B38" t="str">
        <f>'[32]Template '!$C$2</f>
        <v>D only</v>
      </c>
      <c r="C38" t="str">
        <f t="shared" si="1"/>
        <v>M_094.xlsx</v>
      </c>
      <c r="D38">
        <f>'[32]Template '!$D$5</f>
        <v>0.48921130952380953</v>
      </c>
      <c r="E38">
        <f>'[32]Template '!$D$6</f>
        <v>0.30455447330447327</v>
      </c>
      <c r="F38">
        <f>'[32]Template '!$D$7</f>
        <v>0.45465608465608465</v>
      </c>
      <c r="G38">
        <f>'[32]Template '!$D$8</f>
        <v>0.63048941798941804</v>
      </c>
      <c r="H38">
        <f>'[32]Template '!$D$9</f>
        <v>0.46972782136844637</v>
      </c>
      <c r="J38">
        <f>'[32]Template '!$E$5</f>
        <v>0.45454014939309056</v>
      </c>
      <c r="K38">
        <f>'[32]Template '!$E$6</f>
        <v>0.30901875901875903</v>
      </c>
      <c r="L38">
        <f>'[32]Template '!$E$7</f>
        <v>0.44493386243386246</v>
      </c>
      <c r="M38">
        <f>'[32]Template '!$E$8</f>
        <v>0.57399591149591145</v>
      </c>
      <c r="N38">
        <f>'[32]Template '!$E$9</f>
        <v>0.44562217058540587</v>
      </c>
    </row>
    <row r="39" spans="1:14" x14ac:dyDescent="0.2">
      <c r="A39" t="str">
        <f>'[31]Template '!$A$2</f>
        <v>M_093</v>
      </c>
      <c r="B39" t="str">
        <f>'[31]Template '!$C$2</f>
        <v>D only</v>
      </c>
      <c r="C39" t="str">
        <f t="shared" si="1"/>
        <v>M_093.xlsx</v>
      </c>
      <c r="D39">
        <f>'[31]Template '!$D$5</f>
        <v>0.27678571428571425</v>
      </c>
      <c r="E39">
        <f>'[31]Template '!$D$6</f>
        <v>0.49255050505050502</v>
      </c>
      <c r="F39">
        <f>'[31]Template '!$D$7</f>
        <v>0.35656084656084663</v>
      </c>
      <c r="G39">
        <f>'[31]Template '!$D$8</f>
        <v>0.41100529100529098</v>
      </c>
      <c r="H39">
        <f>'[31]Template '!$D$9</f>
        <v>0.38422558922558919</v>
      </c>
      <c r="J39">
        <f>'[31]Template '!$E$5</f>
        <v>0.24369747899159661</v>
      </c>
      <c r="K39">
        <f>'[31]Template '!$E$6</f>
        <v>0.49775883838383833</v>
      </c>
      <c r="L39">
        <f>'[31]Template '!$E$7</f>
        <v>0.38513227513227516</v>
      </c>
      <c r="M39">
        <f>'[31]Template '!$E$8</f>
        <v>0.3871957671957672</v>
      </c>
      <c r="N39">
        <f>'[31]Template '!$E$9</f>
        <v>0.37844608992586937</v>
      </c>
    </row>
    <row r="40" spans="1:14" x14ac:dyDescent="0.2">
      <c r="A40" t="str">
        <f>'[30]Template '!$A$2</f>
        <v>M_092</v>
      </c>
      <c r="B40" t="str">
        <f>'[30]Template '!$C$2</f>
        <v>D only</v>
      </c>
      <c r="C40" t="str">
        <f t="shared" si="1"/>
        <v>M_092.xlsx</v>
      </c>
      <c r="D40">
        <f>'[30]Template '!$D$5</f>
        <v>0.56001984126984128</v>
      </c>
      <c r="E40">
        <f>'[30]Template '!$D$6</f>
        <v>0.48294552669552671</v>
      </c>
      <c r="F40">
        <f>'[30]Template '!$D$7</f>
        <v>0.59042328042328041</v>
      </c>
      <c r="G40">
        <f>'[30]Template '!$D$8</f>
        <v>0.59167989417989419</v>
      </c>
      <c r="H40">
        <f>'[30]Template '!$D$9</f>
        <v>0.5562671356421357</v>
      </c>
      <c r="J40">
        <f>'[30]Template '!$E$5</f>
        <v>0.57656395891690004</v>
      </c>
      <c r="K40">
        <f>'[30]Template '!$E$6</f>
        <v>0.4874098124098124</v>
      </c>
      <c r="L40">
        <f>'[30]Template '!$E$7</f>
        <v>0.56767195767195766</v>
      </c>
      <c r="M40">
        <f>'[30]Template '!$E$8</f>
        <v>0.5412469937469937</v>
      </c>
      <c r="N40">
        <f>'[30]Template '!$E$9</f>
        <v>0.54322318068641595</v>
      </c>
    </row>
    <row r="41" spans="1:14" x14ac:dyDescent="0.2">
      <c r="A41" t="str">
        <f>'[27]Template '!$A$2</f>
        <v>M_089</v>
      </c>
      <c r="B41" t="str">
        <f>'[27]Template '!$C$2</f>
        <v>D only</v>
      </c>
      <c r="C41" t="str">
        <f t="shared" si="1"/>
        <v>M_089.xlsx</v>
      </c>
      <c r="D41">
        <f>'[27]Template '!$D$5</f>
        <v>0.49280753968253965</v>
      </c>
      <c r="E41">
        <f>'[27]Template '!$D$6</f>
        <v>0.51820887445887442</v>
      </c>
      <c r="F41">
        <f>'[27]Template '!$D$7</f>
        <v>0.50105820105820109</v>
      </c>
      <c r="G41">
        <f>'[27]Template '!$D$8</f>
        <v>0.70137566137566132</v>
      </c>
      <c r="H41">
        <f>'[27]Template '!$D$9</f>
        <v>0.55336256914381921</v>
      </c>
      <c r="J41">
        <f>'[27]Template '!$E$5</f>
        <v>0.48821195144724561</v>
      </c>
      <c r="K41">
        <f>'[27]Template '!$E$6</f>
        <v>0.52267316017316012</v>
      </c>
      <c r="L41">
        <f>'[27]Template '!$E$7</f>
        <v>0.51990740740740748</v>
      </c>
      <c r="M41">
        <f>'[27]Template '!$E$8</f>
        <v>0.66046657046657042</v>
      </c>
      <c r="N41">
        <f>'[27]Template '!$E$9</f>
        <v>0.54781477237359599</v>
      </c>
    </row>
    <row r="42" spans="1:14" x14ac:dyDescent="0.2">
      <c r="A42" t="str">
        <f>'[41]Template '!$A$2</f>
        <v>M_087</v>
      </c>
      <c r="B42" t="str">
        <f>'[41]Template '!$C$2</f>
        <v>D only</v>
      </c>
      <c r="C42" t="str">
        <f t="shared" si="1"/>
        <v>M_087.xlsx</v>
      </c>
      <c r="D42">
        <f>'[41]Template '!$D$5</f>
        <v>0.45262896825396826</v>
      </c>
      <c r="E42">
        <f>'[41]Template '!$D$6</f>
        <v>0.46084956709956709</v>
      </c>
      <c r="F42">
        <f>'[41]Template '!$D$7</f>
        <v>0.62380952380952381</v>
      </c>
      <c r="G42">
        <f>'[41]Template '!$D$8</f>
        <v>0.45076719576719582</v>
      </c>
      <c r="H42">
        <f>'[41]Template '!$D$9</f>
        <v>0.4970138137325637</v>
      </c>
      <c r="J42">
        <f>'[41]Template '!$E$5</f>
        <v>0.44803338001867415</v>
      </c>
      <c r="K42">
        <f>'[41]Template '!$E$6</f>
        <v>0.43555194805194808</v>
      </c>
      <c r="L42">
        <f>'[41]Template '!$E$7</f>
        <v>0.57771164021164023</v>
      </c>
      <c r="M42">
        <f>'[41]Template '!$E$8</f>
        <v>0.40415824915824911</v>
      </c>
      <c r="N42">
        <f>'[41]Template '!$E$9</f>
        <v>0.46636380436012792</v>
      </c>
    </row>
    <row r="43" spans="1:14" x14ac:dyDescent="0.2">
      <c r="A43" t="str">
        <f>'[25]Template '!$A$2</f>
        <v>M_084</v>
      </c>
      <c r="B43" t="str">
        <f>'[25]Template '!$C$2</f>
        <v>D only</v>
      </c>
      <c r="C43" t="str">
        <f t="shared" si="1"/>
        <v>M_084.xlsx</v>
      </c>
      <c r="D43">
        <f>'[25]Template '!$D$5</f>
        <v>0.45436507936507931</v>
      </c>
      <c r="E43">
        <f>'[25]Template '!$D$6</f>
        <v>0.49178391053391046</v>
      </c>
      <c r="F43">
        <f>'[25]Template '!$D$7</f>
        <v>0.41822751322751317</v>
      </c>
      <c r="G43">
        <f>'[25]Template '!$D$8</f>
        <v>0.54115079365079366</v>
      </c>
      <c r="H43">
        <f>'[25]Template '!$D$9</f>
        <v>0.47638182419432418</v>
      </c>
      <c r="J43">
        <f>'[25]Template '!$E$5</f>
        <v>0.45620331465919695</v>
      </c>
      <c r="K43">
        <f>'[25]Template '!$E$6</f>
        <v>0.48285533910533907</v>
      </c>
      <c r="L43">
        <f>'[25]Template '!$E$7</f>
        <v>0.40619047619047616</v>
      </c>
      <c r="M43">
        <f>'[25]Template '!$E$8</f>
        <v>0.48454906204906206</v>
      </c>
      <c r="N43">
        <f>'[25]Template '!$E$9</f>
        <v>0.45744954800101856</v>
      </c>
    </row>
    <row r="44" spans="1:14" x14ac:dyDescent="0.2">
      <c r="A44" t="str">
        <f>'[40]Template '!$A$2</f>
        <v>M_086</v>
      </c>
      <c r="B44" t="str">
        <f>'[40]Template '!$C$2</f>
        <v>D only</v>
      </c>
      <c r="C44" t="str">
        <f t="shared" si="1"/>
        <v>M_086.xlsx</v>
      </c>
      <c r="D44">
        <f>'[40]Template '!$D$5</f>
        <v>0.35949900793650791</v>
      </c>
      <c r="E44">
        <f>'[40]Template '!$D$6</f>
        <v>0.55525342712842707</v>
      </c>
      <c r="F44">
        <f>'[40]Template '!$D$7</f>
        <v>0.41706349206349208</v>
      </c>
      <c r="G44">
        <f>'[40]Template '!$D$8</f>
        <v>0.48767857142857152</v>
      </c>
      <c r="H44">
        <f>'[40]Template '!$D$9</f>
        <v>0.45487362463924963</v>
      </c>
      <c r="J44">
        <f>'[40]Template '!$E$5</f>
        <v>0.36823062558356678</v>
      </c>
      <c r="K44">
        <f>'[40]Template '!$E$6</f>
        <v>0.5723665223665223</v>
      </c>
      <c r="L44">
        <f>'[40]Template '!$E$7</f>
        <v>0.37876984126984126</v>
      </c>
      <c r="M44">
        <f>'[40]Template '!$E$8</f>
        <v>0.4484289321789322</v>
      </c>
      <c r="N44">
        <f>'[40]Template '!$E$9</f>
        <v>0.44194898034971564</v>
      </c>
    </row>
    <row r="45" spans="1:14" x14ac:dyDescent="0.2">
      <c r="A45" t="str">
        <f>'[37]Template '!$A$2</f>
        <v>M_012</v>
      </c>
      <c r="B45" t="str">
        <f>'[37]Template '!$C$2</f>
        <v>D+M</v>
      </c>
      <c r="C45" t="str">
        <f t="shared" ref="C45:C61" si="2">CONCATENATE(A45,".xlsx")</f>
        <v>M_012.xlsx</v>
      </c>
      <c r="D45">
        <f>'[2]Template '!$D$5</f>
        <v>0.59697420634920628</v>
      </c>
      <c r="E45">
        <f>'[2]Template '!$D$6</f>
        <v>0.56294191919191916</v>
      </c>
      <c r="F45">
        <f>'[2]Template '!$D$7</f>
        <v>0.58984126984126983</v>
      </c>
      <c r="G45">
        <f>'[2]Template '!$D$8</f>
        <v>0.62925925925925918</v>
      </c>
      <c r="H45">
        <f>'[2]Template '!$D$9</f>
        <v>0.59475416366041367</v>
      </c>
      <c r="J45">
        <f>'[2]Template '!$E$5</f>
        <v>0.56112861811391224</v>
      </c>
      <c r="K45">
        <f>'[2]Template '!$E$6</f>
        <v>0.54954906204906206</v>
      </c>
      <c r="L45">
        <f>'[2]Template '!$E$7</f>
        <v>0.58798941798941795</v>
      </c>
      <c r="M45">
        <f>'[2]Template '!$E$8</f>
        <v>0.54527657527657525</v>
      </c>
      <c r="N45">
        <f>'[2]Template '!$E$9</f>
        <v>0.56098591835724188</v>
      </c>
    </row>
    <row r="46" spans="1:14" x14ac:dyDescent="0.2">
      <c r="A46" t="str">
        <f>'[2]Template '!$A$2</f>
        <v>M_014</v>
      </c>
      <c r="B46" t="str">
        <f>'[2]Template '!$C$2</f>
        <v>D+M</v>
      </c>
      <c r="C46" t="str">
        <f t="shared" si="2"/>
        <v>M_014.xlsx</v>
      </c>
      <c r="D46">
        <f>'[3]Template '!$D$5</f>
        <v>0.4888392857142857</v>
      </c>
      <c r="E46">
        <f>'[3]Template '!$D$6</f>
        <v>0.65515873015873016</v>
      </c>
      <c r="F46">
        <f>'[3]Template '!$D$7</f>
        <v>0.58198412698412705</v>
      </c>
      <c r="G46">
        <f>'[3]Template '!$D$8</f>
        <v>0.60031746031746036</v>
      </c>
      <c r="H46">
        <f>'[3]Template '!$D$9</f>
        <v>0.58157490079365082</v>
      </c>
      <c r="J46">
        <f>'[3]Template '!$E$5</f>
        <v>0.46769957983193278</v>
      </c>
      <c r="K46">
        <f>'[3]Template '!$E$6</f>
        <v>0.61163194444444446</v>
      </c>
      <c r="L46">
        <f>'[3]Template '!$E$7</f>
        <v>0.54686507936507944</v>
      </c>
      <c r="M46">
        <f>'[3]Template '!$E$8</f>
        <v>0.57650793650793652</v>
      </c>
      <c r="N46">
        <f>'[3]Template '!$E$9</f>
        <v>0.55067613503734825</v>
      </c>
    </row>
    <row r="47" spans="1:14" x14ac:dyDescent="0.2">
      <c r="A47" t="str">
        <f>'[3]Template '!$A$2</f>
        <v>M_021</v>
      </c>
      <c r="B47" t="str">
        <f>'[3]Template '!$C$2</f>
        <v>D+M</v>
      </c>
      <c r="C47" t="str">
        <f t="shared" si="2"/>
        <v>M_021.xlsx</v>
      </c>
      <c r="D47">
        <f>'[6]Template '!$D$5</f>
        <v>0.64112103174603174</v>
      </c>
      <c r="E47">
        <f>'[6]Template '!$D$6</f>
        <v>0.76730699855699847</v>
      </c>
      <c r="F47">
        <f>'[6]Template '!$D$7</f>
        <v>0.44394179894179897</v>
      </c>
      <c r="G47">
        <f>'[6]Template '!$D$8</f>
        <v>0.7714550264550265</v>
      </c>
      <c r="H47">
        <f>'[6]Template '!$D$9</f>
        <v>0.65595621392496395</v>
      </c>
      <c r="J47">
        <f>'[6]Template '!$E$5</f>
        <v>0.62345354808590103</v>
      </c>
      <c r="K47">
        <f>'[6]Template '!$E$6</f>
        <v>0.74349747474747474</v>
      </c>
      <c r="L47">
        <f>'[6]Template '!$E$7</f>
        <v>0.43583994708994711</v>
      </c>
      <c r="M47">
        <f>'[6]Template '!$E$8</f>
        <v>0.69223424723424731</v>
      </c>
      <c r="N47">
        <f>'[6]Template '!$E$9</f>
        <v>0.62375630428939255</v>
      </c>
    </row>
    <row r="48" spans="1:14" x14ac:dyDescent="0.2">
      <c r="A48" t="str">
        <f>'[6]Template '!$A$2</f>
        <v>M_028</v>
      </c>
      <c r="B48" t="str">
        <f>'[6]Template '!$C$2</f>
        <v>D+M</v>
      </c>
      <c r="C48" t="str">
        <f t="shared" si="2"/>
        <v>M_028.xlsx</v>
      </c>
      <c r="D48">
        <f>'[7]Template '!$D$5</f>
        <v>0.60094246031746035</v>
      </c>
      <c r="E48">
        <f>'[7]Template '!$D$6</f>
        <v>0.35799062049062047</v>
      </c>
      <c r="F48">
        <f>'[7]Template '!$D$7</f>
        <v>0.50481481481481483</v>
      </c>
      <c r="G48">
        <f>'[7]Template '!$D$8</f>
        <v>0.55501322751322746</v>
      </c>
      <c r="H48">
        <f>'[7]Template '!$D$9</f>
        <v>0.50469028078403078</v>
      </c>
      <c r="J48">
        <f>'[7]Template '!$E$5</f>
        <v>0.61289098972922507</v>
      </c>
      <c r="K48">
        <f>'[7]Template '!$E$6</f>
        <v>0.36245490620490622</v>
      </c>
      <c r="L48">
        <f>'[7]Template '!$E$7</f>
        <v>0.49509259259259258</v>
      </c>
      <c r="M48">
        <f>'[7]Template '!$E$8</f>
        <v>0.48697570947570945</v>
      </c>
      <c r="N48">
        <f>'[7]Template '!$E$9</f>
        <v>0.48935354950060833</v>
      </c>
    </row>
    <row r="49" spans="1:14" x14ac:dyDescent="0.2">
      <c r="A49" t="str">
        <f>'[7]Template '!$A$2</f>
        <v>M_029</v>
      </c>
      <c r="B49" t="str">
        <f>'[7]Template '!$C$2</f>
        <v>D+M</v>
      </c>
      <c r="C49" t="str">
        <f t="shared" si="2"/>
        <v>M_029.xlsx</v>
      </c>
      <c r="D49">
        <f>'[8]Template '!$D$5</f>
        <v>0.51388888888888884</v>
      </c>
      <c r="E49">
        <f>'[8]Template '!$D$6</f>
        <v>0.58947961760461753</v>
      </c>
      <c r="F49">
        <f>'[8]Template '!$D$7</f>
        <v>0.47092592592592586</v>
      </c>
      <c r="G49">
        <f>'[8]Template '!$D$8</f>
        <v>0.54658730158730162</v>
      </c>
      <c r="H49">
        <f>'[8]Template '!$D$9</f>
        <v>0.53022043350168346</v>
      </c>
      <c r="J49">
        <f>'[8]Template '!$E$5</f>
        <v>0.51756535947712412</v>
      </c>
      <c r="K49">
        <f>'[8]Template '!$E$6</f>
        <v>0.5812950937950937</v>
      </c>
      <c r="L49">
        <f>'[8]Template '!$E$7</f>
        <v>0.47138888888888886</v>
      </c>
      <c r="M49">
        <f>'[8]Template '!$E$8</f>
        <v>0.50933452168746285</v>
      </c>
      <c r="N49">
        <f>'[8]Template '!$E$9</f>
        <v>0.51989596596214238</v>
      </c>
    </row>
    <row r="50" spans="1:14" x14ac:dyDescent="0.2">
      <c r="A50" t="str">
        <f>'[8]Template '!$A$2</f>
        <v>M_030</v>
      </c>
      <c r="B50" t="str">
        <f>'[8]Template '!$C$2</f>
        <v>D+M</v>
      </c>
      <c r="C50" t="str">
        <f t="shared" si="2"/>
        <v>M_030.xlsx</v>
      </c>
      <c r="D50">
        <f>'[10]Template '!$D$5</f>
        <v>0.625</v>
      </c>
      <c r="E50">
        <f>'[10]Template '!$D$6</f>
        <v>0.7270833333333333</v>
      </c>
      <c r="F50">
        <f>'[10]Template '!$D$7</f>
        <v>0.60431216931216925</v>
      </c>
      <c r="G50">
        <f>'[10]Template '!$D$8</f>
        <v>0.73476190476190473</v>
      </c>
      <c r="H50">
        <f>'[10]Template '!$D$9</f>
        <v>0.67278935185185185</v>
      </c>
      <c r="J50">
        <f>'[10]Template '!$E$5</f>
        <v>0.625</v>
      </c>
      <c r="K50">
        <f>'[10]Template '!$E$6</f>
        <v>0.67946428571428574</v>
      </c>
      <c r="L50">
        <f>'[10]Template '!$E$7</f>
        <v>0.59829365079365071</v>
      </c>
      <c r="M50">
        <f>'[10]Template '!$E$8</f>
        <v>0.71423733129615485</v>
      </c>
      <c r="N50">
        <f>'[10]Template '!$E$9</f>
        <v>0.65424881695102288</v>
      </c>
    </row>
    <row r="51" spans="1:14" x14ac:dyDescent="0.2">
      <c r="A51" t="str">
        <f>'[10]Template '!$A$2</f>
        <v>M_032</v>
      </c>
      <c r="B51" t="str">
        <f>'[10]Template '!$C$2</f>
        <v>D+M</v>
      </c>
      <c r="C51" t="str">
        <f t="shared" si="2"/>
        <v>M_032.xlsx</v>
      </c>
      <c r="D51">
        <f>'[12]Template '!$D$5</f>
        <v>0.63318452380952372</v>
      </c>
      <c r="E51">
        <f>'[12]Template '!$D$6</f>
        <v>0.51931367243867244</v>
      </c>
      <c r="F51">
        <f>'[12]Template '!$D$7</f>
        <v>0.5880158730158731</v>
      </c>
      <c r="G51">
        <f>'[12]Template '!$D$8</f>
        <v>0.65650132275132278</v>
      </c>
      <c r="H51">
        <f>'[12]Template '!$D$9</f>
        <v>0.59925384800384807</v>
      </c>
      <c r="J51">
        <f>'[12]Template '!$E$5</f>
        <v>0.61204481792717091</v>
      </c>
      <c r="K51">
        <f>'[12]Template '!$E$6</f>
        <v>0.5111291486291486</v>
      </c>
      <c r="L51">
        <f>'[12]Template '!$E$7</f>
        <v>0.57713624338624336</v>
      </c>
      <c r="M51">
        <f>'[12]Template '!$E$8</f>
        <v>0.57587361712361707</v>
      </c>
      <c r="N51">
        <f>'[12]Template '!$E$9</f>
        <v>0.56904595676654501</v>
      </c>
    </row>
    <row r="52" spans="1:14" x14ac:dyDescent="0.2">
      <c r="A52" t="str">
        <f>'[12]Template '!$A$2</f>
        <v>M_034</v>
      </c>
      <c r="B52" t="str">
        <f>'[12]Template '!$C$2</f>
        <v>D+M</v>
      </c>
      <c r="C52" t="str">
        <f t="shared" si="2"/>
        <v>M_034.xlsx</v>
      </c>
      <c r="D52">
        <f>'[15]Template '!$D$5</f>
        <v>0.57862103174603174</v>
      </c>
      <c r="E52">
        <f>'[15]Template '!$D$6</f>
        <v>0.60970418470418464</v>
      </c>
      <c r="F52">
        <f>'[15]Template '!$D$7</f>
        <v>0.49751322751322757</v>
      </c>
      <c r="G52">
        <f>'[15]Template '!$D$8</f>
        <v>0.49326719576719569</v>
      </c>
      <c r="H52">
        <f>'[15]Template '!$D$9</f>
        <v>0.54477640993265986</v>
      </c>
      <c r="J52">
        <f>'[15]Template '!$E$5</f>
        <v>0.55748132586367882</v>
      </c>
      <c r="K52">
        <f>'[15]Template '!$E$6</f>
        <v>0.58887085137085138</v>
      </c>
      <c r="L52">
        <f>'[15]Template '!$E$7</f>
        <v>0.45802910052910056</v>
      </c>
      <c r="M52">
        <f>'[15]Template '!$E$8</f>
        <v>0.44956971677559909</v>
      </c>
      <c r="N52">
        <f>'[15]Template '!$E$9</f>
        <v>0.51348774863480751</v>
      </c>
    </row>
    <row r="53" spans="1:14" x14ac:dyDescent="0.2">
      <c r="A53" t="str">
        <f>'[15]Template '!$A$2</f>
        <v>M_038</v>
      </c>
      <c r="B53" t="str">
        <f>'[15]Template '!$C$2</f>
        <v>D+M</v>
      </c>
      <c r="C53" t="str">
        <f t="shared" si="2"/>
        <v>M_038.xlsx</v>
      </c>
      <c r="D53">
        <f>'[19]Template '!$D$5</f>
        <v>0.63566468253968256</v>
      </c>
      <c r="E53">
        <f>'[19]Template '!$D$6</f>
        <v>0.53701298701298694</v>
      </c>
      <c r="F53">
        <f>'[19]Template '!$D$7</f>
        <v>0.59880952380952379</v>
      </c>
      <c r="G53">
        <f>'[19]Template '!$D$8</f>
        <v>0.68571428571428572</v>
      </c>
      <c r="H53">
        <f>'[19]Template '!$D$9</f>
        <v>0.61430036976911984</v>
      </c>
      <c r="J53">
        <f>'[19]Template '!$E$5</f>
        <v>0.5998190943043884</v>
      </c>
      <c r="K53">
        <f>'[19]Template '!$E$6</f>
        <v>0.54147727272727275</v>
      </c>
      <c r="L53">
        <f>'[19]Template '!$E$7</f>
        <v>0.56547619047619047</v>
      </c>
      <c r="M53">
        <f>'[19]Template '!$E$8</f>
        <v>0.64848484848484855</v>
      </c>
      <c r="N53">
        <f>'[19]Template '!$E$9</f>
        <v>0.58881435149817507</v>
      </c>
    </row>
    <row r="54" spans="1:14" x14ac:dyDescent="0.2">
      <c r="A54" t="str">
        <f>'[19]Template '!$A$2</f>
        <v>M_045</v>
      </c>
      <c r="B54" t="str">
        <f>'[19]Template '!$C$2</f>
        <v>D+M</v>
      </c>
      <c r="C54" t="str">
        <f t="shared" si="2"/>
        <v>M_045.xlsx</v>
      </c>
      <c r="D54">
        <f>'[20]Template '!$D$5</f>
        <v>0.66145833333333326</v>
      </c>
      <c r="E54">
        <f>'[20]Template '!$D$6</f>
        <v>0.73005952380952377</v>
      </c>
      <c r="F54">
        <f>'[20]Template '!$D$7</f>
        <v>0.66089947089947088</v>
      </c>
      <c r="G54">
        <f>'[20]Template '!$D$8</f>
        <v>0.68404761904761913</v>
      </c>
      <c r="H54">
        <f>'[20]Template '!$D$9</f>
        <v>0.68411623677248667</v>
      </c>
      <c r="J54">
        <f>'[20]Template '!$E$5</f>
        <v>0.64031862745098045</v>
      </c>
      <c r="K54">
        <f>'[20]Template '!$E$6</f>
        <v>0.67648809523809528</v>
      </c>
      <c r="L54">
        <f>'[20]Template '!$E$7</f>
        <v>0.63285714285714278</v>
      </c>
      <c r="M54">
        <f>'[20]Template '!$E$8</f>
        <v>0.68404761904761913</v>
      </c>
      <c r="N54">
        <f>'[20]Template '!$E$9</f>
        <v>0.65842787114845946</v>
      </c>
    </row>
    <row r="55" spans="1:14" x14ac:dyDescent="0.2">
      <c r="A55" t="str">
        <f>'[20]Template '!$A$2</f>
        <v>M_046</v>
      </c>
      <c r="B55" t="str">
        <f>'[20]Template '!$C$2</f>
        <v>D+M</v>
      </c>
      <c r="C55" t="str">
        <f t="shared" si="2"/>
        <v>M_046.xlsx</v>
      </c>
      <c r="D55">
        <f>'[21]Template '!$D$5</f>
        <v>0.71304563492063489</v>
      </c>
      <c r="E55">
        <f>'[21]Template '!$D$6</f>
        <v>0.52835497835497836</v>
      </c>
      <c r="F55">
        <f>'[21]Template '!$D$7</f>
        <v>0.54661375661375655</v>
      </c>
      <c r="G55">
        <f>'[21]Template '!$D$8</f>
        <v>0.49136904761904765</v>
      </c>
      <c r="H55">
        <f>'[21]Template '!$D$9</f>
        <v>0.56984585437710433</v>
      </c>
      <c r="J55">
        <f>'[21]Template '!$E$5</f>
        <v>0.69190592903828196</v>
      </c>
      <c r="K55">
        <f>'[21]Template '!$E$6</f>
        <v>0.50752164502164498</v>
      </c>
      <c r="L55">
        <f>'[21]Template '!$E$7</f>
        <v>0.50507936507936502</v>
      </c>
      <c r="M55">
        <f>'[21]Template '!$E$8</f>
        <v>0.45392316017316015</v>
      </c>
      <c r="N55">
        <f>'[21]Template '!$E$9</f>
        <v>0.53960752482811303</v>
      </c>
    </row>
    <row r="56" spans="1:14" x14ac:dyDescent="0.2">
      <c r="A56" t="str">
        <f>'[21]Template '!$A$2</f>
        <v>M_047</v>
      </c>
      <c r="B56" t="str">
        <f>'[21]Template '!$C$2</f>
        <v>D+M</v>
      </c>
      <c r="C56" t="str">
        <f t="shared" si="2"/>
        <v>M_047.xlsx</v>
      </c>
      <c r="D56">
        <f>'[35]Template '!$D$5</f>
        <v>0.59300595238095233</v>
      </c>
      <c r="E56">
        <f>'[35]Template '!$D$6</f>
        <v>0.60118145743145746</v>
      </c>
      <c r="F56">
        <f>'[35]Template '!$D$7</f>
        <v>0.59830687830687823</v>
      </c>
      <c r="G56">
        <f>'[35]Template '!$D$8</f>
        <v>0.70857142857142852</v>
      </c>
      <c r="H56">
        <f>'[35]Template '!$D$9</f>
        <v>0.62526642917267916</v>
      </c>
      <c r="J56">
        <f>'[35]Template '!$E$5</f>
        <v>0.57186624649859941</v>
      </c>
      <c r="K56">
        <f>'[35]Template '!$E$6</f>
        <v>0.55505050505050502</v>
      </c>
      <c r="L56">
        <f>'[35]Template '!$E$7</f>
        <v>0.58210317460317462</v>
      </c>
      <c r="M56">
        <f>'[35]Template '!$E$8</f>
        <v>0.68432900432900434</v>
      </c>
      <c r="N56">
        <f>'[35]Template '!$E$9</f>
        <v>0.59833723262032079</v>
      </c>
    </row>
    <row r="57" spans="1:14" x14ac:dyDescent="0.2">
      <c r="A57" t="str">
        <f>'[35]Template '!$A$2</f>
        <v>M_098</v>
      </c>
      <c r="B57" t="str">
        <f>'[35]Template '!$C$2</f>
        <v>D+M</v>
      </c>
      <c r="C57" t="str">
        <f t="shared" si="2"/>
        <v>M_098.xlsx</v>
      </c>
      <c r="D57">
        <f>'[34]Template '!$D$5</f>
        <v>0.54365079365079361</v>
      </c>
      <c r="E57">
        <f>'[34]Template '!$D$6</f>
        <v>0.58693181818181817</v>
      </c>
      <c r="F57">
        <f>'[34]Template '!$D$7</f>
        <v>0.52640211640211643</v>
      </c>
      <c r="G57">
        <f>'[34]Template '!$D$8</f>
        <v>0.55735449735449727</v>
      </c>
      <c r="H57">
        <f>'[34]Template '!$D$9</f>
        <v>0.55358480639730634</v>
      </c>
      <c r="J57">
        <f>'[34]Template '!$E$5</f>
        <v>0.56019491129785237</v>
      </c>
      <c r="K57">
        <f>'[34]Template '!$E$6</f>
        <v>0.54080086580086573</v>
      </c>
      <c r="L57">
        <f>'[34]Template '!$E$7</f>
        <v>0.48691798941798947</v>
      </c>
      <c r="M57">
        <f>'[34]Template '!$E$8</f>
        <v>0.48289562289562288</v>
      </c>
      <c r="N57">
        <f>'[34]Template '!$E$9</f>
        <v>0.51770234735308251</v>
      </c>
    </row>
    <row r="58" spans="1:14" x14ac:dyDescent="0.2">
      <c r="A58" t="str">
        <f>'[34]Template '!$A$2</f>
        <v>M_096</v>
      </c>
      <c r="B58" t="str">
        <f>'[34]Template '!$C$2</f>
        <v>D+M</v>
      </c>
      <c r="C58" t="str">
        <f t="shared" si="2"/>
        <v>M_096.xlsx</v>
      </c>
      <c r="D58">
        <f>'[29]Template '!$D$5</f>
        <v>0.55828373015873012</v>
      </c>
      <c r="E58">
        <f>'[29]Template '!$D$6</f>
        <v>0.73253968253968249</v>
      </c>
      <c r="F58">
        <f>'[29]Template '!$D$7</f>
        <v>0.64079365079365069</v>
      </c>
      <c r="G58">
        <f>'[29]Template '!$D$8</f>
        <v>0.74243386243386245</v>
      </c>
      <c r="H58">
        <f>'[29]Template '!$D$9</f>
        <v>0.66851273148148138</v>
      </c>
      <c r="J58">
        <f>'[29]Template '!$E$5</f>
        <v>0.55368814192343596</v>
      </c>
      <c r="K58">
        <f>'[29]Template '!$E$6</f>
        <v>0.68492063492063482</v>
      </c>
      <c r="L58">
        <f>'[29]Template '!$E$7</f>
        <v>0.63060846560846562</v>
      </c>
      <c r="M58">
        <f>'[29]Template '!$E$8</f>
        <v>0.71386243386243386</v>
      </c>
      <c r="N58">
        <f>'[29]Template '!$E$9</f>
        <v>0.64576991907874259</v>
      </c>
    </row>
    <row r="59" spans="1:14" x14ac:dyDescent="0.2">
      <c r="A59" t="str">
        <f>'[29]Template '!$A$2</f>
        <v>M_091</v>
      </c>
      <c r="B59" t="str">
        <f>'[29]Template '!$C$2</f>
        <v>D+M</v>
      </c>
      <c r="C59" t="str">
        <f t="shared" si="2"/>
        <v>M_091.xlsx</v>
      </c>
      <c r="D59">
        <f>'[28]Template '!$D$5</f>
        <v>0.52058531746031744</v>
      </c>
      <c r="E59">
        <f>'[28]Template '!$D$6</f>
        <v>0.6958333333333333</v>
      </c>
      <c r="F59">
        <f>'[28]Template '!$D$7</f>
        <v>0.45891534391534394</v>
      </c>
      <c r="G59">
        <f>'[28]Template '!$D$8</f>
        <v>0.57333333333333325</v>
      </c>
      <c r="H59">
        <f>'[28]Template '!$D$9</f>
        <v>0.56216683201058193</v>
      </c>
      <c r="J59">
        <f>'[28]Template '!$E$5</f>
        <v>0.51598972922502329</v>
      </c>
      <c r="K59">
        <f>'[28]Template '!$E$6</f>
        <v>0.6422619047619047</v>
      </c>
      <c r="L59">
        <f>'[28]Template '!$E$7</f>
        <v>0.45567460317460318</v>
      </c>
      <c r="M59">
        <f>'[28]Template '!$E$8</f>
        <v>0.49627705627705626</v>
      </c>
      <c r="N59">
        <f>'[28]Template '!$E$9</f>
        <v>0.52755082335964687</v>
      </c>
    </row>
    <row r="60" spans="1:14" x14ac:dyDescent="0.2">
      <c r="A60" t="str">
        <f>'[28]Template '!$A$2</f>
        <v>M_090</v>
      </c>
      <c r="B60" t="str">
        <f>'[28]Template '!$C$2</f>
        <v>D+M</v>
      </c>
      <c r="C60" t="str">
        <f t="shared" si="2"/>
        <v>M_090.xlsx</v>
      </c>
      <c r="D60">
        <f>'[24]Template '!$D$5</f>
        <v>0.44866071428571425</v>
      </c>
      <c r="E60">
        <f>'[24]Template '!$D$6</f>
        <v>0.57637987012987013</v>
      </c>
      <c r="F60">
        <f>'[24]Template '!$D$7</f>
        <v>0.4121164021164021</v>
      </c>
      <c r="G60">
        <f>'[24]Template '!$D$8</f>
        <v>0.66273809523809524</v>
      </c>
      <c r="H60">
        <f>'[24]Template '!$D$9</f>
        <v>0.52497377044252036</v>
      </c>
      <c r="J60">
        <f>'[24]Template '!$E$5</f>
        <v>0.42752100840336132</v>
      </c>
      <c r="K60">
        <f>'[24]Template '!$E$6</f>
        <v>0.53024891774891769</v>
      </c>
      <c r="L60">
        <f>'[24]Template '!$E$7</f>
        <v>0.40841269841269839</v>
      </c>
      <c r="M60">
        <f>'[24]Template '!$E$8</f>
        <v>0.61425324675324666</v>
      </c>
      <c r="N60">
        <f>'[24]Template '!$E$9</f>
        <v>0.49510896782955599</v>
      </c>
    </row>
    <row r="61" spans="1:14" x14ac:dyDescent="0.2">
      <c r="A61" t="str">
        <f>'[24]Template '!$A$2</f>
        <v>M_083</v>
      </c>
      <c r="B61" t="str">
        <f>'[24]Template '!$C$2</f>
        <v>D+M</v>
      </c>
      <c r="C61" t="str">
        <f t="shared" si="2"/>
        <v>M_083.xlsx</v>
      </c>
    </row>
    <row r="67" spans="1:2" x14ac:dyDescent="0.2">
      <c r="A67" t="s">
        <v>371</v>
      </c>
    </row>
    <row r="68" spans="1:2" x14ac:dyDescent="0.2">
      <c r="A68" t="s">
        <v>16</v>
      </c>
      <c r="B68">
        <f>CORREL(D2:D60,J2:J60)</f>
        <v>0.9926538900330335</v>
      </c>
    </row>
    <row r="69" spans="1:2" x14ac:dyDescent="0.2">
      <c r="A69" t="s">
        <v>17</v>
      </c>
      <c r="B69">
        <f>CORREL(E2:E60,K2:K60)</f>
        <v>0.98329717732696642</v>
      </c>
    </row>
    <row r="70" spans="1:2" x14ac:dyDescent="0.2">
      <c r="A70" t="s">
        <v>19</v>
      </c>
      <c r="B70">
        <f>CORREL(F2:F60,L2:L60)</f>
        <v>0.99044459853216971</v>
      </c>
    </row>
    <row r="71" spans="1:2" x14ac:dyDescent="0.2">
      <c r="A71" t="s">
        <v>18</v>
      </c>
      <c r="B71">
        <f>CORREL(G2:G60,M2:M60)</f>
        <v>0.98033042337464726</v>
      </c>
    </row>
    <row r="72" spans="1:2" x14ac:dyDescent="0.2">
      <c r="A72" t="s">
        <v>4</v>
      </c>
      <c r="B72">
        <f>CORREL(H2:H60,N2:N60)</f>
        <v>0.99544987927171136</v>
      </c>
    </row>
    <row r="73" spans="1:2" x14ac:dyDescent="0.2">
      <c r="A73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B96D-71AB-4DA6-AE1E-51FAE85DE341}">
  <dimension ref="A1:FV24"/>
  <sheetViews>
    <sheetView workbookViewId="0">
      <selection activeCell="O28" sqref="O28"/>
    </sheetView>
  </sheetViews>
  <sheetFormatPr baseColWidth="10" defaultColWidth="8.83203125" defaultRowHeight="15" x14ac:dyDescent="0.2"/>
  <sheetData>
    <row r="1" spans="1:178" x14ac:dyDescent="0.2">
      <c r="A1" s="1" t="s">
        <v>0</v>
      </c>
      <c r="G1" s="1" t="s">
        <v>1</v>
      </c>
      <c r="M1" s="1" t="s">
        <v>160</v>
      </c>
      <c r="Z1" t="s">
        <v>160</v>
      </c>
      <c r="AM1" s="1" t="s">
        <v>160</v>
      </c>
      <c r="AZ1" t="s">
        <v>160</v>
      </c>
      <c r="CF1" s="1" t="s">
        <v>2</v>
      </c>
      <c r="DW1" t="s">
        <v>3</v>
      </c>
    </row>
    <row r="2" spans="1:178" x14ac:dyDescent="0.2">
      <c r="BG2" t="s">
        <v>161</v>
      </c>
      <c r="DF2" t="s">
        <v>6</v>
      </c>
      <c r="DG2" t="s">
        <v>149</v>
      </c>
      <c r="DI2" t="s">
        <v>7</v>
      </c>
      <c r="DM2" t="s">
        <v>8</v>
      </c>
      <c r="DP2" s="1" t="s">
        <v>9</v>
      </c>
      <c r="ED2" s="1" t="s">
        <v>10</v>
      </c>
      <c r="EQ2" s="1" t="s">
        <v>11</v>
      </c>
      <c r="FC2" t="s">
        <v>12</v>
      </c>
      <c r="FE2" t="s">
        <v>13</v>
      </c>
      <c r="FF2" t="s">
        <v>1</v>
      </c>
      <c r="FH2" t="s">
        <v>2</v>
      </c>
      <c r="FI2" t="s">
        <v>2</v>
      </c>
      <c r="FJ2" t="s">
        <v>14</v>
      </c>
    </row>
    <row r="3" spans="1:178" x14ac:dyDescent="0.2">
      <c r="E3" t="s">
        <v>15</v>
      </c>
      <c r="G3" t="s">
        <v>16</v>
      </c>
      <c r="N3" t="s">
        <v>185</v>
      </c>
      <c r="O3" t="s">
        <v>186</v>
      </c>
      <c r="T3" t="s">
        <v>17</v>
      </c>
      <c r="AA3" t="s">
        <v>185</v>
      </c>
      <c r="AB3" t="s">
        <v>186</v>
      </c>
      <c r="AG3" t="s">
        <v>18</v>
      </c>
      <c r="AN3" t="s">
        <v>185</v>
      </c>
      <c r="AO3" t="s">
        <v>186</v>
      </c>
      <c r="AT3" t="s">
        <v>19</v>
      </c>
      <c r="BA3" t="s">
        <v>185</v>
      </c>
      <c r="BB3" t="s">
        <v>186</v>
      </c>
      <c r="BG3" t="s">
        <v>16</v>
      </c>
      <c r="BM3" t="s">
        <v>19</v>
      </c>
      <c r="BS3" t="s">
        <v>17</v>
      </c>
      <c r="BY3" t="s">
        <v>187</v>
      </c>
      <c r="CF3" t="s">
        <v>16</v>
      </c>
      <c r="CG3" t="s">
        <v>17</v>
      </c>
      <c r="CJ3" t="s">
        <v>18</v>
      </c>
      <c r="CN3" t="s">
        <v>19</v>
      </c>
      <c r="CT3" t="s">
        <v>146</v>
      </c>
      <c r="CU3" t="s">
        <v>147</v>
      </c>
      <c r="CV3" t="s">
        <v>148</v>
      </c>
      <c r="CX3" t="s">
        <v>20</v>
      </c>
      <c r="DA3" t="s">
        <v>21</v>
      </c>
      <c r="DB3" t="s">
        <v>21</v>
      </c>
      <c r="DC3" t="s">
        <v>22</v>
      </c>
      <c r="DF3" t="s">
        <v>24</v>
      </c>
      <c r="DG3" t="s">
        <v>150</v>
      </c>
      <c r="DH3" t="s">
        <v>25</v>
      </c>
      <c r="DI3" t="s">
        <v>26</v>
      </c>
      <c r="DJ3" t="s">
        <v>8</v>
      </c>
      <c r="DK3" t="s">
        <v>27</v>
      </c>
      <c r="DL3" t="s">
        <v>8</v>
      </c>
      <c r="DM3" t="s">
        <v>28</v>
      </c>
      <c r="DN3" t="s">
        <v>29</v>
      </c>
      <c r="DP3" t="s">
        <v>30</v>
      </c>
      <c r="DQ3" t="s">
        <v>31</v>
      </c>
      <c r="DR3" t="s">
        <v>32</v>
      </c>
      <c r="DS3" t="s">
        <v>33</v>
      </c>
      <c r="DT3" t="s">
        <v>34</v>
      </c>
      <c r="DU3" t="s">
        <v>35</v>
      </c>
      <c r="DV3" t="s">
        <v>36</v>
      </c>
      <c r="DW3" t="s">
        <v>37</v>
      </c>
      <c r="DX3" t="s">
        <v>38</v>
      </c>
      <c r="DY3" t="s">
        <v>39</v>
      </c>
      <c r="DZ3" t="s">
        <v>40</v>
      </c>
      <c r="EA3" t="s">
        <v>41</v>
      </c>
      <c r="ED3" t="s">
        <v>30</v>
      </c>
      <c r="EE3" t="s">
        <v>31</v>
      </c>
      <c r="EF3" t="s">
        <v>32</v>
      </c>
      <c r="EG3" t="s">
        <v>33</v>
      </c>
      <c r="EH3" t="s">
        <v>34</v>
      </c>
      <c r="EI3" t="s">
        <v>35</v>
      </c>
      <c r="EJ3" t="s">
        <v>36</v>
      </c>
      <c r="EK3" t="s">
        <v>37</v>
      </c>
      <c r="EL3" t="s">
        <v>38</v>
      </c>
      <c r="EM3" t="s">
        <v>39</v>
      </c>
      <c r="EN3" t="s">
        <v>40</v>
      </c>
      <c r="FH3" t="s">
        <v>42</v>
      </c>
      <c r="FI3" t="s">
        <v>43</v>
      </c>
      <c r="FL3" t="s">
        <v>188</v>
      </c>
      <c r="FR3" t="s">
        <v>189</v>
      </c>
    </row>
    <row r="4" spans="1:178" x14ac:dyDescent="0.2">
      <c r="A4" t="s">
        <v>45</v>
      </c>
      <c r="C4" t="s">
        <v>46</v>
      </c>
      <c r="E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M4" t="s">
        <v>190</v>
      </c>
      <c r="N4" t="s">
        <v>191</v>
      </c>
      <c r="O4" t="s">
        <v>192</v>
      </c>
      <c r="P4" t="s">
        <v>193</v>
      </c>
      <c r="Q4" t="s">
        <v>194</v>
      </c>
      <c r="R4" t="s">
        <v>195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Z4" t="s">
        <v>190</v>
      </c>
      <c r="AA4" t="s">
        <v>191</v>
      </c>
      <c r="AB4" t="s">
        <v>192</v>
      </c>
      <c r="AC4" t="s">
        <v>193</v>
      </c>
      <c r="AD4" t="s">
        <v>194</v>
      </c>
      <c r="AE4" t="s">
        <v>195</v>
      </c>
      <c r="AG4" t="s">
        <v>48</v>
      </c>
      <c r="AH4" t="s">
        <v>49</v>
      </c>
      <c r="AI4" t="s">
        <v>50</v>
      </c>
      <c r="AJ4" t="s">
        <v>51</v>
      </c>
      <c r="AK4" t="s">
        <v>52</v>
      </c>
      <c r="AM4" t="s">
        <v>190</v>
      </c>
      <c r="AN4" t="s">
        <v>191</v>
      </c>
      <c r="AO4" t="s">
        <v>192</v>
      </c>
      <c r="AP4" t="s">
        <v>193</v>
      </c>
      <c r="AQ4" t="s">
        <v>194</v>
      </c>
      <c r="AR4" t="s">
        <v>195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Z4" t="s">
        <v>190</v>
      </c>
      <c r="BA4" t="s">
        <v>191</v>
      </c>
      <c r="BB4" t="s">
        <v>192</v>
      </c>
      <c r="BC4" t="s">
        <v>193</v>
      </c>
      <c r="BD4" t="s">
        <v>194</v>
      </c>
      <c r="BE4" t="s">
        <v>195</v>
      </c>
      <c r="BG4" t="s">
        <v>48</v>
      </c>
      <c r="BH4" t="s">
        <v>49</v>
      </c>
      <c r="BI4" t="s">
        <v>50</v>
      </c>
      <c r="BJ4" t="s">
        <v>51</v>
      </c>
      <c r="BK4" t="s">
        <v>52</v>
      </c>
      <c r="BM4" t="s">
        <v>48</v>
      </c>
      <c r="BN4" t="s">
        <v>49</v>
      </c>
      <c r="BO4" t="s">
        <v>50</v>
      </c>
      <c r="BP4" t="s">
        <v>51</v>
      </c>
      <c r="BQ4" t="s">
        <v>52</v>
      </c>
      <c r="BS4" t="s">
        <v>48</v>
      </c>
      <c r="BT4" t="s">
        <v>49</v>
      </c>
      <c r="BU4" t="s">
        <v>50</v>
      </c>
      <c r="BV4" t="s">
        <v>51</v>
      </c>
      <c r="BW4" t="s">
        <v>52</v>
      </c>
      <c r="BY4" t="s">
        <v>48</v>
      </c>
      <c r="BZ4" t="s">
        <v>49</v>
      </c>
      <c r="CA4" t="s">
        <v>50</v>
      </c>
      <c r="CB4" t="s">
        <v>51</v>
      </c>
      <c r="CC4" t="s">
        <v>52</v>
      </c>
      <c r="CF4" t="s">
        <v>53</v>
      </c>
      <c r="CG4" t="s">
        <v>54</v>
      </c>
      <c r="CH4" t="s">
        <v>55</v>
      </c>
      <c r="CI4" t="s">
        <v>56</v>
      </c>
      <c r="CJ4" t="s">
        <v>57</v>
      </c>
      <c r="CK4" t="s">
        <v>58</v>
      </c>
      <c r="CL4" t="s">
        <v>59</v>
      </c>
      <c r="CM4" t="s">
        <v>60</v>
      </c>
      <c r="CN4" t="s">
        <v>61</v>
      </c>
      <c r="CO4" t="s">
        <v>62</v>
      </c>
      <c r="CP4" t="s">
        <v>63</v>
      </c>
      <c r="CQ4" t="s">
        <v>64</v>
      </c>
      <c r="CR4" t="s">
        <v>65</v>
      </c>
      <c r="CS4" t="s">
        <v>66</v>
      </c>
      <c r="CX4" t="s">
        <v>67</v>
      </c>
      <c r="CY4" t="s">
        <v>68</v>
      </c>
      <c r="CZ4" t="s">
        <v>69</v>
      </c>
      <c r="DA4" t="s">
        <v>70</v>
      </c>
      <c r="DB4" t="s">
        <v>71</v>
      </c>
      <c r="DC4" t="s">
        <v>71</v>
      </c>
      <c r="DE4" t="s">
        <v>73</v>
      </c>
      <c r="DF4" t="s">
        <v>74</v>
      </c>
      <c r="DG4" t="s">
        <v>74</v>
      </c>
      <c r="DH4" t="s">
        <v>75</v>
      </c>
      <c r="DI4" t="s">
        <v>76</v>
      </c>
      <c r="DJ4" t="s">
        <v>77</v>
      </c>
      <c r="DK4" t="s">
        <v>78</v>
      </c>
      <c r="DL4" t="s">
        <v>79</v>
      </c>
      <c r="DM4" t="s">
        <v>80</v>
      </c>
      <c r="DN4" t="s">
        <v>81</v>
      </c>
      <c r="DP4" t="s">
        <v>82</v>
      </c>
      <c r="DQ4" t="s">
        <v>83</v>
      </c>
      <c r="DR4" t="s">
        <v>84</v>
      </c>
      <c r="DS4" t="s">
        <v>85</v>
      </c>
      <c r="DT4" t="s">
        <v>86</v>
      </c>
      <c r="DU4" t="s">
        <v>87</v>
      </c>
      <c r="DV4" t="s">
        <v>88</v>
      </c>
      <c r="DW4" t="s">
        <v>89</v>
      </c>
      <c r="DX4" t="s">
        <v>90</v>
      </c>
      <c r="DY4" t="s">
        <v>91</v>
      </c>
      <c r="DZ4" t="s">
        <v>92</v>
      </c>
      <c r="EA4" t="s">
        <v>93</v>
      </c>
      <c r="ED4" t="s">
        <v>82</v>
      </c>
      <c r="EE4" t="s">
        <v>83</v>
      </c>
      <c r="EF4" t="s">
        <v>84</v>
      </c>
      <c r="EG4" t="s">
        <v>85</v>
      </c>
      <c r="EH4" t="s">
        <v>86</v>
      </c>
      <c r="EI4" t="s">
        <v>87</v>
      </c>
      <c r="EJ4" t="s">
        <v>88</v>
      </c>
      <c r="EK4" t="s">
        <v>89</v>
      </c>
      <c r="EL4" t="s">
        <v>90</v>
      </c>
      <c r="EM4" t="s">
        <v>91</v>
      </c>
      <c r="EN4" t="s">
        <v>92</v>
      </c>
      <c r="EQ4" t="s">
        <v>94</v>
      </c>
      <c r="ER4" t="s">
        <v>16</v>
      </c>
      <c r="ES4" t="s">
        <v>95</v>
      </c>
      <c r="ET4" t="s">
        <v>18</v>
      </c>
      <c r="EU4" t="s">
        <v>96</v>
      </c>
      <c r="EV4" t="s">
        <v>19</v>
      </c>
      <c r="EW4" t="s">
        <v>97</v>
      </c>
      <c r="EX4" t="s">
        <v>98</v>
      </c>
      <c r="EY4" t="s">
        <v>99</v>
      </c>
      <c r="EZ4" t="s">
        <v>100</v>
      </c>
      <c r="FA4" t="s">
        <v>17</v>
      </c>
      <c r="FL4" t="s">
        <v>16</v>
      </c>
      <c r="FM4" t="s">
        <v>17</v>
      </c>
      <c r="FN4" t="s">
        <v>19</v>
      </c>
      <c r="FO4" t="s">
        <v>18</v>
      </c>
      <c r="FP4" t="s">
        <v>4</v>
      </c>
      <c r="FR4" t="s">
        <v>16</v>
      </c>
      <c r="FS4" t="s">
        <v>17</v>
      </c>
      <c r="FT4" t="s">
        <v>19</v>
      </c>
      <c r="FU4" t="s">
        <v>18</v>
      </c>
      <c r="FV4" t="s">
        <v>4</v>
      </c>
    </row>
    <row r="5" spans="1:178" x14ac:dyDescent="0.2">
      <c r="A5" t="str">
        <f>'[43]Template '!$A$2</f>
        <v>M_082</v>
      </c>
      <c r="C5" t="str">
        <f t="shared" ref="C5:C23" si="0">CONCATENATE(A5,".xlsx")</f>
        <v>M_082.xlsx</v>
      </c>
      <c r="E5" t="str">
        <f>'[43]Template '!$C$2</f>
        <v>mSTAT only</v>
      </c>
      <c r="G5">
        <f>'[43]Template '!$C$29</f>
        <v>0.3888888888888889</v>
      </c>
      <c r="H5" t="str">
        <f>'[43]Template '!$C$30</f>
        <v>n/a</v>
      </c>
      <c r="I5">
        <f>'[43]Template '!$C$31</f>
        <v>0.5</v>
      </c>
      <c r="J5">
        <f>'[43]Template '!$C$32</f>
        <v>0.35294117647058826</v>
      </c>
      <c r="K5">
        <f>'[43]Template '!$C$33</f>
        <v>0.69246031746031733</v>
      </c>
      <c r="M5">
        <f>'[43]Template '!$C$80</f>
        <v>637</v>
      </c>
      <c r="N5">
        <f>'[43]Template '!$C$81</f>
        <v>27.5</v>
      </c>
      <c r="O5">
        <f>'[43]Template '!$C$82</f>
        <v>3.5</v>
      </c>
      <c r="P5">
        <f>'[43]Template '!$C$83</f>
        <v>2.5</v>
      </c>
      <c r="Q5">
        <f>'[43]Template '!$C$84</f>
        <v>3</v>
      </c>
      <c r="R5">
        <f>'[43]Template '!$C$85</f>
        <v>1.5</v>
      </c>
      <c r="T5">
        <f>'[43]Template '!$C$74</f>
        <v>0.60909090909090913</v>
      </c>
      <c r="U5" t="str">
        <f>'[43]Template '!$C$75</f>
        <v>n/a</v>
      </c>
      <c r="V5">
        <f>'[43]Template '!$C$76</f>
        <v>0.5357142857142857</v>
      </c>
      <c r="W5">
        <f>'[43]Template '!$C$77</f>
        <v>0.19047619047619047</v>
      </c>
      <c r="X5">
        <f>'[43]Template '!$C$78</f>
        <v>0.50595238095238093</v>
      </c>
      <c r="Z5">
        <f>'[43]Template '!$C$80</f>
        <v>637</v>
      </c>
      <c r="AA5">
        <f>'[43]Template '!$C$81</f>
        <v>27.5</v>
      </c>
      <c r="AB5">
        <f>'[43]Template '!$C$82</f>
        <v>3.5</v>
      </c>
      <c r="AC5">
        <f>'[43]Template '!$C$83</f>
        <v>2.5</v>
      </c>
      <c r="AD5">
        <f>'[43]Template '!$C$84</f>
        <v>3</v>
      </c>
      <c r="AE5">
        <f>'[43]Template '!$C$85</f>
        <v>1.5</v>
      </c>
      <c r="AG5">
        <f>'[43]Template '!$C$96</f>
        <v>0.75</v>
      </c>
      <c r="AH5">
        <f>'[43]Template '!$C$97</f>
        <v>0.57777777777777783</v>
      </c>
      <c r="AI5">
        <f>'[43]Template '!$C$98</f>
        <v>0.5</v>
      </c>
      <c r="AJ5">
        <f>'[43]Template '!$C$99</f>
        <v>0.5480434598081656</v>
      </c>
      <c r="AK5">
        <f>'[43]Template '!$C$100</f>
        <v>0.56309523809523798</v>
      </c>
      <c r="AM5">
        <f>'[43]Template '!$C$102</f>
        <v>1140</v>
      </c>
      <c r="AN5">
        <f>'[43]Template '!$C$103</f>
        <v>60</v>
      </c>
      <c r="AO5">
        <f>'[43]Template '!$C$104</f>
        <v>4</v>
      </c>
      <c r="AP5">
        <f>'[43]Template '!$C$105</f>
        <v>3</v>
      </c>
      <c r="AQ5">
        <f>'[43]Template '!$C$106</f>
        <v>4</v>
      </c>
      <c r="AR5">
        <f>'[43]Template '!$C$107</f>
        <v>3</v>
      </c>
      <c r="AT5">
        <f>'[43]Template '!$C$52</f>
        <v>0.75</v>
      </c>
      <c r="AU5">
        <f>'[43]Template '!$C$53</f>
        <v>0.57777777777777783</v>
      </c>
      <c r="AV5">
        <f>'[43]Template '!$C$54</f>
        <v>0.5</v>
      </c>
      <c r="AW5">
        <f>'[43]Template '!$C$55</f>
        <v>0.27083333333333331</v>
      </c>
      <c r="AX5">
        <f>'[43]Template '!$C$56</f>
        <v>0.7761904761904761</v>
      </c>
      <c r="AZ5">
        <f>'[43]Template '!$C$58</f>
        <v>1200</v>
      </c>
      <c r="BA5">
        <f>'[43]Template '!$C$59</f>
        <v>62.5</v>
      </c>
      <c r="BB5">
        <f>'[43]Template '!$C$60</f>
        <v>4</v>
      </c>
      <c r="BC5">
        <f>'[43]Template '!$C$61</f>
        <v>3</v>
      </c>
      <c r="BD5">
        <f>'[43]Template '!$C$62</f>
        <v>4</v>
      </c>
      <c r="BE5">
        <f>'[43]Template '!$C$63</f>
        <v>3.5</v>
      </c>
      <c r="BG5">
        <f>'[43]Template '!$B$29</f>
        <v>0.3888888888888889</v>
      </c>
      <c r="BH5" t="str">
        <f>'[43]Template '!$B$30</f>
        <v>n/a</v>
      </c>
      <c r="BI5">
        <f>'[43]Template '!$B$31</f>
        <v>0.5</v>
      </c>
      <c r="BJ5">
        <f>'[43]Template '!$B$32</f>
        <v>0.4375</v>
      </c>
      <c r="BK5">
        <f>'[43]Template '!$B$33</f>
        <v>0.69246031746031733</v>
      </c>
      <c r="BM5">
        <f>'[43]Template '!$B$52</f>
        <v>0.75</v>
      </c>
      <c r="BN5">
        <f>'[43]Template '!$B$53</f>
        <v>0.57777777777777783</v>
      </c>
      <c r="BO5">
        <f>'[43]Template '!$B$54</f>
        <v>0.5</v>
      </c>
      <c r="BP5">
        <f>'[43]Template '!$B$55</f>
        <v>0.33333333333333331</v>
      </c>
      <c r="BQ5">
        <f>'[43]Template '!$B$56</f>
        <v>0.7761904761904761</v>
      </c>
      <c r="BS5">
        <f>'[43]Template '!$B$74</f>
        <v>0.60909090909090913</v>
      </c>
      <c r="BT5" t="str">
        <f>'[43]Template '!$B$75</f>
        <v>n/a</v>
      </c>
      <c r="BU5">
        <f>'[43]Template '!$B$76</f>
        <v>0.5357142857142857</v>
      </c>
      <c r="BV5">
        <f>'[43]Template '!$B$77</f>
        <v>0.375</v>
      </c>
      <c r="BW5">
        <f>'[43]Template '!$B$78</f>
        <v>0.50595238095238093</v>
      </c>
      <c r="BY5">
        <f>'[43]Template '!$B$96</f>
        <v>0.75</v>
      </c>
      <c r="BZ5">
        <f>'[43]Template '!$B$97</f>
        <v>0.57777777777777783</v>
      </c>
      <c r="CA5">
        <f>'[43]Template '!$B$98</f>
        <v>0.5</v>
      </c>
      <c r="CB5">
        <f>'[43]Template '!$B$99</f>
        <v>0.75</v>
      </c>
      <c r="CC5">
        <f>'[43]Template '!$B$100</f>
        <v>0.56309523809523798</v>
      </c>
      <c r="CF5">
        <f>'[43]Template '!$Z$30</f>
        <v>0</v>
      </c>
      <c r="CG5">
        <f>'[43]Template '!$AB$75</f>
        <v>0</v>
      </c>
      <c r="CH5">
        <f>'[43]Template '!$C$89</f>
        <v>0</v>
      </c>
      <c r="CI5">
        <f>'[43]Template '!$AF$75</f>
        <v>0</v>
      </c>
      <c r="CJ5">
        <f>'[43]Template '!$AR$97</f>
        <v>0</v>
      </c>
      <c r="CK5">
        <f>'[43]Template '!$AS$97</f>
        <v>1</v>
      </c>
      <c r="CL5">
        <f>'[43]Template '!$AZ$97</f>
        <v>1</v>
      </c>
      <c r="CM5">
        <f>'[43]Template '!$BB$97</f>
        <v>0</v>
      </c>
      <c r="CN5">
        <f>'[43]Template '!$AU$53</f>
        <v>1</v>
      </c>
      <c r="CO5">
        <f>'[43]Template '!$AV$53</f>
        <v>1</v>
      </c>
      <c r="CP5">
        <f>'[43]Template '!$AY$53</f>
        <v>1</v>
      </c>
      <c r="CQ5">
        <f>'[43]Template '!$AX$53</f>
        <v>0.5</v>
      </c>
      <c r="CR5">
        <f>'[43]Template '!$AZ$53</f>
        <v>0</v>
      </c>
      <c r="CS5">
        <f>'[43]Template '!$BF$53</f>
        <v>0</v>
      </c>
      <c r="CT5">
        <f t="shared" ref="CT5:CT23" si="1">SUM(CF5:CI5)</f>
        <v>0</v>
      </c>
      <c r="CU5">
        <f t="shared" ref="CU5:CU23" si="2">SUM(CJ5:CS5)</f>
        <v>5.5</v>
      </c>
      <c r="CV5">
        <f t="shared" ref="CV5:CV23" si="3">CT5+CU5</f>
        <v>5.5</v>
      </c>
      <c r="CY5" t="str">
        <f>'[43]Template '!$E$2</f>
        <v>A</v>
      </c>
      <c r="CZ5">
        <f>'[43]Template '!$B$13</f>
        <v>1</v>
      </c>
      <c r="DA5" t="str">
        <f>'[43]Template '!$D$2</f>
        <v>n/a</v>
      </c>
      <c r="DB5">
        <f>'[43]Template '!$D$3</f>
        <v>0</v>
      </c>
      <c r="DC5">
        <f>'[43]Template '!$F$2</f>
        <v>45387</v>
      </c>
      <c r="DE5">
        <f>'[43]Template '!$B$12</f>
        <v>37</v>
      </c>
      <c r="DF5" t="str">
        <f>'[43]Template '!$B$14</f>
        <v>7/21</v>
      </c>
      <c r="DG5" t="str">
        <f>'[43]Template '!$B$15</f>
        <v>7/21</v>
      </c>
      <c r="DH5">
        <f>'[43]Template '!$B$16</f>
        <v>36</v>
      </c>
      <c r="DI5">
        <f>'[43]Template '!$B$17</f>
        <v>0</v>
      </c>
      <c r="DJ5">
        <f>'[43]Template '!$B$18</f>
        <v>0</v>
      </c>
      <c r="DK5">
        <f>'[43]Template '!$B$19</f>
        <v>1</v>
      </c>
      <c r="DL5">
        <f>'[43]Template '!$B$20</f>
        <v>2</v>
      </c>
      <c r="DM5">
        <f>'[43]Template '!$B$21</f>
        <v>1</v>
      </c>
      <c r="DN5">
        <f>'[43]Template '!$B$22</f>
        <v>0</v>
      </c>
      <c r="DP5">
        <f>'[43]Template '!$I$13</f>
        <v>1</v>
      </c>
      <c r="DQ5">
        <f>'[43]Template '!$I$14</f>
        <v>4</v>
      </c>
      <c r="DR5">
        <f>'[43]Template '!$I$15</f>
        <v>4</v>
      </c>
      <c r="DS5">
        <f>'[43]Template '!$I$16</f>
        <v>4</v>
      </c>
      <c r="DT5">
        <f>'[43]Template '!$I$17</f>
        <v>4</v>
      </c>
      <c r="DU5">
        <f>'[43]Template '!$I$18</f>
        <v>3</v>
      </c>
      <c r="DV5">
        <f>'[43]Template '!$I$19</f>
        <v>5</v>
      </c>
      <c r="DW5">
        <f>'[43]Template '!$I$20</f>
        <v>4</v>
      </c>
      <c r="DX5">
        <f>'[43]Template '!$I$21</f>
        <v>5</v>
      </c>
      <c r="DY5">
        <f>'[43]Template '!$I$22</f>
        <v>5</v>
      </c>
      <c r="DZ5">
        <f>'[43]Template '!$I$23</f>
        <v>5</v>
      </c>
      <c r="EA5">
        <f>'[43]Template '!$I$24</f>
        <v>0</v>
      </c>
      <c r="ED5">
        <f>'[43]Template '!$L$13</f>
        <v>5</v>
      </c>
      <c r="EE5">
        <f>'[43]Template '!$L$14</f>
        <v>4</v>
      </c>
      <c r="EF5">
        <f>'[43]Template '!$L$15</f>
        <v>4</v>
      </c>
      <c r="EG5">
        <f>'[43]Template '!$L$16</f>
        <v>4</v>
      </c>
      <c r="EH5">
        <f>'[43]Template '!$L$17</f>
        <v>4</v>
      </c>
      <c r="EI5">
        <f>'[43]Template '!$L$18</f>
        <v>3</v>
      </c>
      <c r="EJ5">
        <f>'[43]Template '!$L$19</f>
        <v>5</v>
      </c>
      <c r="EK5">
        <f>'[43]Template '!$L$20</f>
        <v>4</v>
      </c>
      <c r="EL5">
        <f>'[43]Template '!$L$21</f>
        <v>4</v>
      </c>
      <c r="EM5">
        <f>'[43]Template '!$L$22</f>
        <v>4</v>
      </c>
      <c r="EN5">
        <f>'[43]Template '!$L$23</f>
        <v>5</v>
      </c>
      <c r="EQ5">
        <f>'[43]Template '!$O$13</f>
        <v>5</v>
      </c>
      <c r="ER5">
        <f>'[43]Template '!$O$14</f>
        <v>3</v>
      </c>
      <c r="ES5">
        <f>'[43]Template '!$O$15</f>
        <v>2</v>
      </c>
      <c r="ET5">
        <f>'[43]Template '!$O$16</f>
        <v>2</v>
      </c>
      <c r="EU5">
        <f>'[43]Template '!$O$17</f>
        <v>5</v>
      </c>
      <c r="EV5">
        <f>'[43]Template '!$O$18</f>
        <v>2</v>
      </c>
      <c r="EW5">
        <f>'[43]Template '!$O$19</f>
        <v>0</v>
      </c>
      <c r="EX5">
        <f>'[43]Template '!$O$20</f>
        <v>3</v>
      </c>
      <c r="EY5">
        <f>'[43]Template '!$O$21</f>
        <v>1</v>
      </c>
      <c r="EZ5">
        <f>'[43]Template '!$O$22</f>
        <v>1</v>
      </c>
      <c r="FA5">
        <f>'[43]Template '!$O$23</f>
        <v>1</v>
      </c>
      <c r="FL5">
        <f>'[43]Template '!$D$5</f>
        <v>0.50471230158730152</v>
      </c>
      <c r="FM5">
        <f>'[43]Template '!$D$6</f>
        <v>0.50643939393939397</v>
      </c>
      <c r="FN5">
        <f>'[43]Template '!$D$7</f>
        <v>0.58746031746031746</v>
      </c>
      <c r="FO5">
        <f>'[43]Template '!$D$8</f>
        <v>0.62817460317460316</v>
      </c>
      <c r="FP5">
        <f>'[43]Template '!$D$9</f>
        <v>0.55669665404040403</v>
      </c>
      <c r="FR5">
        <f>'[43]Template '!$E$5</f>
        <v>0.48357259570494859</v>
      </c>
      <c r="FS5">
        <f>'[43]Template '!$E$6</f>
        <v>0.46030844155844158</v>
      </c>
      <c r="FT5">
        <f>'[43]Template '!$E$7</f>
        <v>0.5749603174603175</v>
      </c>
      <c r="FU5">
        <f>'[43]Template '!$E$8</f>
        <v>0.58778329513623628</v>
      </c>
      <c r="FV5">
        <f>'[43]Template '!$E$9</f>
        <v>0.52665616246498592</v>
      </c>
    </row>
    <row r="6" spans="1:178" x14ac:dyDescent="0.2">
      <c r="A6" t="str">
        <f>'[44]Template '!$A$2</f>
        <v>M_081</v>
      </c>
      <c r="C6" t="str">
        <f t="shared" si="0"/>
        <v>M_081.xlsx</v>
      </c>
      <c r="E6" t="str">
        <f>'[44]Template '!$C$2</f>
        <v>mSTAT only</v>
      </c>
      <c r="G6">
        <f>'[44]Template '!$C$29</f>
        <v>0.3888888888888889</v>
      </c>
      <c r="H6" t="str">
        <f>'[44]Template '!$C$30</f>
        <v>n/a</v>
      </c>
      <c r="I6">
        <f>'[44]Template '!$C$31</f>
        <v>0.58333333333333326</v>
      </c>
      <c r="J6">
        <f>'[44]Template '!$C$32</f>
        <v>0.60294117647058831</v>
      </c>
      <c r="K6">
        <f>'[44]Template '!$C$33</f>
        <v>0.71626984126984128</v>
      </c>
      <c r="M6">
        <f>'[44]Template '!$C$80</f>
        <v>1200</v>
      </c>
      <c r="N6">
        <f>'[44]Template '!$C$81</f>
        <v>30</v>
      </c>
      <c r="O6">
        <f>'[44]Template '!$C$82</f>
        <v>3</v>
      </c>
      <c r="P6">
        <f>'[44]Template '!$C$83</f>
        <v>3</v>
      </c>
      <c r="Q6">
        <f>'[44]Template '!$C$84</f>
        <v>2</v>
      </c>
      <c r="R6">
        <f>'[44]Template '!$C$85</f>
        <v>2</v>
      </c>
      <c r="T6">
        <f>'[44]Template '!$C$74</f>
        <v>0.51818181818181819</v>
      </c>
      <c r="U6" t="str">
        <f>'[44]Template '!$C$75</f>
        <v>n/a</v>
      </c>
      <c r="V6">
        <f>'[44]Template '!$C$76</f>
        <v>0.4642857142857143</v>
      </c>
      <c r="W6">
        <f>'[44]Template '!$C$77</f>
        <v>0.64285714285714279</v>
      </c>
      <c r="X6">
        <f>'[44]Template '!$C$78</f>
        <v>0.50595238095238093</v>
      </c>
      <c r="Z6">
        <f>'[44]Template '!$C$80</f>
        <v>1200</v>
      </c>
      <c r="AA6">
        <f>'[44]Template '!$C$81</f>
        <v>30</v>
      </c>
      <c r="AB6">
        <f>'[44]Template '!$C$82</f>
        <v>3</v>
      </c>
      <c r="AC6">
        <f>'[44]Template '!$C$83</f>
        <v>3</v>
      </c>
      <c r="AD6">
        <f>'[44]Template '!$C$84</f>
        <v>2</v>
      </c>
      <c r="AE6">
        <f>'[44]Template '!$C$85</f>
        <v>2</v>
      </c>
      <c r="AG6">
        <f>'[44]Template '!$C$96</f>
        <v>0.75</v>
      </c>
      <c r="AH6">
        <f>'[44]Template '!$C$97</f>
        <v>0.27777777777777779</v>
      </c>
      <c r="AI6">
        <f>'[44]Template '!$C$98</f>
        <v>0.5</v>
      </c>
      <c r="AJ6">
        <f>'[44]Template '!$C$99</f>
        <v>0.88888888888888884</v>
      </c>
      <c r="AK6">
        <f>'[44]Template '!$C$100</f>
        <v>0.89523809523809517</v>
      </c>
      <c r="AM6">
        <f>'[44]Template '!$C$102</f>
        <v>1149</v>
      </c>
      <c r="AN6">
        <f>'[44]Template '!$C$103</f>
        <v>65</v>
      </c>
      <c r="AO6">
        <f>'[44]Template '!$C$104</f>
        <v>2.5</v>
      </c>
      <c r="AP6">
        <f>'[44]Template '!$C$105</f>
        <v>3.5</v>
      </c>
      <c r="AQ6">
        <f>'[44]Template '!$C$106</f>
        <v>4.5</v>
      </c>
      <c r="AR6">
        <f>'[44]Template '!$C$107</f>
        <v>4</v>
      </c>
      <c r="AT6">
        <f>'[44]Template '!$C$52</f>
        <v>0.75</v>
      </c>
      <c r="AU6">
        <f>'[44]Template '!$C$53</f>
        <v>0.27777777777777779</v>
      </c>
      <c r="AV6">
        <f>'[44]Template '!$C$54</f>
        <v>0.5</v>
      </c>
      <c r="AW6">
        <f>'[44]Template '!$C$55</f>
        <v>0.23958333333333334</v>
      </c>
      <c r="AX6">
        <f>'[44]Template '!$C$56</f>
        <v>0.57301587301587309</v>
      </c>
      <c r="AZ6">
        <f>'[44]Template '!$C$58</f>
        <v>1200</v>
      </c>
      <c r="BA6">
        <f>'[44]Template '!$C$59</f>
        <v>42.5</v>
      </c>
      <c r="BB6">
        <f>'[44]Template '!$C$60</f>
        <v>2.5</v>
      </c>
      <c r="BC6">
        <f>'[44]Template '!$C$61</f>
        <v>2.5</v>
      </c>
      <c r="BD6">
        <f>'[44]Template '!$C$62</f>
        <v>3</v>
      </c>
      <c r="BE6">
        <f>'[44]Template '!$C$63</f>
        <v>2.5</v>
      </c>
      <c r="BG6">
        <f>'[44]Template '!$B$29</f>
        <v>0.3888888888888889</v>
      </c>
      <c r="BH6" t="str">
        <f>'[44]Template '!$B$30</f>
        <v>n/a</v>
      </c>
      <c r="BI6">
        <f>'[44]Template '!$B$31</f>
        <v>0.58333333333333326</v>
      </c>
      <c r="BJ6">
        <f>'[44]Template '!$B$32</f>
        <v>0.6875</v>
      </c>
      <c r="BK6">
        <f>'[44]Template '!$B$33</f>
        <v>0.71626984126984128</v>
      </c>
      <c r="BM6">
        <f>'[44]Template '!$B$52</f>
        <v>0.75</v>
      </c>
      <c r="BN6">
        <f>'[44]Template '!$B$53</f>
        <v>0.27777777777777779</v>
      </c>
      <c r="BO6">
        <f>'[44]Template '!$B$54</f>
        <v>0.5</v>
      </c>
      <c r="BP6">
        <f>'[44]Template '!$B$55</f>
        <v>0.34259259259259256</v>
      </c>
      <c r="BQ6">
        <f>'[44]Template '!$B$56</f>
        <v>0.57301587301587309</v>
      </c>
      <c r="BS6">
        <f>'[44]Template '!$B$74</f>
        <v>0.51818181818181819</v>
      </c>
      <c r="BT6" t="str">
        <f>'[44]Template '!$B$75</f>
        <v>n/a</v>
      </c>
      <c r="BU6">
        <f>'[44]Template '!$B$76</f>
        <v>0.4642857142857143</v>
      </c>
      <c r="BV6">
        <f>'[44]Template '!$B$77</f>
        <v>0.83333333333333326</v>
      </c>
      <c r="BW6">
        <f>'[44]Template '!$B$78</f>
        <v>0.50595238095238093</v>
      </c>
      <c r="BY6">
        <f>'[44]Template '!$B$96</f>
        <v>0.75</v>
      </c>
      <c r="BZ6">
        <f>'[44]Template '!$B$97</f>
        <v>0.27777777777777779</v>
      </c>
      <c r="CA6">
        <f>'[44]Template '!$B$98</f>
        <v>0.5</v>
      </c>
      <c r="CB6">
        <f>'[44]Template '!$B$99</f>
        <v>0.88888888888888884</v>
      </c>
      <c r="CC6">
        <f>'[44]Template '!$B$100</f>
        <v>0.89523809523809517</v>
      </c>
      <c r="CF6">
        <f>'[44]Template '!$Z$30</f>
        <v>0</v>
      </c>
      <c r="CG6">
        <f>'[44]Template '!$AB$75</f>
        <v>1</v>
      </c>
      <c r="CH6">
        <f>'[44]Template '!$C$89</f>
        <v>1</v>
      </c>
      <c r="CI6">
        <f>'[44]Template '!$AF$75</f>
        <v>0</v>
      </c>
      <c r="CJ6">
        <f>'[44]Template '!$AR$97</f>
        <v>1</v>
      </c>
      <c r="CK6">
        <f>'[44]Template '!$AS$97</f>
        <v>1</v>
      </c>
      <c r="CL6">
        <f>'[44]Template '!$AZ$97</f>
        <v>1</v>
      </c>
      <c r="CM6">
        <f>'[44]Template '!$BB$97</f>
        <v>1</v>
      </c>
      <c r="CN6">
        <f>'[44]Template '!$AU$53</f>
        <v>1</v>
      </c>
      <c r="CO6">
        <f>'[44]Template '!$AV$53</f>
        <v>0.5</v>
      </c>
      <c r="CP6">
        <f>'[44]Template '!$AY$53</f>
        <v>0</v>
      </c>
      <c r="CQ6">
        <f>'[44]Template '!$AX$53</f>
        <v>0</v>
      </c>
      <c r="CR6">
        <f>'[44]Template '!$AZ$53</f>
        <v>0</v>
      </c>
      <c r="CS6">
        <f>'[44]Template '!$BF$53</f>
        <v>0</v>
      </c>
      <c r="CT6">
        <f t="shared" si="1"/>
        <v>2</v>
      </c>
      <c r="CU6">
        <f t="shared" si="2"/>
        <v>5.5</v>
      </c>
      <c r="CV6">
        <f t="shared" si="3"/>
        <v>7.5</v>
      </c>
      <c r="CY6" t="str">
        <f>'[44]Template '!$E$2</f>
        <v>B</v>
      </c>
      <c r="CZ6">
        <f>'[44]Template '!$B$13</f>
        <v>1</v>
      </c>
      <c r="DA6" t="str">
        <f>'[44]Template '!$D$2</f>
        <v>n/a</v>
      </c>
      <c r="DB6">
        <f>'[44]Template '!$D$3</f>
        <v>0</v>
      </c>
      <c r="DC6">
        <f>'[44]Template '!$F$2</f>
        <v>45387</v>
      </c>
      <c r="DE6">
        <f>'[44]Template '!$B$12</f>
        <v>20</v>
      </c>
      <c r="DF6" t="str">
        <f>'[44]Template '!$B$14</f>
        <v>3/23</v>
      </c>
      <c r="DG6" t="str">
        <f>'[44]Template '!$B$15</f>
        <v>6/23</v>
      </c>
      <c r="DH6">
        <f>'[44]Template '!$B$16</f>
        <v>12</v>
      </c>
      <c r="DI6">
        <f>'[44]Template '!$B$17</f>
        <v>0</v>
      </c>
      <c r="DJ6">
        <f>'[44]Template '!$B$18</f>
        <v>0</v>
      </c>
      <c r="DK6">
        <f>'[44]Template '!$B$19</f>
        <v>0</v>
      </c>
      <c r="DL6">
        <f>'[44]Template '!$B$20</f>
        <v>0</v>
      </c>
      <c r="DM6">
        <f>'[44]Template '!$B$21</f>
        <v>0</v>
      </c>
      <c r="DN6">
        <f>'[44]Template '!$B$22</f>
        <v>1</v>
      </c>
      <c r="DP6">
        <f>'[44]Template '!$I$13</f>
        <v>4</v>
      </c>
      <c r="DQ6">
        <f>'[44]Template '!$I$14</f>
        <v>4</v>
      </c>
      <c r="DR6">
        <f>'[44]Template '!$I$15</f>
        <v>4</v>
      </c>
      <c r="DS6">
        <f>'[44]Template '!$I$16</f>
        <v>4</v>
      </c>
      <c r="DT6">
        <f>'[44]Template '!$I$17</f>
        <v>4</v>
      </c>
      <c r="DU6">
        <f>'[44]Template '!$I$18</f>
        <v>3</v>
      </c>
      <c r="DV6">
        <f>'[44]Template '!$I$19</f>
        <v>5</v>
      </c>
      <c r="DW6">
        <f>'[44]Template '!$I$20</f>
        <v>2</v>
      </c>
      <c r="DX6">
        <f>'[44]Template '!$I$21</f>
        <v>3</v>
      </c>
      <c r="DY6">
        <f>'[44]Template '!$I$22</f>
        <v>4</v>
      </c>
      <c r="DZ6">
        <f>'[44]Template '!$I$23</f>
        <v>4</v>
      </c>
      <c r="EA6">
        <f>'[44]Template '!$I$24</f>
        <v>0</v>
      </c>
      <c r="ED6">
        <f>'[44]Template '!$L$13</f>
        <v>4</v>
      </c>
      <c r="EE6">
        <f>'[44]Template '!$L$14</f>
        <v>5</v>
      </c>
      <c r="EF6">
        <f>'[44]Template '!$L$15</f>
        <v>4</v>
      </c>
      <c r="EG6">
        <f>'[44]Template '!$L$16</f>
        <v>5</v>
      </c>
      <c r="EH6">
        <f>'[44]Template '!$L$17</f>
        <v>4</v>
      </c>
      <c r="EI6">
        <f>'[44]Template '!$L$18</f>
        <v>4</v>
      </c>
      <c r="EJ6">
        <f>'[44]Template '!$L$19</f>
        <v>5</v>
      </c>
      <c r="EK6">
        <f>'[44]Template '!$L$20</f>
        <v>4</v>
      </c>
      <c r="EL6">
        <f>'[44]Template '!$L$21</f>
        <v>4</v>
      </c>
      <c r="EM6">
        <f>'[44]Template '!$L$22</f>
        <v>4</v>
      </c>
      <c r="EN6">
        <f>'[44]Template '!$L$23</f>
        <v>5</v>
      </c>
      <c r="EQ6">
        <f>'[44]Template '!$O$13</f>
        <v>4</v>
      </c>
      <c r="ER6">
        <f>'[44]Template '!$O$14</f>
        <v>4</v>
      </c>
      <c r="ES6">
        <f>'[44]Template '!$O$15</f>
        <v>1</v>
      </c>
      <c r="ET6">
        <f>'[44]Template '!$O$16</f>
        <v>3</v>
      </c>
      <c r="EU6">
        <f>'[44]Template '!$O$17</f>
        <v>4</v>
      </c>
      <c r="EV6">
        <f>'[44]Template '!$O$18</f>
        <v>2</v>
      </c>
      <c r="EW6">
        <f>'[44]Template '!$O$19</f>
        <v>1</v>
      </c>
      <c r="EX6">
        <f>'[44]Template '!$O$20</f>
        <v>3</v>
      </c>
      <c r="EY6">
        <f>'[44]Template '!$O$21</f>
        <v>1</v>
      </c>
      <c r="EZ6">
        <f>'[44]Template '!$O$22</f>
        <v>1</v>
      </c>
      <c r="FA6">
        <f>'[44]Template '!$O$23</f>
        <v>4</v>
      </c>
      <c r="FL6">
        <f>'[44]Template '!$D$5</f>
        <v>0.59399801587301582</v>
      </c>
      <c r="FM6">
        <f>'[44]Template '!$D$6</f>
        <v>0.58043831168831161</v>
      </c>
      <c r="FN6">
        <f>'[44]Template '!$D$7</f>
        <v>0.48867724867724871</v>
      </c>
      <c r="FO6">
        <f>'[44]Template '!$D$8</f>
        <v>0.66238095238095229</v>
      </c>
      <c r="FP6">
        <f>'[44]Template '!$D$9</f>
        <v>0.58137363215488214</v>
      </c>
      <c r="FR6">
        <f>'[44]Template '!$E$5</f>
        <v>0.5728583099906629</v>
      </c>
      <c r="FS6">
        <f>'[44]Template '!$E$6</f>
        <v>0.53281926406926405</v>
      </c>
      <c r="FT6">
        <f>'[44]Template '!$E$7</f>
        <v>0.46807539682539678</v>
      </c>
      <c r="FU6">
        <f>'[44]Template '!$E$8</f>
        <v>0.66238095238095229</v>
      </c>
      <c r="FV6">
        <f>'[44]Template '!$E$9</f>
        <v>0.55903348081656901</v>
      </c>
    </row>
    <row r="7" spans="1:178" x14ac:dyDescent="0.2">
      <c r="A7" t="str">
        <f>'[42]Template '!$A$2</f>
        <v>M_079</v>
      </c>
      <c r="C7" t="str">
        <f t="shared" si="0"/>
        <v>M_079.xlsx</v>
      </c>
      <c r="E7" t="str">
        <f>'[42]Template '!$C$2</f>
        <v>mSTAT only</v>
      </c>
      <c r="G7">
        <f>'[42]Template '!$C$29</f>
        <v>0.3888888888888889</v>
      </c>
      <c r="H7" t="str">
        <f>'[42]Template '!$C$30</f>
        <v>n/a</v>
      </c>
      <c r="I7">
        <f>'[42]Template '!$C$31</f>
        <v>0.41666666666666663</v>
      </c>
      <c r="J7">
        <f>'[42]Template '!$C$32</f>
        <v>0.75735294117647056</v>
      </c>
      <c r="K7">
        <f>'[42]Template '!$C$33</f>
        <v>0.72619047619047616</v>
      </c>
      <c r="M7">
        <f>'[42]Template '!$C$80</f>
        <v>1200</v>
      </c>
      <c r="N7">
        <f>'[42]Template '!$C$81</f>
        <v>10</v>
      </c>
      <c r="O7">
        <f>'[42]Template '!$C$82</f>
        <v>2</v>
      </c>
      <c r="P7">
        <f>'[42]Template '!$C$83</f>
        <v>1</v>
      </c>
      <c r="Q7">
        <f>'[42]Template '!$C$84</f>
        <v>3</v>
      </c>
      <c r="R7">
        <f>'[42]Template '!$C$85</f>
        <v>2</v>
      </c>
      <c r="T7">
        <f>'[42]Template '!$C$74</f>
        <v>0.29090909090909089</v>
      </c>
      <c r="U7" t="str">
        <f>'[42]Template '!$C$75</f>
        <v>n/a</v>
      </c>
      <c r="V7">
        <f>'[42]Template '!$C$76</f>
        <v>0.4642857142857143</v>
      </c>
      <c r="W7">
        <f>'[42]Template '!$C$77</f>
        <v>0.45238095238095233</v>
      </c>
      <c r="X7">
        <f>'[42]Template '!$C$78</f>
        <v>0.20634920634920637</v>
      </c>
      <c r="Z7">
        <f>'[42]Template '!$C$80</f>
        <v>1200</v>
      </c>
      <c r="AA7">
        <f>'[42]Template '!$C$81</f>
        <v>10</v>
      </c>
      <c r="AB7">
        <f>'[42]Template '!$C$82</f>
        <v>2</v>
      </c>
      <c r="AC7">
        <f>'[42]Template '!$C$83</f>
        <v>1</v>
      </c>
      <c r="AD7">
        <f>'[42]Template '!$C$84</f>
        <v>3</v>
      </c>
      <c r="AE7">
        <f>'[42]Template '!$C$85</f>
        <v>2</v>
      </c>
      <c r="AG7">
        <f>'[42]Template '!$C$96</f>
        <v>0.66666666666666663</v>
      </c>
      <c r="AH7">
        <f>'[42]Template '!$C$97</f>
        <v>0.57777777777777783</v>
      </c>
      <c r="AI7">
        <f>'[42]Template '!$C$98</f>
        <v>0.5</v>
      </c>
      <c r="AJ7">
        <f>'[42]Template '!$C$99</f>
        <v>0.81746031746031733</v>
      </c>
      <c r="AK7">
        <f>'[42]Template '!$C$100</f>
        <v>0.7150793650793652</v>
      </c>
      <c r="AM7">
        <f>'[42]Template '!$C$102</f>
        <v>1266</v>
      </c>
      <c r="AN7">
        <f>'[42]Template '!$C$103</f>
        <v>60</v>
      </c>
      <c r="AO7">
        <f>'[42]Template '!$C$104</f>
        <v>4</v>
      </c>
      <c r="AP7">
        <f>'[42]Template '!$C$105</f>
        <v>3</v>
      </c>
      <c r="AQ7">
        <f>'[42]Template '!$C$106</f>
        <v>3</v>
      </c>
      <c r="AR7">
        <f>'[42]Template '!$C$107</f>
        <v>3</v>
      </c>
      <c r="AT7">
        <f>'[42]Template '!$C$52</f>
        <v>0.58333333333333337</v>
      </c>
      <c r="AU7">
        <f>'[42]Template '!$C$53</f>
        <v>0.57777777777777783</v>
      </c>
      <c r="AV7">
        <f>'[42]Template '!$C$54</f>
        <v>0.5</v>
      </c>
      <c r="AW7">
        <f>'[42]Template '!$C$55</f>
        <v>0.14583333333333334</v>
      </c>
      <c r="AX7">
        <f>'[42]Template '!$C$56</f>
        <v>0.56507936507936507</v>
      </c>
      <c r="AZ7">
        <f>'[42]Template '!$C$58</f>
        <v>1200</v>
      </c>
      <c r="BA7">
        <f>'[42]Template '!$C$59</f>
        <v>40</v>
      </c>
      <c r="BB7">
        <f>'[42]Template '!$C$60</f>
        <v>3</v>
      </c>
      <c r="BC7">
        <f>'[42]Template '!$C$61</f>
        <v>3</v>
      </c>
      <c r="BD7">
        <f>'[42]Template '!$C$62</f>
        <v>3</v>
      </c>
      <c r="BE7">
        <f>'[42]Template '!$C$63</f>
        <v>3</v>
      </c>
      <c r="BG7">
        <f>'[42]Template '!$B$29</f>
        <v>0.3888888888888889</v>
      </c>
      <c r="BH7" t="str">
        <f>'[42]Template '!$B$30</f>
        <v>n/a</v>
      </c>
      <c r="BI7">
        <f>'[42]Template '!$B$31</f>
        <v>0.41666666666666663</v>
      </c>
      <c r="BJ7">
        <f>'[42]Template '!$B$32</f>
        <v>0.875</v>
      </c>
      <c r="BK7">
        <f>'[42]Template '!$B$33</f>
        <v>0.72619047619047616</v>
      </c>
      <c r="BM7">
        <f>'[42]Template '!$B$52</f>
        <v>0.75</v>
      </c>
      <c r="BN7">
        <f>'[42]Template '!$B$53</f>
        <v>0.57777777777777783</v>
      </c>
      <c r="BO7">
        <f>'[42]Template '!$B$54</f>
        <v>0.5</v>
      </c>
      <c r="BP7">
        <f>'[42]Template '!$B$55</f>
        <v>0.19444444444444442</v>
      </c>
      <c r="BQ7">
        <f>'[42]Template '!$B$56</f>
        <v>0.56507936507936507</v>
      </c>
      <c r="BS7">
        <f>'[42]Template '!$B$74</f>
        <v>0.29090909090909089</v>
      </c>
      <c r="BT7" t="str">
        <f>'[42]Template '!$B$75</f>
        <v>n/a</v>
      </c>
      <c r="BU7">
        <f>'[42]Template '!$B$76</f>
        <v>0.4642857142857143</v>
      </c>
      <c r="BV7">
        <f>'[42]Template '!$B$77</f>
        <v>0.33333333333333331</v>
      </c>
      <c r="BW7">
        <f>'[42]Template '!$B$78</f>
        <v>0.20634920634920637</v>
      </c>
      <c r="BY7">
        <f>'[42]Template '!$B$96</f>
        <v>0.66666666666666663</v>
      </c>
      <c r="BZ7">
        <f>'[42]Template '!$B$97</f>
        <v>0.57777777777777783</v>
      </c>
      <c r="CA7">
        <f>'[42]Template '!$B$98</f>
        <v>0.5</v>
      </c>
      <c r="CB7">
        <f>'[42]Template '!$B$99</f>
        <v>0.80555555555555547</v>
      </c>
      <c r="CC7">
        <f>'[42]Template '!$B$100</f>
        <v>0.7150793650793652</v>
      </c>
      <c r="CF7">
        <f>'[42]Template '!$Z$30</f>
        <v>1</v>
      </c>
      <c r="CG7">
        <f>'[42]Template '!$AB$75</f>
        <v>0</v>
      </c>
      <c r="CH7">
        <f>'[42]Template '!$C$89</f>
        <v>0</v>
      </c>
      <c r="CI7">
        <f>'[42]Template '!$AF$75</f>
        <v>0</v>
      </c>
      <c r="CJ7">
        <f>'[42]Template '!$AR$97</f>
        <v>1</v>
      </c>
      <c r="CK7">
        <f>'[42]Template '!$AS$97</f>
        <v>1</v>
      </c>
      <c r="CL7">
        <f>'[42]Template '!$AZ$97</f>
        <v>1</v>
      </c>
      <c r="CM7">
        <f>'[42]Template '!$BB$97</f>
        <v>1</v>
      </c>
      <c r="CN7">
        <f>'[42]Template '!$AU$53</f>
        <v>0</v>
      </c>
      <c r="CO7">
        <f>'[42]Template '!$AV$53</f>
        <v>0</v>
      </c>
      <c r="CP7">
        <f>'[42]Template '!$AY$53</f>
        <v>0</v>
      </c>
      <c r="CQ7">
        <f>'[42]Template '!$AX$53</f>
        <v>0</v>
      </c>
      <c r="CR7">
        <f>'[42]Template '!$AZ$53</f>
        <v>0</v>
      </c>
      <c r="CS7">
        <f>'[42]Template '!$BF$53</f>
        <v>0</v>
      </c>
      <c r="CT7">
        <f t="shared" si="1"/>
        <v>1</v>
      </c>
      <c r="CU7">
        <f t="shared" si="2"/>
        <v>4</v>
      </c>
      <c r="CV7">
        <f t="shared" si="3"/>
        <v>5</v>
      </c>
      <c r="CY7" t="str">
        <f>'[42]Template '!$E$2</f>
        <v>A</v>
      </c>
      <c r="CZ7">
        <f>'[42]Template '!$B$13</f>
        <v>1</v>
      </c>
      <c r="DA7" t="str">
        <f>'[42]Template '!$D$2</f>
        <v>n/a</v>
      </c>
      <c r="DB7">
        <f>'[42]Template '!$D$3</f>
        <v>0</v>
      </c>
      <c r="DC7">
        <f>'[42]Template '!$F$2</f>
        <v>45419</v>
      </c>
      <c r="DE7">
        <f>'[42]Template '!$B$12</f>
        <v>27</v>
      </c>
      <c r="DF7" t="str">
        <f>'[42]Template '!$B$14</f>
        <v>10/18</v>
      </c>
      <c r="DG7" t="str">
        <f>'[42]Template '!$B$15</f>
        <v>2/19</v>
      </c>
      <c r="DH7">
        <f>'[42]Template '!$B$16</f>
        <v>72</v>
      </c>
      <c r="DI7">
        <f>'[42]Template '!$B$17</f>
        <v>0</v>
      </c>
      <c r="DJ7">
        <f>'[42]Template '!$B$18</f>
        <v>0</v>
      </c>
      <c r="DK7">
        <f>'[42]Template '!$B$19</f>
        <v>1</v>
      </c>
      <c r="DL7">
        <f>'[42]Template '!$B$20</f>
        <v>1</v>
      </c>
      <c r="DM7">
        <f>'[42]Template '!$B$21</f>
        <v>0</v>
      </c>
      <c r="DN7">
        <f>'[42]Template '!$B$22</f>
        <v>1</v>
      </c>
      <c r="DP7">
        <f>'[42]Template '!$I$13</f>
        <v>4</v>
      </c>
      <c r="DQ7">
        <f>'[42]Template '!$I$14</f>
        <v>4</v>
      </c>
      <c r="DR7">
        <f>'[42]Template '!$I$15</f>
        <v>4</v>
      </c>
      <c r="DS7">
        <f>'[42]Template '!$I$16</f>
        <v>4</v>
      </c>
      <c r="DT7">
        <f>'[42]Template '!$I$17</f>
        <v>4</v>
      </c>
      <c r="DU7">
        <f>'[42]Template '!$I$18</f>
        <v>3</v>
      </c>
      <c r="DV7">
        <f>'[42]Template '!$I$19</f>
        <v>4</v>
      </c>
      <c r="DW7">
        <f>'[42]Template '!$I$20</f>
        <v>2</v>
      </c>
      <c r="DX7">
        <f>'[42]Template '!$I$21</f>
        <v>4</v>
      </c>
      <c r="DY7">
        <f>'[42]Template '!$I$22</f>
        <v>3</v>
      </c>
      <c r="DZ7">
        <f>'[42]Template '!$I$23</f>
        <v>5</v>
      </c>
      <c r="EA7">
        <f>'[42]Template '!$I$24</f>
        <v>0</v>
      </c>
      <c r="ED7">
        <f>'[42]Template '!$L$13</f>
        <v>4</v>
      </c>
      <c r="EE7">
        <f>'[42]Template '!$L$14</f>
        <v>4</v>
      </c>
      <c r="EF7">
        <f>'[42]Template '!$L$15</f>
        <v>4</v>
      </c>
      <c r="EG7">
        <f>'[42]Template '!$L$16</f>
        <v>2</v>
      </c>
      <c r="EH7">
        <f>'[42]Template '!$L$17</f>
        <v>4</v>
      </c>
      <c r="EI7">
        <f>'[42]Template '!$L$18</f>
        <v>4</v>
      </c>
      <c r="EJ7">
        <f>'[42]Template '!$L$19</f>
        <v>5</v>
      </c>
      <c r="EK7">
        <f>'[42]Template '!$L$20</f>
        <v>2</v>
      </c>
      <c r="EL7">
        <f>'[42]Template '!$L$21</f>
        <v>3</v>
      </c>
      <c r="EM7">
        <f>'[42]Template '!$L$22</f>
        <v>3</v>
      </c>
      <c r="EN7">
        <f>'[42]Template '!$L$23</f>
        <v>5</v>
      </c>
      <c r="EQ7">
        <f>'[42]Template '!$O$13</f>
        <v>5</v>
      </c>
      <c r="ER7">
        <f>'[42]Template '!$O$14</f>
        <v>4</v>
      </c>
      <c r="ES7">
        <f>'[42]Template '!$O$15</f>
        <v>2</v>
      </c>
      <c r="ET7">
        <f>'[42]Template '!$O$16</f>
        <v>4</v>
      </c>
      <c r="EU7">
        <f>'[42]Template '!$O$17</f>
        <v>5</v>
      </c>
      <c r="EV7">
        <f>'[42]Template '!$O$18</f>
        <v>3</v>
      </c>
      <c r="EW7">
        <f>'[42]Template '!$O$19</f>
        <v>1</v>
      </c>
      <c r="EX7">
        <f>'[42]Template '!$O$20</f>
        <v>4</v>
      </c>
      <c r="EY7">
        <f>'[42]Template '!$O$21</f>
        <v>2</v>
      </c>
      <c r="EZ7">
        <f>'[42]Template '!$O$22</f>
        <v>4</v>
      </c>
      <c r="FA7">
        <f>'[42]Template '!$O$23</f>
        <v>2</v>
      </c>
      <c r="FL7">
        <f>'[42]Template '!$D$5</f>
        <v>0.60168650793650791</v>
      </c>
      <c r="FM7">
        <f>'[42]Template '!$D$6</f>
        <v>0.32371933621933618</v>
      </c>
      <c r="FN7">
        <f>'[42]Template '!$D$7</f>
        <v>0.5174603174603174</v>
      </c>
      <c r="FO7">
        <f>'[42]Template '!$D$8</f>
        <v>0.65301587301587305</v>
      </c>
      <c r="FP7">
        <f>'[42]Template '!$D$9</f>
        <v>0.52397050865800865</v>
      </c>
      <c r="FR7">
        <f>'[42]Template '!$E$5</f>
        <v>0.57227474323062555</v>
      </c>
      <c r="FS7">
        <f>'[42]Template '!$E$6</f>
        <v>0.35348124098124095</v>
      </c>
      <c r="FT7">
        <f>'[42]Template '!$E$7</f>
        <v>0.47440476190476188</v>
      </c>
      <c r="FU7">
        <f>'[42]Template '!$E$8</f>
        <v>0.65539682539682542</v>
      </c>
      <c r="FV7">
        <f>'[42]Template '!$E$9</f>
        <v>0.51388939287836344</v>
      </c>
    </row>
    <row r="8" spans="1:178" x14ac:dyDescent="0.2">
      <c r="A8" t="str">
        <f>'[45]Template '!$A$2</f>
        <v>M_078</v>
      </c>
      <c r="C8" t="str">
        <f t="shared" si="0"/>
        <v>M_078.xlsx</v>
      </c>
      <c r="E8" t="str">
        <f>'[45]Template '!$C$2</f>
        <v>mSTAT only</v>
      </c>
      <c r="G8">
        <f>'[45]Template '!$C$29</f>
        <v>0.33333333333333331</v>
      </c>
      <c r="H8" t="str">
        <f>'[45]Template '!$C$30</f>
        <v>n/a</v>
      </c>
      <c r="I8">
        <f>'[45]Template '!$C$31</f>
        <v>0.58333333333333326</v>
      </c>
      <c r="J8">
        <f>'[45]Template '!$C$32</f>
        <v>0.66176470588235303</v>
      </c>
      <c r="K8">
        <f>'[45]Template '!$C$33</f>
        <v>0.47619047619047611</v>
      </c>
      <c r="M8">
        <f>'[45]Template '!$C$80</f>
        <v>950</v>
      </c>
      <c r="N8">
        <f>'[45]Template '!$C$81</f>
        <v>25</v>
      </c>
      <c r="O8">
        <f>'[45]Template '!$C$82</f>
        <v>2</v>
      </c>
      <c r="P8">
        <f>'[45]Template '!$C$83</f>
        <v>1</v>
      </c>
      <c r="Q8">
        <f>'[45]Template '!$C$84</f>
        <v>2</v>
      </c>
      <c r="R8">
        <f>'[45]Template '!$C$85</f>
        <v>1</v>
      </c>
      <c r="T8">
        <f>'[45]Template '!$C$74</f>
        <v>0.38181818181818183</v>
      </c>
      <c r="U8" t="str">
        <f>'[45]Template '!$C$75</f>
        <v>n/a</v>
      </c>
      <c r="V8">
        <f>'[45]Template '!$C$76</f>
        <v>0.3214285714285714</v>
      </c>
      <c r="W8">
        <f>'[45]Template '!$C$77</f>
        <v>0.47619047619047616</v>
      </c>
      <c r="X8">
        <f>'[45]Template '!$C$78</f>
        <v>0.26190476190476192</v>
      </c>
      <c r="Z8">
        <f>'[45]Template '!$C$80</f>
        <v>950</v>
      </c>
      <c r="AA8">
        <f>'[45]Template '!$C$81</f>
        <v>25</v>
      </c>
      <c r="AB8">
        <f>'[45]Template '!$C$82</f>
        <v>2</v>
      </c>
      <c r="AC8">
        <f>'[45]Template '!$C$83</f>
        <v>1</v>
      </c>
      <c r="AD8">
        <f>'[45]Template '!$C$84</f>
        <v>2</v>
      </c>
      <c r="AE8">
        <f>'[45]Template '!$C$85</f>
        <v>1</v>
      </c>
      <c r="AG8">
        <f>'[45]Template '!$C$96</f>
        <v>0.66666666666666663</v>
      </c>
      <c r="AH8">
        <f>'[45]Template '!$C$97</f>
        <v>0.51111111111111107</v>
      </c>
      <c r="AI8">
        <f>'[45]Template '!$C$98</f>
        <v>0</v>
      </c>
      <c r="AJ8">
        <f>'[45]Template '!$C$99</f>
        <v>0.88888888888888884</v>
      </c>
      <c r="AK8">
        <f>'[45]Template '!$C$100</f>
        <v>0.63571428571428579</v>
      </c>
      <c r="AM8">
        <f>'[45]Template '!$C$102</f>
        <v>711</v>
      </c>
      <c r="AN8">
        <f>'[45]Template '!$C$103</f>
        <v>45</v>
      </c>
      <c r="AO8">
        <f>'[45]Template '!$C$104</f>
        <v>3</v>
      </c>
      <c r="AP8">
        <f>'[45]Template '!$C$105</f>
        <v>2</v>
      </c>
      <c r="AQ8">
        <f>'[45]Template '!$C$106</f>
        <v>3</v>
      </c>
      <c r="AR8">
        <f>'[45]Template '!$C$107</f>
        <v>2</v>
      </c>
      <c r="AT8">
        <f>'[45]Template '!$C$52</f>
        <v>0.75</v>
      </c>
      <c r="AU8">
        <f>'[45]Template '!$C$53</f>
        <v>0.51111111111111107</v>
      </c>
      <c r="AV8">
        <f>'[45]Template '!$C$54</f>
        <v>0.5</v>
      </c>
      <c r="AW8">
        <f>'[45]Template '!$C$55</f>
        <v>0.75</v>
      </c>
      <c r="AX8">
        <f>'[45]Template '!$C$56</f>
        <v>0.66746031746031742</v>
      </c>
      <c r="AZ8">
        <f>'[45]Template '!$C$58</f>
        <v>1015</v>
      </c>
      <c r="BA8">
        <f>'[45]Template '!$C$59</f>
        <v>25</v>
      </c>
      <c r="BB8">
        <f>'[45]Template '!$C$60</f>
        <v>2</v>
      </c>
      <c r="BC8">
        <f>'[45]Template '!$C$61</f>
        <v>2</v>
      </c>
      <c r="BD8">
        <f>'[45]Template '!$C$62</f>
        <v>2</v>
      </c>
      <c r="BE8">
        <f>'[45]Template '!$C$63</f>
        <v>2</v>
      </c>
      <c r="BG8">
        <f>'[45]Template '!$B$29</f>
        <v>0.33333333333333331</v>
      </c>
      <c r="BH8" t="str">
        <f>'[45]Template '!$B$30</f>
        <v>n/a</v>
      </c>
      <c r="BI8">
        <f>'[45]Template '!$B$31</f>
        <v>0.58333333333333326</v>
      </c>
      <c r="BJ8">
        <f>'[45]Template '!$B$32</f>
        <v>0.6875</v>
      </c>
      <c r="BK8">
        <f>'[45]Template '!$B$33</f>
        <v>0.47619047619047611</v>
      </c>
      <c r="BM8">
        <f>'[45]Template '!$B$52</f>
        <v>0.75</v>
      </c>
      <c r="BN8">
        <f>'[45]Template '!$B$53</f>
        <v>0.51111111111111107</v>
      </c>
      <c r="BO8">
        <f>'[45]Template '!$B$54</f>
        <v>0.5</v>
      </c>
      <c r="BP8">
        <f>'[45]Template '!$B$55</f>
        <v>0.75925925925925919</v>
      </c>
      <c r="BQ8">
        <f>'[45]Template '!$B$56</f>
        <v>0.66746031746031742</v>
      </c>
      <c r="BS8">
        <f>'[45]Template '!$B$74</f>
        <v>0.38181818181818183</v>
      </c>
      <c r="BT8" t="str">
        <f>'[45]Template '!$B$75</f>
        <v>n/a</v>
      </c>
      <c r="BU8">
        <f>'[45]Template '!$B$76</f>
        <v>0.3214285714285714</v>
      </c>
      <c r="BV8">
        <f>'[45]Template '!$B$77</f>
        <v>0.70833333333333326</v>
      </c>
      <c r="BW8">
        <f>'[45]Template '!$B$78</f>
        <v>0.26190476190476192</v>
      </c>
      <c r="BY8">
        <f>'[45]Template '!$B$96</f>
        <v>0.66666666666666663</v>
      </c>
      <c r="BZ8">
        <f>'[45]Template '!$B$97</f>
        <v>0.51111111111111107</v>
      </c>
      <c r="CA8">
        <f>'[45]Template '!$B$98</f>
        <v>0</v>
      </c>
      <c r="CB8">
        <f>'[45]Template '!$B$99</f>
        <v>0.88888888888888884</v>
      </c>
      <c r="CC8">
        <f>'[45]Template '!$B$100</f>
        <v>0.63571428571428579</v>
      </c>
      <c r="CF8">
        <f>'[45]Template '!$Z$30</f>
        <v>1</v>
      </c>
      <c r="CG8">
        <f>'[45]Template '!$AB$75</f>
        <v>0</v>
      </c>
      <c r="CH8">
        <f>'[45]Template '!$C$89</f>
        <v>0</v>
      </c>
      <c r="CI8">
        <f>'[45]Template '!$AF$75</f>
        <v>0</v>
      </c>
      <c r="CJ8">
        <f>'[45]Template '!$AR$97</f>
        <v>1</v>
      </c>
      <c r="CK8">
        <f>'[45]Template '!$AS$97</f>
        <v>1</v>
      </c>
      <c r="CL8">
        <f>'[45]Template '!$AZ$97</f>
        <v>1</v>
      </c>
      <c r="CM8">
        <f>'[45]Template '!$BB$97</f>
        <v>1</v>
      </c>
      <c r="CN8">
        <f>'[45]Template '!$AU$53</f>
        <v>1</v>
      </c>
      <c r="CO8">
        <f>'[45]Template '!$AV$53</f>
        <v>1</v>
      </c>
      <c r="CP8">
        <f>'[45]Template '!$AY$53</f>
        <v>1</v>
      </c>
      <c r="CQ8">
        <f>'[45]Template '!$AX$53</f>
        <v>1</v>
      </c>
      <c r="CR8">
        <f>'[45]Template '!$AZ$53</f>
        <v>0</v>
      </c>
      <c r="CS8">
        <f>'[45]Template '!$BF$53</f>
        <v>1</v>
      </c>
      <c r="CT8">
        <f t="shared" si="1"/>
        <v>1</v>
      </c>
      <c r="CU8">
        <f t="shared" si="2"/>
        <v>9</v>
      </c>
      <c r="CV8">
        <f t="shared" si="3"/>
        <v>10</v>
      </c>
      <c r="CY8" t="str">
        <f>'[45]Template '!$E$2</f>
        <v>A</v>
      </c>
      <c r="CZ8">
        <f>'[45]Template '!$B$13</f>
        <v>2</v>
      </c>
      <c r="DA8" t="str">
        <f>'[45]Template '!$D$2</f>
        <v>n/a</v>
      </c>
      <c r="DB8">
        <f>'[45]Template '!$D$3</f>
        <v>0</v>
      </c>
      <c r="DC8">
        <f>'[45]Template '!$F$2</f>
        <v>45441</v>
      </c>
      <c r="DE8">
        <f>'[45]Template '!$B$12</f>
        <v>22</v>
      </c>
      <c r="DF8" t="str">
        <f>'[45]Template '!$B$14</f>
        <v>3/21</v>
      </c>
      <c r="DG8" t="str">
        <f>'[45]Template '!$B$15</f>
        <v>6/21</v>
      </c>
      <c r="DH8">
        <f>'[45]Template '!$B$16</f>
        <v>42</v>
      </c>
      <c r="DI8">
        <f>'[45]Template '!$B$17</f>
        <v>0</v>
      </c>
      <c r="DJ8">
        <f>'[45]Template '!$B$18</f>
        <v>0</v>
      </c>
      <c r="DK8">
        <f>'[45]Template '!$B$19</f>
        <v>0</v>
      </c>
      <c r="DL8">
        <f>'[45]Template '!$B$20</f>
        <v>0</v>
      </c>
      <c r="DM8">
        <f>'[45]Template '!$B$21</f>
        <v>0</v>
      </c>
      <c r="DN8">
        <f>'[45]Template '!$B$22</f>
        <v>1</v>
      </c>
      <c r="DP8">
        <f>'[45]Template '!$I$13</f>
        <v>5</v>
      </c>
      <c r="DQ8">
        <f>'[45]Template '!$I$14</f>
        <v>5</v>
      </c>
      <c r="DR8">
        <f>'[45]Template '!$I$15</f>
        <v>4</v>
      </c>
      <c r="DS8">
        <f>'[45]Template '!$I$16</f>
        <v>5</v>
      </c>
      <c r="DT8">
        <f>'[45]Template '!$I$17</f>
        <v>5</v>
      </c>
      <c r="DU8">
        <f>'[45]Template '!$I$18</f>
        <v>4</v>
      </c>
      <c r="DV8">
        <f>'[45]Template '!$I$19</f>
        <v>5</v>
      </c>
      <c r="DW8">
        <f>'[45]Template '!$I$20</f>
        <v>5</v>
      </c>
      <c r="DX8">
        <f>'[45]Template '!$I$21</f>
        <v>4</v>
      </c>
      <c r="DY8">
        <f>'[45]Template '!$I$22</f>
        <v>5</v>
      </c>
      <c r="DZ8">
        <f>'[45]Template '!$I$23</f>
        <v>5</v>
      </c>
      <c r="EA8">
        <f>'[45]Template '!$I$24</f>
        <v>0</v>
      </c>
      <c r="ED8">
        <f>'[45]Template '!$L$13</f>
        <v>4</v>
      </c>
      <c r="EE8">
        <f>'[45]Template '!$L$14</f>
        <v>4</v>
      </c>
      <c r="EF8">
        <f>'[45]Template '!$L$15</f>
        <v>4</v>
      </c>
      <c r="EG8">
        <f>'[45]Template '!$L$16</f>
        <v>4</v>
      </c>
      <c r="EH8">
        <f>'[45]Template '!$L$17</f>
        <v>4</v>
      </c>
      <c r="EI8">
        <f>'[45]Template '!$L$18</f>
        <v>3</v>
      </c>
      <c r="EJ8">
        <f>'[45]Template '!$L$19</f>
        <v>4</v>
      </c>
      <c r="EK8">
        <f>'[45]Template '!$L$20</f>
        <v>3</v>
      </c>
      <c r="EL8">
        <f>'[45]Template '!$L$21</f>
        <v>3</v>
      </c>
      <c r="EM8">
        <f>'[45]Template '!$L$22</f>
        <v>4</v>
      </c>
      <c r="EN8">
        <f>'[45]Template '!$L$23</f>
        <v>4</v>
      </c>
      <c r="EQ8">
        <f>'[45]Template '!$O$13</f>
        <v>4</v>
      </c>
      <c r="ER8">
        <f>'[45]Template '!$O$14</f>
        <v>4</v>
      </c>
      <c r="ES8">
        <f>'[45]Template '!$O$15</f>
        <v>4</v>
      </c>
      <c r="ET8">
        <f>'[45]Template '!$O$16</f>
        <v>4</v>
      </c>
      <c r="EU8">
        <f>'[45]Template '!$O$17</f>
        <v>5</v>
      </c>
      <c r="EV8">
        <f>'[45]Template '!$O$18</f>
        <v>4</v>
      </c>
      <c r="EW8">
        <f>'[45]Template '!$O$19</f>
        <v>2</v>
      </c>
      <c r="EX8">
        <f>'[45]Template '!$O$20</f>
        <v>4</v>
      </c>
      <c r="EY8">
        <f>'[45]Template '!$O$21</f>
        <v>3</v>
      </c>
      <c r="EZ8">
        <f>'[45]Template '!$O$22</f>
        <v>3</v>
      </c>
      <c r="FA8">
        <f>'[45]Template '!$O$23</f>
        <v>3</v>
      </c>
      <c r="FL8">
        <f>'[45]Template '!$D$5</f>
        <v>0.5200892857142857</v>
      </c>
      <c r="FM8">
        <f>'[45]Template '!$D$6</f>
        <v>0.41837121212121209</v>
      </c>
      <c r="FN8">
        <f>'[45]Template '!$D$7</f>
        <v>0.63756613756613745</v>
      </c>
      <c r="FO8">
        <f>'[45]Template '!$D$8</f>
        <v>0.54047619047619044</v>
      </c>
      <c r="FP8">
        <f>'[45]Template '!$D$9</f>
        <v>0.52912570646945645</v>
      </c>
      <c r="FR8">
        <f>'[45]Template '!$E$5</f>
        <v>0.5136554621848739</v>
      </c>
      <c r="FS8">
        <f>'[45]Template '!$E$6</f>
        <v>0.36033549783549779</v>
      </c>
      <c r="FT8">
        <f>'[45]Template '!$E$7</f>
        <v>0.63571428571428568</v>
      </c>
      <c r="FU8">
        <f>'[45]Template '!$E$8</f>
        <v>0.54047619047619044</v>
      </c>
      <c r="FV8">
        <f>'[45]Template '!$E$9</f>
        <v>0.51254535905271192</v>
      </c>
    </row>
    <row r="9" spans="1:178" x14ac:dyDescent="0.2">
      <c r="A9" t="str">
        <f>'[46]Template '!$A$2</f>
        <v>M_077</v>
      </c>
      <c r="C9" t="str">
        <f t="shared" si="0"/>
        <v>M_077.xlsx</v>
      </c>
      <c r="E9" t="str">
        <f>'[46]Template '!$C$2</f>
        <v>mSTAT only</v>
      </c>
      <c r="G9">
        <f>'[46]Template '!$C$29</f>
        <v>0.22222222222222221</v>
      </c>
      <c r="H9" t="str">
        <f>'[46]Template '!$C$30</f>
        <v>n/a</v>
      </c>
      <c r="I9">
        <f>'[46]Template '!$C$31</f>
        <v>0.29166666666666663</v>
      </c>
      <c r="J9">
        <f>'[46]Template '!$C$32</f>
        <v>0.54411764705882359</v>
      </c>
      <c r="K9">
        <f>'[46]Template '!$C$33</f>
        <v>0.39285714285714279</v>
      </c>
      <c r="M9">
        <f>'[46]Template '!$C$80</f>
        <v>1063</v>
      </c>
      <c r="N9">
        <f>'[46]Template '!$C$81</f>
        <v>10</v>
      </c>
      <c r="O9">
        <f>'[46]Template '!$C$82</f>
        <v>2</v>
      </c>
      <c r="P9">
        <f>'[46]Template '!$C$83</f>
        <v>1</v>
      </c>
      <c r="Q9">
        <f>'[46]Template '!$C$84</f>
        <v>2</v>
      </c>
      <c r="R9">
        <f>'[46]Template '!$C$85</f>
        <v>1</v>
      </c>
      <c r="T9">
        <f>'[46]Template '!$C$74</f>
        <v>0.18181818181818182</v>
      </c>
      <c r="U9" t="str">
        <f>'[46]Template '!$C$75</f>
        <v>n/a</v>
      </c>
      <c r="V9">
        <f>'[46]Template '!$C$76</f>
        <v>7.1428571428571425E-2</v>
      </c>
      <c r="W9">
        <f>'[46]Template '!$C$77</f>
        <v>0.14285714285714285</v>
      </c>
      <c r="X9">
        <f>'[46]Template '!$C$78</f>
        <v>0.18849206349206349</v>
      </c>
      <c r="Z9">
        <f>'[46]Template '!$C$80</f>
        <v>1063</v>
      </c>
      <c r="AA9">
        <f>'[46]Template '!$C$81</f>
        <v>10</v>
      </c>
      <c r="AB9">
        <f>'[46]Template '!$C$82</f>
        <v>2</v>
      </c>
      <c r="AC9">
        <f>'[46]Template '!$C$83</f>
        <v>1</v>
      </c>
      <c r="AD9">
        <f>'[46]Template '!$C$84</f>
        <v>2</v>
      </c>
      <c r="AE9">
        <f>'[46]Template '!$C$85</f>
        <v>1</v>
      </c>
      <c r="AG9">
        <f>'[46]Template '!$C$96</f>
        <v>0.45833333333333331</v>
      </c>
      <c r="AH9">
        <f>'[46]Template '!$C$97</f>
        <v>0.3</v>
      </c>
      <c r="AI9">
        <f>'[46]Template '!$C$98</f>
        <v>0</v>
      </c>
      <c r="AJ9">
        <f>'[46]Template '!$C$99</f>
        <v>0.53607503607503604</v>
      </c>
      <c r="AK9">
        <f>'[46]Template '!$C$100</f>
        <v>0.39087301587301587</v>
      </c>
      <c r="AM9">
        <f>'[46]Template '!$C$102</f>
        <v>1200</v>
      </c>
      <c r="AN9">
        <f>'[46]Template '!$C$103</f>
        <v>35</v>
      </c>
      <c r="AO9">
        <f>'[46]Template '!$C$104</f>
        <v>1.5</v>
      </c>
      <c r="AP9">
        <f>'[46]Template '!$C$105</f>
        <v>1.5</v>
      </c>
      <c r="AQ9">
        <f>'[46]Template '!$C$106</f>
        <v>2</v>
      </c>
      <c r="AR9">
        <f>'[46]Template '!$C$107</f>
        <v>2</v>
      </c>
      <c r="AT9">
        <f>'[46]Template '!$C$52</f>
        <v>0.42777777777777781</v>
      </c>
      <c r="AU9">
        <f>'[46]Template '!$C$53</f>
        <v>0.3</v>
      </c>
      <c r="AV9">
        <f>'[46]Template '!$C$54</f>
        <v>0.5</v>
      </c>
      <c r="AW9">
        <f>'[46]Template '!$C$55</f>
        <v>0.48958333333333331</v>
      </c>
      <c r="AX9">
        <f>'[46]Template '!$C$56</f>
        <v>0.44880952380952382</v>
      </c>
      <c r="AZ9">
        <f>'[46]Template '!$C$58</f>
        <v>1200</v>
      </c>
      <c r="BA9">
        <f>'[46]Template '!$C$59</f>
        <v>45</v>
      </c>
      <c r="BB9">
        <f>'[46]Template '!$C$60</f>
        <v>1.5</v>
      </c>
      <c r="BC9">
        <f>'[46]Template '!$C$61</f>
        <v>1.5</v>
      </c>
      <c r="BD9">
        <f>'[46]Template '!$C$62</f>
        <v>2.5</v>
      </c>
      <c r="BE9">
        <f>'[46]Template '!$C$63</f>
        <v>2.5</v>
      </c>
      <c r="BG9">
        <f>'[46]Template '!$B$29</f>
        <v>0.22222222222222221</v>
      </c>
      <c r="BH9" t="str">
        <f>'[46]Template '!$B$30</f>
        <v>n/a</v>
      </c>
      <c r="BI9">
        <f>'[46]Template '!$B$31</f>
        <v>0.29166666666666663</v>
      </c>
      <c r="BJ9">
        <f>'[46]Template '!$B$32</f>
        <v>0.6875</v>
      </c>
      <c r="BK9">
        <f>'[46]Template '!$B$33</f>
        <v>0.39285714285714279</v>
      </c>
      <c r="BM9">
        <f>'[46]Template '!$B$52</f>
        <v>0.59444444444444455</v>
      </c>
      <c r="BN9">
        <f>'[46]Template '!$B$53</f>
        <v>0.3</v>
      </c>
      <c r="BO9">
        <f>'[46]Template '!$B$54</f>
        <v>0.5</v>
      </c>
      <c r="BP9">
        <f>'[46]Template '!$B$55</f>
        <v>0.58333333333333337</v>
      </c>
      <c r="BQ9">
        <f>'[46]Template '!$B$56</f>
        <v>0.44880952380952382</v>
      </c>
      <c r="BS9">
        <f>'[46]Template '!$B$74</f>
        <v>0.18181818181818182</v>
      </c>
      <c r="BT9" t="str">
        <f>'[46]Template '!$B$75</f>
        <v>n/a</v>
      </c>
      <c r="BU9">
        <f>'[46]Template '!$B$76</f>
        <v>7.1428571428571425E-2</v>
      </c>
      <c r="BV9">
        <f>'[46]Template '!$B$77</f>
        <v>0.125</v>
      </c>
      <c r="BW9">
        <f>'[46]Template '!$B$78</f>
        <v>0.18849206349206349</v>
      </c>
      <c r="BY9">
        <f>'[46]Template '!$B$96</f>
        <v>0.45833333333333331</v>
      </c>
      <c r="BZ9">
        <f>'[46]Template '!$B$97</f>
        <v>0.3</v>
      </c>
      <c r="CA9">
        <f>'[46]Template '!$B$98</f>
        <v>0</v>
      </c>
      <c r="CB9">
        <f>'[46]Template '!$B$99</f>
        <v>0.69444444444444431</v>
      </c>
      <c r="CC9">
        <f>'[46]Template '!$B$100</f>
        <v>0.39087301587301587</v>
      </c>
      <c r="CF9">
        <f>'[46]Template '!$Z$30</f>
        <v>0</v>
      </c>
      <c r="CG9">
        <f>'[46]Template '!$AB$75</f>
        <v>0</v>
      </c>
      <c r="CH9">
        <f>'[46]Template '!$C$89</f>
        <v>0</v>
      </c>
      <c r="CI9">
        <f>'[46]Template '!$AF$75</f>
        <v>0</v>
      </c>
      <c r="CJ9">
        <f>'[46]Template '!$AR$97</f>
        <v>0</v>
      </c>
      <c r="CK9">
        <f>'[46]Template '!$AS$97</f>
        <v>0</v>
      </c>
      <c r="CL9">
        <f>'[46]Template '!$AZ$97</f>
        <v>1</v>
      </c>
      <c r="CM9">
        <f>'[46]Template '!$BB$97</f>
        <v>1</v>
      </c>
      <c r="CN9">
        <f>'[46]Template '!$AU$53</f>
        <v>1</v>
      </c>
      <c r="CO9">
        <f>'[46]Template '!$AV$53</f>
        <v>0.5</v>
      </c>
      <c r="CP9">
        <f>'[46]Template '!$AY$53</f>
        <v>0</v>
      </c>
      <c r="CQ9">
        <f>'[46]Template '!$AX$53</f>
        <v>1</v>
      </c>
      <c r="CR9">
        <f>'[46]Template '!$AZ$53</f>
        <v>0</v>
      </c>
      <c r="CS9">
        <f>'[46]Template '!$BF$53</f>
        <v>0</v>
      </c>
      <c r="CT9">
        <f t="shared" si="1"/>
        <v>0</v>
      </c>
      <c r="CU9">
        <f t="shared" si="2"/>
        <v>4.5</v>
      </c>
      <c r="CV9">
        <f t="shared" si="3"/>
        <v>4.5</v>
      </c>
      <c r="CY9" t="str">
        <f>'[46]Template '!$E$2</f>
        <v>B</v>
      </c>
      <c r="CZ9">
        <f>'[46]Template '!$B$13</f>
        <v>1</v>
      </c>
      <c r="DA9" t="str">
        <f>'[46]Template '!$D$2</f>
        <v>n/a</v>
      </c>
      <c r="DB9">
        <f>'[46]Template '!$D$3</f>
        <v>0</v>
      </c>
      <c r="DC9">
        <f>'[46]Template '!$F$2</f>
        <v>45441</v>
      </c>
      <c r="DE9">
        <f>'[46]Template '!$B$12</f>
        <v>24</v>
      </c>
      <c r="DF9" t="str">
        <f>'[46]Template '!$B$14</f>
        <v>12/22</v>
      </c>
      <c r="DG9" t="str">
        <f>'[46]Template '!$B$15</f>
        <v>4/23</v>
      </c>
      <c r="DH9">
        <f>'[46]Template '!$B$16</f>
        <v>12</v>
      </c>
      <c r="DI9">
        <f>'[46]Template '!$B$17</f>
        <v>0</v>
      </c>
      <c r="DJ9">
        <f>'[46]Template '!$B$18</f>
        <v>0</v>
      </c>
      <c r="DK9">
        <f>'[46]Template '!$B$19</f>
        <v>0</v>
      </c>
      <c r="DL9">
        <f>'[46]Template '!$B$20</f>
        <v>0</v>
      </c>
      <c r="DM9">
        <f>'[46]Template '!$B$21</f>
        <v>0</v>
      </c>
      <c r="DN9">
        <f>'[46]Template '!$B$22</f>
        <v>1</v>
      </c>
      <c r="DP9">
        <f>'[46]Template '!$I$13</f>
        <v>4</v>
      </c>
      <c r="DQ9">
        <f>'[46]Template '!$I$14</f>
        <v>4</v>
      </c>
      <c r="DR9">
        <f>'[46]Template '!$I$15</f>
        <v>4</v>
      </c>
      <c r="DS9">
        <f>'[46]Template '!$I$16</f>
        <v>4</v>
      </c>
      <c r="DT9">
        <f>'[46]Template '!$I$17</f>
        <v>4</v>
      </c>
      <c r="DU9">
        <f>'[46]Template '!$I$18</f>
        <v>4</v>
      </c>
      <c r="DV9">
        <f>'[46]Template '!$I$19</f>
        <v>5</v>
      </c>
      <c r="DW9">
        <f>'[46]Template '!$I$20</f>
        <v>0</v>
      </c>
      <c r="DX9">
        <f>'[46]Template '!$I$21</f>
        <v>3</v>
      </c>
      <c r="DY9">
        <f>'[46]Template '!$I$22</f>
        <v>3</v>
      </c>
      <c r="DZ9">
        <f>'[46]Template '!$I$23</f>
        <v>4</v>
      </c>
      <c r="EA9">
        <f>'[46]Template '!$I$24</f>
        <v>1</v>
      </c>
      <c r="ED9">
        <f>'[46]Template '!$L$13</f>
        <v>4</v>
      </c>
      <c r="EE9">
        <f>'[46]Template '!$L$14</f>
        <v>4</v>
      </c>
      <c r="EF9">
        <f>'[46]Template '!$L$15</f>
        <v>4</v>
      </c>
      <c r="EG9">
        <f>'[46]Template '!$L$16</f>
        <v>3</v>
      </c>
      <c r="EH9">
        <f>'[46]Template '!$L$17</f>
        <v>4</v>
      </c>
      <c r="EI9">
        <f>'[46]Template '!$L$18</f>
        <v>3</v>
      </c>
      <c r="EJ9">
        <f>'[46]Template '!$L$19</f>
        <v>5</v>
      </c>
      <c r="EK9">
        <f>'[46]Template '!$L$20</f>
        <v>4</v>
      </c>
      <c r="EL9">
        <f>'[46]Template '!$L$21</f>
        <v>4</v>
      </c>
      <c r="EM9">
        <f>'[46]Template '!$L$22</f>
        <v>4</v>
      </c>
      <c r="EN9">
        <f>'[46]Template '!$L$23</f>
        <v>4</v>
      </c>
      <c r="EQ9">
        <f>'[46]Template '!$O$13</f>
        <v>4</v>
      </c>
      <c r="ER9">
        <f>'[46]Template '!$O$14</f>
        <v>4</v>
      </c>
      <c r="ES9">
        <f>'[46]Template '!$O$15</f>
        <v>3</v>
      </c>
      <c r="ET9">
        <f>'[46]Template '!$O$16</f>
        <v>3</v>
      </c>
      <c r="EU9">
        <f>'[46]Template '!$O$17</f>
        <v>4</v>
      </c>
      <c r="EV9">
        <f>'[46]Template '!$O$18</f>
        <v>4</v>
      </c>
      <c r="EW9">
        <f>'[46]Template '!$O$19</f>
        <v>4</v>
      </c>
      <c r="EX9">
        <f>'[46]Template '!$O$20</f>
        <v>3</v>
      </c>
      <c r="EY9">
        <f>'[46]Template '!$O$21</f>
        <v>3</v>
      </c>
      <c r="EZ9">
        <f>'[46]Template '!$O$22</f>
        <v>3</v>
      </c>
      <c r="FA9">
        <f>'[46]Template '!$O$23</f>
        <v>3</v>
      </c>
      <c r="FL9">
        <f>'[46]Template '!$D$5</f>
        <v>0.39856150793650791</v>
      </c>
      <c r="FM9">
        <f>'[46]Template '!$D$6</f>
        <v>0.14168470418470419</v>
      </c>
      <c r="FN9">
        <f>'[46]Template '!$D$7</f>
        <v>0.48531746031746037</v>
      </c>
      <c r="FO9">
        <f>'[46]Template '!$D$8</f>
        <v>0.36873015873015869</v>
      </c>
      <c r="FP9">
        <f>'[46]Template '!$D$9</f>
        <v>0.34857345779220783</v>
      </c>
      <c r="FR9">
        <f>'[46]Template '!$E$5</f>
        <v>0.36271591970121381</v>
      </c>
      <c r="FS9">
        <f>'[46]Template '!$E$6</f>
        <v>0.14614898989898989</v>
      </c>
      <c r="FT9">
        <f>'[46]Template '!$E$7</f>
        <v>0.433234126984127</v>
      </c>
      <c r="FU9">
        <f>'[46]Template '!$E$8</f>
        <v>0.33705627705627705</v>
      </c>
      <c r="FV9">
        <f>'[46]Template '!$E$9</f>
        <v>0.31978882841015194</v>
      </c>
    </row>
    <row r="10" spans="1:178" x14ac:dyDescent="0.2">
      <c r="A10" t="str">
        <f>'[47]Template '!$A$2</f>
        <v>M_076</v>
      </c>
      <c r="C10" t="str">
        <f t="shared" si="0"/>
        <v>M_076.xlsx</v>
      </c>
      <c r="E10" t="str">
        <f>'[47]Template '!$C$2</f>
        <v>mSTAT only</v>
      </c>
      <c r="G10">
        <f>'[47]Template '!$C$29</f>
        <v>0.3888888888888889</v>
      </c>
      <c r="H10" t="str">
        <f>'[47]Template '!$C$30</f>
        <v>n/a</v>
      </c>
      <c r="I10">
        <f>'[47]Template '!$C$31</f>
        <v>0.33333333333333331</v>
      </c>
      <c r="J10">
        <f>'[47]Template '!$C$32</f>
        <v>0.29779411764705882</v>
      </c>
      <c r="K10">
        <f>'[47]Template '!$C$33</f>
        <v>0.34523809523809518</v>
      </c>
      <c r="M10">
        <f>'[47]Template '!$C$80</f>
        <v>1164</v>
      </c>
      <c r="N10">
        <f>'[47]Template '!$C$81</f>
        <v>21</v>
      </c>
      <c r="O10">
        <f>'[47]Template '!$C$82</f>
        <v>2</v>
      </c>
      <c r="P10">
        <f>'[47]Template '!$C$83</f>
        <v>1</v>
      </c>
      <c r="Q10">
        <f>'[47]Template '!$C$84</f>
        <v>2</v>
      </c>
      <c r="R10">
        <f>'[47]Template '!$C$85</f>
        <v>1</v>
      </c>
      <c r="T10">
        <f>'[47]Template '!$C$74</f>
        <v>0.33636363636363636</v>
      </c>
      <c r="U10" t="str">
        <f>'[47]Template '!$C$75</f>
        <v>n/a</v>
      </c>
      <c r="V10">
        <f>'[47]Template '!$C$76</f>
        <v>0.4642857142857143</v>
      </c>
      <c r="W10">
        <f>'[47]Template '!$C$77</f>
        <v>0.47619047619047616</v>
      </c>
      <c r="X10">
        <f>'[47]Template '!$C$78</f>
        <v>0.37896825396825395</v>
      </c>
      <c r="Z10">
        <f>'[47]Template '!$C$80</f>
        <v>1164</v>
      </c>
      <c r="AA10">
        <f>'[47]Template '!$C$81</f>
        <v>21</v>
      </c>
      <c r="AB10">
        <f>'[47]Template '!$C$82</f>
        <v>2</v>
      </c>
      <c r="AC10">
        <f>'[47]Template '!$C$83</f>
        <v>1</v>
      </c>
      <c r="AD10">
        <f>'[47]Template '!$C$84</f>
        <v>2</v>
      </c>
      <c r="AE10">
        <f>'[47]Template '!$C$85</f>
        <v>1</v>
      </c>
      <c r="AG10">
        <f>'[47]Template '!$C$96</f>
        <v>0.75</v>
      </c>
      <c r="AH10">
        <f>'[47]Template '!$C$97</f>
        <v>0.41111111111111115</v>
      </c>
      <c r="AI10">
        <f>'[47]Template '!$C$98</f>
        <v>0.5</v>
      </c>
      <c r="AJ10">
        <f>'[47]Template '!$C$99</f>
        <v>0.28138528138528135</v>
      </c>
      <c r="AK10">
        <f>'[47]Template '!$C$100</f>
        <v>0.57539682539682546</v>
      </c>
      <c r="AM10">
        <f>'[47]Template '!$C$102</f>
        <v>1200</v>
      </c>
      <c r="AN10">
        <f>'[47]Template '!$C$103</f>
        <v>25</v>
      </c>
      <c r="AO10">
        <f>'[47]Template '!$C$104</f>
        <v>2</v>
      </c>
      <c r="AP10">
        <f>'[47]Template '!$C$105</f>
        <v>1</v>
      </c>
      <c r="AQ10">
        <f>'[47]Template '!$C$106</f>
        <v>2</v>
      </c>
      <c r="AR10">
        <f>'[47]Template '!$C$107</f>
        <v>1</v>
      </c>
      <c r="AT10">
        <f>'[47]Template '!$C$52</f>
        <v>0.75</v>
      </c>
      <c r="AU10">
        <f>'[47]Template '!$C$53</f>
        <v>0.41111111111111115</v>
      </c>
      <c r="AV10">
        <f>'[47]Template '!$C$54</f>
        <v>0.5</v>
      </c>
      <c r="AW10">
        <f>'[47]Template '!$C$55</f>
        <v>0.25</v>
      </c>
      <c r="AX10">
        <f>'[47]Template '!$C$56</f>
        <v>0.42976190476190473</v>
      </c>
      <c r="AZ10">
        <f>'[47]Template '!$C$58</f>
        <v>1200</v>
      </c>
      <c r="BA10">
        <f>'[47]Template '!$C$59</f>
        <v>22.5</v>
      </c>
      <c r="BB10">
        <f>'[47]Template '!$C$60</f>
        <v>2</v>
      </c>
      <c r="BC10">
        <f>'[47]Template '!$C$61</f>
        <v>1.5</v>
      </c>
      <c r="BD10">
        <f>'[47]Template '!$C$62</f>
        <v>1.5</v>
      </c>
      <c r="BE10">
        <f>'[47]Template '!$C$63</f>
        <v>1.5</v>
      </c>
      <c r="BG10">
        <f>'[47]Template '!$B$29</f>
        <v>0.3888888888888889</v>
      </c>
      <c r="BH10" t="str">
        <f>'[47]Template '!$B$30</f>
        <v>n/a</v>
      </c>
      <c r="BI10">
        <f>'[47]Template '!$B$31</f>
        <v>0.33333333333333331</v>
      </c>
      <c r="BJ10">
        <f>'[47]Template '!$B$32</f>
        <v>0.25</v>
      </c>
      <c r="BK10">
        <f>'[47]Template '!$B$33</f>
        <v>0.34523809523809518</v>
      </c>
      <c r="BM10">
        <f>'[47]Template '!$B$52</f>
        <v>0.75</v>
      </c>
      <c r="BN10">
        <f>'[47]Template '!$B$53</f>
        <v>0.41111111111111115</v>
      </c>
      <c r="BO10">
        <f>'[47]Template '!$B$54</f>
        <v>0.5</v>
      </c>
      <c r="BP10">
        <f>'[47]Template '!$B$55</f>
        <v>0.31481481481481483</v>
      </c>
      <c r="BQ10">
        <f>'[47]Template '!$B$56</f>
        <v>0.42976190476190473</v>
      </c>
      <c r="BS10">
        <f>'[47]Template '!$B$74</f>
        <v>0.33636363636363636</v>
      </c>
      <c r="BT10" t="str">
        <f>'[47]Template '!$B$75</f>
        <v>n/a</v>
      </c>
      <c r="BU10">
        <f>'[47]Template '!$B$76</f>
        <v>0.4642857142857143</v>
      </c>
      <c r="BV10">
        <f>'[47]Template '!$B$77</f>
        <v>0.45833333333333331</v>
      </c>
      <c r="BW10">
        <f>'[47]Template '!$B$78</f>
        <v>0.37896825396825395</v>
      </c>
      <c r="BY10">
        <f>'[47]Template '!$B$96</f>
        <v>0.75</v>
      </c>
      <c r="BZ10">
        <f>'[47]Template '!$B$97</f>
        <v>0.41111111111111115</v>
      </c>
      <c r="CA10">
        <f>'[47]Template '!$B$98</f>
        <v>0.5</v>
      </c>
      <c r="CB10">
        <f>'[47]Template '!$B$99</f>
        <v>0.66666666666666663</v>
      </c>
      <c r="CC10">
        <f>'[47]Template '!$B$100</f>
        <v>0.57539682539682546</v>
      </c>
      <c r="CF10">
        <f>'[47]Template '!$Z$30</f>
        <v>0</v>
      </c>
      <c r="CG10">
        <f>'[47]Template '!$AB$75</f>
        <v>0</v>
      </c>
      <c r="CH10">
        <f>'[47]Template '!$C$89</f>
        <v>0</v>
      </c>
      <c r="CI10">
        <f>'[47]Template '!$AF$75</f>
        <v>0</v>
      </c>
      <c r="CJ10">
        <f>'[47]Template '!$AR$97</f>
        <v>1</v>
      </c>
      <c r="CK10">
        <f>'[47]Template '!$AS$97</f>
        <v>0</v>
      </c>
      <c r="CL10">
        <f>'[47]Template '!$AZ$97</f>
        <v>0</v>
      </c>
      <c r="CM10">
        <f>'[47]Template '!$BB$97</f>
        <v>0</v>
      </c>
      <c r="CN10">
        <f>'[47]Template '!$AU$53</f>
        <v>0.5</v>
      </c>
      <c r="CO10">
        <f>'[47]Template '!$AV$53</f>
        <v>0</v>
      </c>
      <c r="CP10">
        <f>'[47]Template '!$AY$53</f>
        <v>0</v>
      </c>
      <c r="CQ10">
        <f>'[47]Template '!$AX$53</f>
        <v>0</v>
      </c>
      <c r="CR10">
        <f>'[47]Template '!$AZ$53</f>
        <v>0</v>
      </c>
      <c r="CS10">
        <f>'[47]Template '!$BF$53</f>
        <v>0</v>
      </c>
      <c r="CT10">
        <f t="shared" si="1"/>
        <v>0</v>
      </c>
      <c r="CU10">
        <f t="shared" si="2"/>
        <v>1.5</v>
      </c>
      <c r="CV10">
        <f t="shared" si="3"/>
        <v>1.5</v>
      </c>
      <c r="CY10" t="str">
        <f>'[47]Template '!$E$2</f>
        <v>A</v>
      </c>
      <c r="CZ10">
        <f>'[47]Template '!$B$13</f>
        <v>2</v>
      </c>
      <c r="DA10" t="str">
        <f>'[47]Template '!$D$2</f>
        <v>n/a</v>
      </c>
      <c r="DB10">
        <f>'[47]Template '!$D$3</f>
        <v>0</v>
      </c>
      <c r="DC10">
        <f>'[47]Template '!$F$2</f>
        <v>45443</v>
      </c>
      <c r="DE10">
        <f>'[47]Template '!$B$12</f>
        <v>20</v>
      </c>
      <c r="DF10" t="str">
        <f>'[47]Template '!$B$14</f>
        <v>9/22</v>
      </c>
      <c r="DG10" t="str">
        <f>'[47]Template '!$B$15</f>
        <v>1/23</v>
      </c>
      <c r="DH10">
        <f>'[47]Template '!$B$16</f>
        <v>16</v>
      </c>
      <c r="DI10">
        <f>'[47]Template '!$B$17</f>
        <v>0</v>
      </c>
      <c r="DJ10">
        <f>'[47]Template '!$B$18</f>
        <v>0</v>
      </c>
      <c r="DK10">
        <f>'[47]Template '!$B$19</f>
        <v>0</v>
      </c>
      <c r="DL10">
        <f>'[47]Template '!$B$20</f>
        <v>0</v>
      </c>
      <c r="DM10">
        <f>'[47]Template '!$B$21</f>
        <v>0</v>
      </c>
      <c r="DN10">
        <f>'[47]Template '!$B$22</f>
        <v>0</v>
      </c>
      <c r="DP10">
        <f>'[47]Template '!$I$13</f>
        <v>5</v>
      </c>
      <c r="DQ10">
        <f>'[47]Template '!$I$14</f>
        <v>4</v>
      </c>
      <c r="DR10">
        <f>'[47]Template '!$I$15</f>
        <v>3</v>
      </c>
      <c r="DS10">
        <f>'[47]Template '!$I$16</f>
        <v>2</v>
      </c>
      <c r="DT10">
        <f>'[47]Template '!$I$17</f>
        <v>3</v>
      </c>
      <c r="DU10">
        <f>'[47]Template '!$I$18</f>
        <v>2</v>
      </c>
      <c r="DV10">
        <f>'[47]Template '!$I$19</f>
        <v>5</v>
      </c>
      <c r="DW10">
        <f>'[47]Template '!$I$20</f>
        <v>1</v>
      </c>
      <c r="DX10">
        <f>'[47]Template '!$I$21</f>
        <v>3</v>
      </c>
      <c r="DY10">
        <f>'[47]Template '!$I$22</f>
        <v>3</v>
      </c>
      <c r="DZ10">
        <f>'[47]Template '!$I$23</f>
        <v>3</v>
      </c>
      <c r="EA10">
        <f>'[47]Template '!$I$24</f>
        <v>0</v>
      </c>
      <c r="ED10">
        <f>'[47]Template '!$L$13</f>
        <v>4</v>
      </c>
      <c r="EE10">
        <f>'[47]Template '!$L$14</f>
        <v>3</v>
      </c>
      <c r="EF10">
        <f>'[47]Template '!$L$15</f>
        <v>4</v>
      </c>
      <c r="EG10">
        <f>'[47]Template '!$L$16</f>
        <v>3</v>
      </c>
      <c r="EH10">
        <f>'[47]Template '!$L$17</f>
        <v>3</v>
      </c>
      <c r="EI10">
        <f>'[47]Template '!$L$18</f>
        <v>1</v>
      </c>
      <c r="EJ10">
        <f>'[47]Template '!$L$19</f>
        <v>4</v>
      </c>
      <c r="EK10">
        <f>'[47]Template '!$L$20</f>
        <v>3</v>
      </c>
      <c r="EL10">
        <f>'[47]Template '!$L$21</f>
        <v>3</v>
      </c>
      <c r="EM10">
        <f>'[47]Template '!$L$22</f>
        <v>4</v>
      </c>
      <c r="EN10">
        <f>'[47]Template '!$L$23</f>
        <v>3</v>
      </c>
      <c r="EQ10">
        <f>'[47]Template '!$O$13</f>
        <v>4</v>
      </c>
      <c r="ER10">
        <f>'[47]Template '!$O$14</f>
        <v>1</v>
      </c>
      <c r="ES10">
        <f>'[47]Template '!$O$15</f>
        <v>1</v>
      </c>
      <c r="ET10">
        <f>'[47]Template '!$O$16</f>
        <v>2</v>
      </c>
      <c r="EU10">
        <f>'[47]Template '!$O$17</f>
        <v>5</v>
      </c>
      <c r="EV10">
        <f>'[47]Template '!$O$18</f>
        <v>1</v>
      </c>
      <c r="EW10">
        <f>'[47]Template '!$O$19</f>
        <v>1</v>
      </c>
      <c r="EX10">
        <f>'[47]Template '!$O$20</f>
        <v>2</v>
      </c>
      <c r="EY10">
        <f>'[47]Template '!$O$21</f>
        <v>1</v>
      </c>
      <c r="EZ10">
        <f>'[47]Template '!$O$22</f>
        <v>2</v>
      </c>
      <c r="FA10">
        <f>'[47]Template '!$O$23</f>
        <v>2</v>
      </c>
      <c r="FL10">
        <f>'[47]Template '!$D$5</f>
        <v>0.32936507936507936</v>
      </c>
      <c r="FM10">
        <f>'[47]Template '!$D$6</f>
        <v>0.40948773448773446</v>
      </c>
      <c r="FN10">
        <f>'[47]Template '!$D$7</f>
        <v>0.4811375661375662</v>
      </c>
      <c r="FO10">
        <f>'[47]Template '!$D$8</f>
        <v>0.58063492063492073</v>
      </c>
      <c r="FP10">
        <f>'[47]Template '!$D$9</f>
        <v>0.4501563251563252</v>
      </c>
      <c r="FR10">
        <f>'[47]Template '!$E$5</f>
        <v>0.34131360877684402</v>
      </c>
      <c r="FS10">
        <f>'[47]Template '!$E$6</f>
        <v>0.41395202020202015</v>
      </c>
      <c r="FT10">
        <f>'[47]Template '!$E$7</f>
        <v>0.46817460317460319</v>
      </c>
      <c r="FU10">
        <f>'[47]Template '!$E$8</f>
        <v>0.50357864357864357</v>
      </c>
      <c r="FV10">
        <f>'[47]Template '!$E$9</f>
        <v>0.43175471893302775</v>
      </c>
    </row>
    <row r="11" spans="1:178" x14ac:dyDescent="0.2">
      <c r="A11" t="str">
        <f>'[48]Template '!$A$2</f>
        <v>M_075</v>
      </c>
      <c r="C11" t="str">
        <f t="shared" si="0"/>
        <v>M_075.xlsx</v>
      </c>
      <c r="E11" t="str">
        <f>'[48]Template '!$C$2</f>
        <v>mSTAT only</v>
      </c>
      <c r="G11">
        <f>'[48]Template '!$C$29</f>
        <v>0.5</v>
      </c>
      <c r="H11" t="str">
        <f>'[48]Template '!$C$30</f>
        <v>n/a</v>
      </c>
      <c r="I11">
        <f>'[48]Template '!$C$31</f>
        <v>0.16666666666666666</v>
      </c>
      <c r="J11">
        <f>'[48]Template '!$C$32</f>
        <v>0.84395424836601318</v>
      </c>
      <c r="K11">
        <f>'[48]Template '!$C$33</f>
        <v>0.92063492063492058</v>
      </c>
      <c r="M11">
        <f>'[48]Template '!$C$80</f>
        <v>1200</v>
      </c>
      <c r="N11">
        <f>'[48]Template '!$C$81</f>
        <v>30</v>
      </c>
      <c r="O11">
        <f>'[48]Template '!$C$82</f>
        <v>3</v>
      </c>
      <c r="P11">
        <f>'[48]Template '!$C$83</f>
        <v>2</v>
      </c>
      <c r="Q11">
        <f>'[48]Template '!$C$84</f>
        <v>3</v>
      </c>
      <c r="R11">
        <f>'[48]Template '!$C$85</f>
        <v>2</v>
      </c>
      <c r="T11">
        <f>'[48]Template '!$C$74</f>
        <v>0.51818181818181819</v>
      </c>
      <c r="U11" t="str">
        <f>'[48]Template '!$C$75</f>
        <v>n/a</v>
      </c>
      <c r="V11">
        <f>'[48]Template '!$C$76</f>
        <v>7.1428571428571425E-2</v>
      </c>
      <c r="W11">
        <f>'[48]Template '!$C$77</f>
        <v>0.49702380952380953</v>
      </c>
      <c r="X11">
        <f>'[48]Template '!$C$78</f>
        <v>0.52380952380952384</v>
      </c>
      <c r="Z11">
        <f>'[48]Template '!$C$80</f>
        <v>1200</v>
      </c>
      <c r="AA11">
        <f>'[48]Template '!$C$81</f>
        <v>30</v>
      </c>
      <c r="AB11">
        <f>'[48]Template '!$C$82</f>
        <v>3</v>
      </c>
      <c r="AC11">
        <f>'[48]Template '!$C$83</f>
        <v>2</v>
      </c>
      <c r="AD11">
        <f>'[48]Template '!$C$84</f>
        <v>3</v>
      </c>
      <c r="AE11">
        <f>'[48]Template '!$C$85</f>
        <v>2</v>
      </c>
      <c r="AG11">
        <f>'[48]Template '!$C$96</f>
        <v>0.75</v>
      </c>
      <c r="AH11">
        <f>'[48]Template '!$C$97</f>
        <v>0.74814814814814812</v>
      </c>
      <c r="AI11">
        <f>'[48]Template '!$C$98</f>
        <v>0</v>
      </c>
      <c r="AJ11">
        <f>'[48]Template '!$C$99</f>
        <v>0.67243867243867239</v>
      </c>
      <c r="AK11">
        <f>'[48]Template '!$C$100</f>
        <v>0.84126984126984128</v>
      </c>
      <c r="AM11">
        <f>'[48]Template '!$C$102</f>
        <v>1279</v>
      </c>
      <c r="AN11">
        <f>'[48]Template '!$C$103</f>
        <v>70</v>
      </c>
      <c r="AO11">
        <f>'[48]Template '!$C$104</f>
        <v>4</v>
      </c>
      <c r="AP11">
        <f>'[48]Template '!$C$105</f>
        <v>3</v>
      </c>
      <c r="AQ11">
        <f>'[48]Template '!$C$106</f>
        <v>4</v>
      </c>
      <c r="AR11">
        <f>'[48]Template '!$C$107</f>
        <v>4</v>
      </c>
      <c r="AT11">
        <f>'[48]Template '!$C$52</f>
        <v>0.75</v>
      </c>
      <c r="AU11">
        <f>'[48]Template '!$C$53</f>
        <v>0.74814814814814812</v>
      </c>
      <c r="AV11">
        <f>'[48]Template '!$C$54</f>
        <v>0</v>
      </c>
      <c r="AW11">
        <f>'[48]Template '!$C$55</f>
        <v>0.39583333333333331</v>
      </c>
      <c r="AX11">
        <f>'[48]Template '!$C$56</f>
        <v>0.71984126984126995</v>
      </c>
      <c r="AZ11">
        <f>'[48]Template '!$C$58</f>
        <v>1200</v>
      </c>
      <c r="BA11">
        <f>'[48]Template '!$C$59</f>
        <v>70</v>
      </c>
      <c r="BB11">
        <f>'[48]Template '!$C$60</f>
        <v>3</v>
      </c>
      <c r="BC11">
        <f>'[48]Template '!$C$61</f>
        <v>4</v>
      </c>
      <c r="BD11">
        <f>'[48]Template '!$C$62</f>
        <v>4</v>
      </c>
      <c r="BE11">
        <f>'[48]Template '!$C$63</f>
        <v>4</v>
      </c>
      <c r="BG11">
        <f>'[48]Template '!$B$29</f>
        <v>0.5</v>
      </c>
      <c r="BH11" t="str">
        <f>'[48]Template '!$B$30</f>
        <v>n/a</v>
      </c>
      <c r="BI11">
        <f>'[48]Template '!$B$31</f>
        <v>0.16666666666666666</v>
      </c>
      <c r="BJ11">
        <f>'[48]Template '!$B$32</f>
        <v>0.875</v>
      </c>
      <c r="BK11">
        <f>'[48]Template '!$B$33</f>
        <v>0.92063492063492058</v>
      </c>
      <c r="BM11">
        <f>'[48]Template '!$B$52</f>
        <v>0.75</v>
      </c>
      <c r="BN11">
        <f>'[48]Template '!$B$53</f>
        <v>0.74814814814814812</v>
      </c>
      <c r="BO11">
        <f>'[48]Template '!$B$54</f>
        <v>0</v>
      </c>
      <c r="BP11">
        <f>'[48]Template '!$B$55</f>
        <v>0.50925925925925919</v>
      </c>
      <c r="BQ11">
        <f>'[48]Template '!$B$56</f>
        <v>0.71984126984126995</v>
      </c>
      <c r="BS11">
        <f>'[48]Template '!$B$74</f>
        <v>0.51818181818181819</v>
      </c>
      <c r="BT11" t="str">
        <f>'[48]Template '!$B$75</f>
        <v>n/a</v>
      </c>
      <c r="BU11">
        <f>'[48]Template '!$B$76</f>
        <v>7.1428571428571425E-2</v>
      </c>
      <c r="BV11">
        <f>'[48]Template '!$B$77</f>
        <v>0.70833333333333326</v>
      </c>
      <c r="BW11">
        <f>'[48]Template '!$B$78</f>
        <v>0.52380952380952384</v>
      </c>
      <c r="BY11">
        <f>'[48]Template '!$B$96</f>
        <v>0.75</v>
      </c>
      <c r="BZ11">
        <f>'[48]Template '!$B$97</f>
        <v>0.74814814814814812</v>
      </c>
      <c r="CA11">
        <f>'[48]Template '!$B$98</f>
        <v>0</v>
      </c>
      <c r="CB11">
        <f>'[48]Template '!$B$99</f>
        <v>0.88888888888888884</v>
      </c>
      <c r="CC11">
        <f>'[48]Template '!$B$100</f>
        <v>0.84126984126984128</v>
      </c>
      <c r="CF11">
        <f>'[48]Template '!$Z$30</f>
        <v>1</v>
      </c>
      <c r="CG11">
        <f>'[48]Template '!$AB$75</f>
        <v>0</v>
      </c>
      <c r="CH11">
        <f>'[48]Template '!$C$89</f>
        <v>0</v>
      </c>
      <c r="CI11">
        <f>'[48]Template '!$AF$75</f>
        <v>0</v>
      </c>
      <c r="CJ11">
        <f>'[48]Template '!$AR$97</f>
        <v>1</v>
      </c>
      <c r="CK11">
        <f>'[48]Template '!$AS$97</f>
        <v>0</v>
      </c>
      <c r="CL11">
        <f>'[48]Template '!$AZ$97</f>
        <v>1</v>
      </c>
      <c r="CM11">
        <f>'[48]Template '!$BB$97</f>
        <v>0</v>
      </c>
      <c r="CN11">
        <f>'[48]Template '!$AU$53</f>
        <v>1</v>
      </c>
      <c r="CO11">
        <f>'[48]Template '!$AV$53</f>
        <v>0</v>
      </c>
      <c r="CP11">
        <f>'[48]Template '!$AY$53</f>
        <v>0</v>
      </c>
      <c r="CQ11">
        <f>'[48]Template '!$AX$53</f>
        <v>0</v>
      </c>
      <c r="CR11">
        <f>'[48]Template '!$AZ$53</f>
        <v>0</v>
      </c>
      <c r="CS11">
        <f>'[48]Template '!$BF$53</f>
        <v>0</v>
      </c>
      <c r="CT11">
        <f t="shared" si="1"/>
        <v>1</v>
      </c>
      <c r="CU11">
        <f t="shared" si="2"/>
        <v>3</v>
      </c>
      <c r="CV11">
        <f t="shared" si="3"/>
        <v>4</v>
      </c>
      <c r="CY11" t="str">
        <f>'[48]Template '!$E$2</f>
        <v>B</v>
      </c>
      <c r="CZ11">
        <f>'[48]Template '!$B$13</f>
        <v>1</v>
      </c>
      <c r="DA11" t="str">
        <f>'[48]Template '!$D$2</f>
        <v>n/a</v>
      </c>
      <c r="DB11">
        <f>'[48]Template '!$D$3</f>
        <v>0</v>
      </c>
      <c r="DC11">
        <f>'[48]Template '!$F$2</f>
        <v>45447</v>
      </c>
      <c r="DE11">
        <f>'[48]Template '!$B$12</f>
        <v>26</v>
      </c>
      <c r="DF11" t="str">
        <f>'[48]Template '!$B$14</f>
        <v>11/18</v>
      </c>
      <c r="DG11" t="str">
        <f>'[48]Template '!$B$15</f>
        <v>5/19</v>
      </c>
      <c r="DH11">
        <f>'[48]Template '!$B$16</f>
        <v>60</v>
      </c>
      <c r="DI11">
        <f>'[48]Template '!$B$17</f>
        <v>0</v>
      </c>
      <c r="DJ11">
        <f>'[48]Template '!$B$18</f>
        <v>0</v>
      </c>
      <c r="DK11">
        <f>'[48]Template '!$B$19</f>
        <v>0</v>
      </c>
      <c r="DL11">
        <f>'[48]Template '!$B$20</f>
        <v>0</v>
      </c>
      <c r="DM11">
        <f>'[48]Template '!$B$21</f>
        <v>0</v>
      </c>
      <c r="DN11">
        <f>'[48]Template '!$B$22</f>
        <v>1</v>
      </c>
      <c r="DP11">
        <f>'[48]Template '!$I$13</f>
        <v>4</v>
      </c>
      <c r="DQ11">
        <f>'[48]Template '!$I$14</f>
        <v>4</v>
      </c>
      <c r="DR11">
        <f>'[48]Template '!$I$15</f>
        <v>4</v>
      </c>
      <c r="DS11">
        <f>'[48]Template '!$I$16</f>
        <v>4</v>
      </c>
      <c r="DT11">
        <f>'[48]Template '!$I$17</f>
        <v>4</v>
      </c>
      <c r="DU11">
        <f>'[48]Template '!$I$18</f>
        <v>4</v>
      </c>
      <c r="DV11">
        <f>'[48]Template '!$I$19</f>
        <v>5</v>
      </c>
      <c r="DW11">
        <f>'[48]Template '!$I$20</f>
        <v>4</v>
      </c>
      <c r="DX11">
        <f>'[48]Template '!$I$21</f>
        <v>4</v>
      </c>
      <c r="DY11">
        <f>'[48]Template '!$I$22</f>
        <v>4</v>
      </c>
      <c r="DZ11">
        <f>'[48]Template '!$I$23</f>
        <v>5</v>
      </c>
      <c r="EA11">
        <f>'[48]Template '!$I$24</f>
        <v>1</v>
      </c>
      <c r="ED11">
        <f>'[48]Template '!$L$13</f>
        <v>3</v>
      </c>
      <c r="EE11">
        <f>'[48]Template '!$L$14</f>
        <v>3</v>
      </c>
      <c r="EF11">
        <f>'[48]Template '!$L$15</f>
        <v>4</v>
      </c>
      <c r="EG11">
        <f>'[48]Template '!$L$16</f>
        <v>3</v>
      </c>
      <c r="EH11">
        <f>'[48]Template '!$L$17</f>
        <v>4</v>
      </c>
      <c r="EI11">
        <f>'[48]Template '!$L$18</f>
        <v>3</v>
      </c>
      <c r="EJ11">
        <f>'[48]Template '!$L$19</f>
        <v>5</v>
      </c>
      <c r="EK11">
        <f>'[48]Template '!$L$20</f>
        <v>4</v>
      </c>
      <c r="EL11">
        <f>'[48]Template '!$L$21</f>
        <v>3</v>
      </c>
      <c r="EM11">
        <f>'[48]Template '!$L$22</f>
        <v>5</v>
      </c>
      <c r="EN11">
        <f>'[48]Template '!$L$23</f>
        <v>5</v>
      </c>
      <c r="EQ11">
        <f>'[48]Template '!$O$13</f>
        <v>5</v>
      </c>
      <c r="ER11">
        <f>'[48]Template '!$O$14</f>
        <v>4</v>
      </c>
      <c r="ES11">
        <f>'[48]Template '!$O$15</f>
        <v>2</v>
      </c>
      <c r="ET11">
        <f>'[48]Template '!$O$16</f>
        <v>2</v>
      </c>
      <c r="EU11">
        <f>'[48]Template '!$O$17</f>
        <v>5</v>
      </c>
      <c r="EV11">
        <f>'[48]Template '!$O$18</f>
        <v>1</v>
      </c>
      <c r="EW11">
        <f>'[48]Template '!$O$19</f>
        <v>1</v>
      </c>
      <c r="EX11">
        <f>'[48]Template '!$O$20</f>
        <v>4</v>
      </c>
      <c r="EY11">
        <f>'[48]Template '!$O$21</f>
        <v>1</v>
      </c>
      <c r="EZ11">
        <f>'[48]Template '!$O$22</f>
        <v>1</v>
      </c>
      <c r="FA11">
        <f>'[48]Template '!$O$23</f>
        <v>1</v>
      </c>
      <c r="FL11">
        <f>'[48]Template '!$D$5</f>
        <v>0.61557539682539675</v>
      </c>
      <c r="FM11">
        <f>'[48]Template '!$D$6</f>
        <v>0.45543831168831161</v>
      </c>
      <c r="FN11">
        <f>'[48]Template '!$D$7</f>
        <v>0.54544973544973541</v>
      </c>
      <c r="FO11">
        <f>'[48]Template '!$D$8</f>
        <v>0.6456613756613756</v>
      </c>
      <c r="FP11">
        <f>'[48]Template '!$D$9</f>
        <v>0.5655312049062049</v>
      </c>
      <c r="FR11">
        <f>'[48]Template '!$E$5</f>
        <v>0.60781395891690004</v>
      </c>
      <c r="FS11">
        <f>'[48]Template '!$E$6</f>
        <v>0.40261093073593068</v>
      </c>
      <c r="FT11">
        <f>'[48]Template '!$E$7</f>
        <v>0.52276455026455027</v>
      </c>
      <c r="FU11">
        <f>'[48]Template '!$E$8</f>
        <v>0.60237133237133234</v>
      </c>
      <c r="FV11">
        <f>'[48]Template '!$E$9</f>
        <v>0.53389019307217833</v>
      </c>
    </row>
    <row r="12" spans="1:178" x14ac:dyDescent="0.2">
      <c r="A12" t="str">
        <f>'[49]Template '!$A$2</f>
        <v>M_074</v>
      </c>
      <c r="C12" t="str">
        <f t="shared" si="0"/>
        <v>M_074.xlsx</v>
      </c>
      <c r="E12" t="str">
        <f>'[49]Template '!$C$2</f>
        <v>mSTAT only</v>
      </c>
      <c r="G12">
        <f>'[49]Template '!$C$29</f>
        <v>0.3888888888888889</v>
      </c>
      <c r="H12" t="str">
        <f>'[49]Template '!$C$30</f>
        <v>n/a</v>
      </c>
      <c r="I12">
        <f>'[49]Template '!$C$31</f>
        <v>0.41666666666666663</v>
      </c>
      <c r="J12">
        <f>'[49]Template '!$C$32</f>
        <v>0.54411764705882359</v>
      </c>
      <c r="K12">
        <f>'[49]Template '!$C$33</f>
        <v>0.52380952380952384</v>
      </c>
      <c r="M12">
        <f>'[49]Template '!$C$80</f>
        <v>1200</v>
      </c>
      <c r="N12">
        <f>'[49]Template '!$C$81</f>
        <v>30</v>
      </c>
      <c r="O12">
        <f>'[49]Template '!$C$82</f>
        <v>1.5</v>
      </c>
      <c r="P12">
        <f>'[49]Template '!$C$83</f>
        <v>2.5</v>
      </c>
      <c r="Q12">
        <f>'[49]Template '!$C$84</f>
        <v>1.5</v>
      </c>
      <c r="R12">
        <f>'[49]Template '!$C$85</f>
        <v>2</v>
      </c>
      <c r="T12">
        <f>'[49]Template '!$C$74</f>
        <v>0.65454545454545454</v>
      </c>
      <c r="U12" t="str">
        <f>'[49]Template '!$C$75</f>
        <v>n/a</v>
      </c>
      <c r="V12">
        <f>'[49]Template '!$C$76</f>
        <v>7.1428571428571425E-2</v>
      </c>
      <c r="W12">
        <f>'[49]Template '!$C$77</f>
        <v>0.48809523809523808</v>
      </c>
      <c r="X12">
        <f>'[49]Template '!$C$78</f>
        <v>0.49404761904761901</v>
      </c>
      <c r="Z12">
        <f>'[49]Template '!$C$80</f>
        <v>1200</v>
      </c>
      <c r="AA12">
        <f>'[49]Template '!$C$81</f>
        <v>30</v>
      </c>
      <c r="AB12">
        <f>'[49]Template '!$C$82</f>
        <v>1.5</v>
      </c>
      <c r="AC12">
        <f>'[49]Template '!$C$83</f>
        <v>2.5</v>
      </c>
      <c r="AD12">
        <f>'[49]Template '!$C$84</f>
        <v>1.5</v>
      </c>
      <c r="AE12">
        <f>'[49]Template '!$C$85</f>
        <v>2</v>
      </c>
      <c r="AG12">
        <f>'[49]Template '!$C$96</f>
        <v>0.75</v>
      </c>
      <c r="AH12">
        <f>'[49]Template '!$C$97</f>
        <v>0.27407407407407408</v>
      </c>
      <c r="AI12">
        <f>'[49]Template '!$C$98</f>
        <v>0</v>
      </c>
      <c r="AJ12">
        <f>'[49]Template '!$C$99</f>
        <v>0.66810966810966799</v>
      </c>
      <c r="AK12">
        <f>'[49]Template '!$C$100</f>
        <v>0.75238095238095237</v>
      </c>
      <c r="AM12">
        <f>'[49]Template '!$C$102</f>
        <v>1200</v>
      </c>
      <c r="AN12">
        <f>'[49]Template '!$C$103</f>
        <v>50</v>
      </c>
      <c r="AO12">
        <f>'[49]Template '!$C$104</f>
        <v>2.5</v>
      </c>
      <c r="AP12">
        <f>'[49]Template '!$C$105</f>
        <v>3</v>
      </c>
      <c r="AQ12">
        <f>'[49]Template '!$C$106</f>
        <v>2</v>
      </c>
      <c r="AR12">
        <f>'[49]Template '!$C$107</f>
        <v>2.5</v>
      </c>
      <c r="AT12">
        <f>'[49]Template '!$C$52</f>
        <v>0.34722222222222221</v>
      </c>
      <c r="AU12">
        <f>'[49]Template '!$C$53</f>
        <v>0.27407407407407408</v>
      </c>
      <c r="AV12">
        <f>'[49]Template '!$C$54</f>
        <v>0</v>
      </c>
      <c r="AW12">
        <f>'[49]Template '!$C$55</f>
        <v>0.28125</v>
      </c>
      <c r="AX12">
        <f>'[49]Template '!$C$56</f>
        <v>0.57301587301587309</v>
      </c>
      <c r="AZ12">
        <f>'[49]Template '!$C$58</f>
        <v>1200</v>
      </c>
      <c r="BA12">
        <f>'[49]Template '!$C$59</f>
        <v>35</v>
      </c>
      <c r="BB12">
        <f>'[49]Template '!$C$60</f>
        <v>2.5</v>
      </c>
      <c r="BC12">
        <f>'[49]Template '!$C$61</f>
        <v>2.5</v>
      </c>
      <c r="BD12">
        <f>'[49]Template '!$C$62</f>
        <v>2</v>
      </c>
      <c r="BE12">
        <f>'[49]Template '!$C$63</f>
        <v>2</v>
      </c>
      <c r="BG12">
        <f>'[49]Template '!$B$29</f>
        <v>0.3888888888888889</v>
      </c>
      <c r="BH12" t="str">
        <f>'[49]Template '!$B$30</f>
        <v>n/a</v>
      </c>
      <c r="BI12">
        <f>'[49]Template '!$B$31</f>
        <v>0.41666666666666663</v>
      </c>
      <c r="BJ12">
        <f>'[49]Template '!$B$32</f>
        <v>0.5625</v>
      </c>
      <c r="BK12">
        <f>'[49]Template '!$B$33</f>
        <v>0.52380952380952384</v>
      </c>
      <c r="BM12">
        <f>'[49]Template '!$B$52</f>
        <v>0.34722222222222221</v>
      </c>
      <c r="BN12">
        <f>'[49]Template '!$B$53</f>
        <v>0.27407407407407408</v>
      </c>
      <c r="BO12">
        <f>'[49]Template '!$B$54</f>
        <v>0</v>
      </c>
      <c r="BP12">
        <f>'[49]Template '!$B$55</f>
        <v>0.29629629629629628</v>
      </c>
      <c r="BQ12">
        <f>'[49]Template '!$B$56</f>
        <v>0.57301587301587309</v>
      </c>
      <c r="BS12">
        <f>'[49]Template '!$B$74</f>
        <v>0.65454545454545454</v>
      </c>
      <c r="BT12" t="str">
        <f>'[49]Template '!$B$75</f>
        <v>n/a</v>
      </c>
      <c r="BU12">
        <f>'[49]Template '!$B$76</f>
        <v>7.1428571428571425E-2</v>
      </c>
      <c r="BV12">
        <f>'[49]Template '!$B$77</f>
        <v>0.83333333333333326</v>
      </c>
      <c r="BW12">
        <f>'[49]Template '!$B$78</f>
        <v>0.49404761904761901</v>
      </c>
      <c r="BY12">
        <f>'[49]Template '!$B$96</f>
        <v>0.75</v>
      </c>
      <c r="BZ12">
        <f>'[49]Template '!$B$97</f>
        <v>0.27407407407407408</v>
      </c>
      <c r="CA12">
        <f>'[49]Template '!$B$98</f>
        <v>0</v>
      </c>
      <c r="CB12">
        <f>'[49]Template '!$B$99</f>
        <v>0.83333333333333337</v>
      </c>
      <c r="CC12">
        <f>'[49]Template '!$B$100</f>
        <v>0.75238095238095237</v>
      </c>
      <c r="CF12">
        <f>'[49]Template '!$Z$30</f>
        <v>0</v>
      </c>
      <c r="CG12">
        <f>'[49]Template '!$AB$75</f>
        <v>0</v>
      </c>
      <c r="CH12">
        <f>'[49]Template '!$C$89</f>
        <v>0</v>
      </c>
      <c r="CI12">
        <f>'[49]Template '!$AF$75</f>
        <v>0</v>
      </c>
      <c r="CJ12">
        <f>'[49]Template '!$AR$97</f>
        <v>1</v>
      </c>
      <c r="CK12">
        <f>'[49]Template '!$AS$97</f>
        <v>1</v>
      </c>
      <c r="CL12">
        <f>'[49]Template '!$AZ$97</f>
        <v>0.5</v>
      </c>
      <c r="CM12">
        <f>'[49]Template '!$BB$97</f>
        <v>0</v>
      </c>
      <c r="CN12">
        <f>'[49]Template '!$AU$53</f>
        <v>0.5</v>
      </c>
      <c r="CO12">
        <f>'[49]Template '!$AV$53</f>
        <v>0</v>
      </c>
      <c r="CP12">
        <f>'[49]Template '!$AY$53</f>
        <v>0.5</v>
      </c>
      <c r="CQ12">
        <f>'[49]Template '!$AX$53</f>
        <v>0.5</v>
      </c>
      <c r="CR12">
        <f>'[49]Template '!$AZ$53</f>
        <v>0</v>
      </c>
      <c r="CS12">
        <f>'[49]Template '!$BF$53</f>
        <v>0</v>
      </c>
      <c r="CT12">
        <f t="shared" si="1"/>
        <v>0</v>
      </c>
      <c r="CU12">
        <f t="shared" si="2"/>
        <v>4</v>
      </c>
      <c r="CV12">
        <f t="shared" si="3"/>
        <v>4</v>
      </c>
      <c r="CY12" t="str">
        <f>'[49]Template '!$E$2</f>
        <v>B</v>
      </c>
      <c r="CZ12">
        <f>'[49]Template '!$B$13</f>
        <v>2</v>
      </c>
      <c r="DA12" t="str">
        <f>'[49]Template '!$D$2</f>
        <v>n/a</v>
      </c>
      <c r="DB12">
        <f>'[49]Template '!$D$3</f>
        <v>0</v>
      </c>
      <c r="DC12">
        <f>'[49]Template '!$F$2</f>
        <v>45454</v>
      </c>
      <c r="DE12">
        <f>'[49]Template '!$B$12</f>
        <v>24</v>
      </c>
      <c r="DF12" t="str">
        <f>'[49]Template '!$B$14</f>
        <v>12/22</v>
      </c>
      <c r="DG12" t="str">
        <f>'[49]Template '!$B$15</f>
        <v>4/23</v>
      </c>
      <c r="DH12">
        <f>'[49]Template '!$B$16</f>
        <v>18</v>
      </c>
      <c r="DI12">
        <f>'[49]Template '!$B$17</f>
        <v>0</v>
      </c>
      <c r="DJ12">
        <f>'[49]Template '!$B$18</f>
        <v>0</v>
      </c>
      <c r="DK12">
        <f>'[49]Template '!$B$19</f>
        <v>0</v>
      </c>
      <c r="DL12">
        <f>'[49]Template '!$B$20</f>
        <v>0</v>
      </c>
      <c r="DM12">
        <f>'[49]Template '!$B$21</f>
        <v>0</v>
      </c>
      <c r="DN12">
        <f>'[49]Template '!$B$22</f>
        <v>0</v>
      </c>
      <c r="DP12">
        <f>'[49]Template '!$I$13</f>
        <v>4</v>
      </c>
      <c r="DQ12">
        <f>'[49]Template '!$I$14</f>
        <v>3</v>
      </c>
      <c r="DR12">
        <f>'[49]Template '!$I$15</f>
        <v>3</v>
      </c>
      <c r="DS12">
        <f>'[49]Template '!$I$16</f>
        <v>3</v>
      </c>
      <c r="DT12">
        <f>'[49]Template '!$I$17</f>
        <v>3</v>
      </c>
      <c r="DU12">
        <f>'[49]Template '!$I$18</f>
        <v>3</v>
      </c>
      <c r="DV12">
        <f>'[49]Template '!$I$19</f>
        <v>5</v>
      </c>
      <c r="DW12">
        <f>'[49]Template '!$I$20</f>
        <v>3</v>
      </c>
      <c r="DX12">
        <f>'[49]Template '!$I$21</f>
        <v>2</v>
      </c>
      <c r="DY12">
        <f>'[49]Template '!$I$22</f>
        <v>3</v>
      </c>
      <c r="DZ12">
        <f>'[49]Template '!$I$23</f>
        <v>4</v>
      </c>
      <c r="EA12">
        <f>'[49]Template '!$I$24</f>
        <v>0</v>
      </c>
      <c r="ED12">
        <f>'[49]Template '!$L$13</f>
        <v>2</v>
      </c>
      <c r="EE12">
        <f>'[49]Template '!$L$14</f>
        <v>3</v>
      </c>
      <c r="EF12">
        <f>'[49]Template '!$L$15</f>
        <v>3</v>
      </c>
      <c r="EG12">
        <f>'[49]Template '!$L$16</f>
        <v>4</v>
      </c>
      <c r="EH12">
        <f>'[49]Template '!$L$17</f>
        <v>2</v>
      </c>
      <c r="EI12">
        <f>'[49]Template '!$L$18</f>
        <v>2</v>
      </c>
      <c r="EJ12">
        <f>'[49]Template '!$L$19</f>
        <v>4</v>
      </c>
      <c r="EK12">
        <f>'[49]Template '!$L$20</f>
        <v>3</v>
      </c>
      <c r="EL12">
        <f>'[49]Template '!$L$21</f>
        <v>3</v>
      </c>
      <c r="EM12">
        <f>'[49]Template '!$L$22</f>
        <v>4</v>
      </c>
      <c r="EN12">
        <f>'[49]Template '!$L$23</f>
        <v>4</v>
      </c>
      <c r="EQ12">
        <f>'[49]Template '!$O$13</f>
        <v>4</v>
      </c>
      <c r="ER12">
        <f>'[49]Template '!$O$14</f>
        <v>2</v>
      </c>
      <c r="ES12">
        <f>'[49]Template '!$O$15</f>
        <v>2</v>
      </c>
      <c r="ET12">
        <f>'[49]Template '!$O$16</f>
        <v>2</v>
      </c>
      <c r="EU12">
        <f>'[49]Template '!$O$17</f>
        <v>2</v>
      </c>
      <c r="EV12">
        <f>'[49]Template '!$O$18</f>
        <v>1</v>
      </c>
      <c r="EW12">
        <f>'[49]Template '!$O$19</f>
        <v>1</v>
      </c>
      <c r="EX12">
        <f>'[49]Template '!$O$20</f>
        <v>3</v>
      </c>
      <c r="EY12">
        <f>'[49]Template '!$O$21</f>
        <v>1</v>
      </c>
      <c r="EZ12">
        <f>'[49]Template '!$O$22</f>
        <v>2</v>
      </c>
      <c r="FA12">
        <f>'[49]Template '!$O$23</f>
        <v>4</v>
      </c>
      <c r="FL12">
        <f>'[49]Template '!$D$5</f>
        <v>0.47296626984126988</v>
      </c>
      <c r="FM12">
        <f>'[49]Template '!$D$6</f>
        <v>0.51333874458874451</v>
      </c>
      <c r="FN12">
        <f>'[49]Template '!$D$7</f>
        <v>0.29812169312169312</v>
      </c>
      <c r="FO12">
        <f>'[49]Template '!$D$8</f>
        <v>0.52195767195767195</v>
      </c>
      <c r="FP12">
        <f>'[49]Template '!$D$9</f>
        <v>0.45159609487734487</v>
      </c>
      <c r="FR12">
        <f>'[49]Template '!$E$5</f>
        <v>0.46837068160597572</v>
      </c>
      <c r="FS12">
        <f>'[49]Template '!$E$6</f>
        <v>0.42702922077922079</v>
      </c>
      <c r="FT12">
        <f>'[49]Template '!$E$7</f>
        <v>0.29511243386243385</v>
      </c>
      <c r="FU12">
        <f>'[49]Template '!$E$8</f>
        <v>0.48891293891293885</v>
      </c>
      <c r="FV12">
        <f>'[49]Template '!$E$9</f>
        <v>0.41985631879014229</v>
      </c>
    </row>
    <row r="13" spans="1:178" x14ac:dyDescent="0.2">
      <c r="A13" t="str">
        <f>'[50]Template '!$A$2</f>
        <v>M_073</v>
      </c>
      <c r="C13" t="str">
        <f t="shared" si="0"/>
        <v>M_073.xlsx</v>
      </c>
      <c r="E13" t="str">
        <f>'[50]Template '!$C$2</f>
        <v>mSTAT only</v>
      </c>
      <c r="G13">
        <f>'[50]Template '!$C$29</f>
        <v>0.88888888888888884</v>
      </c>
      <c r="H13" t="str">
        <f>'[50]Template '!$C$30</f>
        <v>n/a</v>
      </c>
      <c r="I13">
        <f>'[50]Template '!$C$31</f>
        <v>0.58333333333333326</v>
      </c>
      <c r="J13">
        <f>'[50]Template '!$C$32</f>
        <v>0.57352941176470584</v>
      </c>
      <c r="K13">
        <f>'[50]Template '!$C$33</f>
        <v>0.63095238095238093</v>
      </c>
      <c r="M13">
        <f>'[50]Template '!$C$80</f>
        <v>1064</v>
      </c>
      <c r="N13">
        <f>'[50]Template '!$C$81</f>
        <v>45</v>
      </c>
      <c r="O13">
        <f>'[50]Template '!$C$82</f>
        <v>3</v>
      </c>
      <c r="P13">
        <f>'[50]Template '!$C$83</f>
        <v>2</v>
      </c>
      <c r="Q13">
        <f>'[50]Template '!$C$84</f>
        <v>3.5</v>
      </c>
      <c r="R13">
        <f>'[50]Template '!$C$85</f>
        <v>2</v>
      </c>
      <c r="T13">
        <f>'[50]Template '!$C$74</f>
        <v>0.60909090909090913</v>
      </c>
      <c r="U13" t="str">
        <f>'[50]Template '!$C$75</f>
        <v>n/a</v>
      </c>
      <c r="V13">
        <f>'[50]Template '!$C$76</f>
        <v>0.5357142857142857</v>
      </c>
      <c r="W13">
        <f>'[50]Template '!$C$77</f>
        <v>0.48809523809523803</v>
      </c>
      <c r="X13">
        <f>'[50]Template '!$C$78</f>
        <v>0.51388888888888884</v>
      </c>
      <c r="Z13">
        <f>'[50]Template '!$C$80</f>
        <v>1064</v>
      </c>
      <c r="AA13">
        <f>'[50]Template '!$C$81</f>
        <v>45</v>
      </c>
      <c r="AB13">
        <f>'[50]Template '!$C$82</f>
        <v>3</v>
      </c>
      <c r="AC13">
        <f>'[50]Template '!$C$83</f>
        <v>2</v>
      </c>
      <c r="AD13">
        <f>'[50]Template '!$C$84</f>
        <v>3.5</v>
      </c>
      <c r="AE13">
        <f>'[50]Template '!$C$85</f>
        <v>2</v>
      </c>
      <c r="AG13">
        <f>'[50]Template '!$C$96</f>
        <v>0.66666666666666663</v>
      </c>
      <c r="AH13">
        <f>'[50]Template '!$C$97</f>
        <v>0.37777777777777777</v>
      </c>
      <c r="AI13">
        <f>'[50]Template '!$C$98</f>
        <v>0.5</v>
      </c>
      <c r="AJ13">
        <f>'[50]Template '!$C$99</f>
        <v>0.58369408369408371</v>
      </c>
      <c r="AK13">
        <f>'[50]Template '!$C$100</f>
        <v>0.67579365079365072</v>
      </c>
      <c r="AM13">
        <f>'[50]Template '!$C$102</f>
        <v>1082</v>
      </c>
      <c r="AN13">
        <f>'[50]Template '!$C$103</f>
        <v>50</v>
      </c>
      <c r="AO13">
        <f>'[50]Template '!$C$104</f>
        <v>2.5</v>
      </c>
      <c r="AP13">
        <f>'[50]Template '!$C$105</f>
        <v>2.5</v>
      </c>
      <c r="AQ13">
        <f>'[50]Template '!$C$106</f>
        <v>3</v>
      </c>
      <c r="AR13">
        <f>'[50]Template '!$C$107</f>
        <v>2.5</v>
      </c>
      <c r="AT13">
        <f>'[50]Template '!$C$52</f>
        <v>0.59722222222222232</v>
      </c>
      <c r="AU13">
        <f>'[50]Template '!$C$53</f>
        <v>0.37777777777777777</v>
      </c>
      <c r="AV13">
        <f>'[50]Template '!$C$54</f>
        <v>0.5</v>
      </c>
      <c r="AW13">
        <f>'[50]Template '!$C$55</f>
        <v>0.16220238095238096</v>
      </c>
      <c r="AX13">
        <f>'[50]Template '!$C$56</f>
        <v>0.38769841269841271</v>
      </c>
      <c r="AZ13">
        <f>'[50]Template '!$C$58</f>
        <v>1200</v>
      </c>
      <c r="BA13">
        <f>'[50]Template '!$C$59</f>
        <v>37.5</v>
      </c>
      <c r="BB13">
        <f>'[50]Template '!$C$60</f>
        <v>2.5</v>
      </c>
      <c r="BC13">
        <f>'[50]Template '!$C$61</f>
        <v>2</v>
      </c>
      <c r="BD13">
        <f>'[50]Template '!$C$62</f>
        <v>3</v>
      </c>
      <c r="BE13">
        <f>'[50]Template '!$C$63</f>
        <v>1.5</v>
      </c>
      <c r="BG13">
        <f>'[50]Template '!$B$29</f>
        <v>0.88888888888888884</v>
      </c>
      <c r="BH13" t="str">
        <f>'[50]Template '!$B$30</f>
        <v>n/a</v>
      </c>
      <c r="BI13">
        <f>'[50]Template '!$B$31</f>
        <v>0.58333333333333326</v>
      </c>
      <c r="BJ13">
        <f>'[50]Template '!$B$32</f>
        <v>0.6875</v>
      </c>
      <c r="BK13">
        <f>'[50]Template '!$B$33</f>
        <v>0.63095238095238093</v>
      </c>
      <c r="BM13">
        <f>'[50]Template '!$B$52</f>
        <v>0.59722222222222232</v>
      </c>
      <c r="BN13">
        <f>'[50]Template '!$B$53</f>
        <v>0.37777777777777777</v>
      </c>
      <c r="BO13">
        <f>'[50]Template '!$B$54</f>
        <v>0.5</v>
      </c>
      <c r="BP13">
        <f>'[50]Template '!$B$55</f>
        <v>0.25</v>
      </c>
      <c r="BQ13">
        <f>'[50]Template '!$B$56</f>
        <v>0.38769841269841271</v>
      </c>
      <c r="BS13">
        <f>'[50]Template '!$B$74</f>
        <v>0.60909090909090913</v>
      </c>
      <c r="BT13" t="str">
        <f>'[50]Template '!$B$75</f>
        <v>n/a</v>
      </c>
      <c r="BU13">
        <f>'[50]Template '!$B$76</f>
        <v>0.5357142857142857</v>
      </c>
      <c r="BV13">
        <f>'[50]Template '!$B$77</f>
        <v>0.52083333333333326</v>
      </c>
      <c r="BW13">
        <f>'[50]Template '!$B$78</f>
        <v>0.51388888888888884</v>
      </c>
      <c r="BY13">
        <f>'[50]Template '!$B$96</f>
        <v>0.66666666666666663</v>
      </c>
      <c r="BZ13">
        <f>'[50]Template '!$B$97</f>
        <v>0.37777777777777777</v>
      </c>
      <c r="CA13">
        <f>'[50]Template '!$B$98</f>
        <v>0.5</v>
      </c>
      <c r="CB13">
        <f>'[50]Template '!$B$99</f>
        <v>0.80555555555555547</v>
      </c>
      <c r="CC13">
        <f>'[50]Template '!$B$100</f>
        <v>0.67579365079365072</v>
      </c>
      <c r="CF13">
        <f>'[50]Template '!$Z$30</f>
        <v>0</v>
      </c>
      <c r="CG13">
        <f>'[50]Template '!$AB$75</f>
        <v>0</v>
      </c>
      <c r="CH13">
        <f>'[50]Template '!$C$89</f>
        <v>0</v>
      </c>
      <c r="CI13">
        <f>'[50]Template '!$AF$75</f>
        <v>0</v>
      </c>
      <c r="CJ13">
        <f>'[50]Template '!$AR$97</f>
        <v>0</v>
      </c>
      <c r="CK13">
        <f>'[50]Template '!$AS$97</f>
        <v>1</v>
      </c>
      <c r="CL13">
        <f>'[50]Template '!$AZ$97</f>
        <v>1</v>
      </c>
      <c r="CM13">
        <f>'[50]Template '!$BB$97</f>
        <v>1</v>
      </c>
      <c r="CN13">
        <f>'[50]Template '!$AU$53</f>
        <v>0</v>
      </c>
      <c r="CO13">
        <f>'[50]Template '!$AV$53</f>
        <v>0</v>
      </c>
      <c r="CP13">
        <f>'[50]Template '!$AY$53</f>
        <v>0</v>
      </c>
      <c r="CQ13">
        <f>'[50]Template '!$AX$53</f>
        <v>0</v>
      </c>
      <c r="CR13">
        <f>'[50]Template '!$AZ$53</f>
        <v>0</v>
      </c>
      <c r="CS13">
        <f>'[50]Template '!$BF$53</f>
        <v>0</v>
      </c>
      <c r="CT13">
        <f t="shared" si="1"/>
        <v>0</v>
      </c>
      <c r="CU13">
        <f t="shared" si="2"/>
        <v>3</v>
      </c>
      <c r="CV13">
        <f t="shared" si="3"/>
        <v>3</v>
      </c>
      <c r="CY13" t="str">
        <f>'[50]Template '!$E$2</f>
        <v>A</v>
      </c>
      <c r="CZ13">
        <f>'[50]Template '!$B$13</f>
        <v>2</v>
      </c>
      <c r="DA13" t="str">
        <f>'[50]Template '!$D$2</f>
        <v>n/a</v>
      </c>
      <c r="DB13">
        <f>'[50]Template '!$D$3</f>
        <v>0</v>
      </c>
      <c r="DC13">
        <f>'[50]Template '!$F$2</f>
        <v>45454</v>
      </c>
      <c r="DE13">
        <f>'[50]Template '!$B$12</f>
        <v>37</v>
      </c>
      <c r="DF13" t="str">
        <f>'[50]Template '!$B$14</f>
        <v>1/17</v>
      </c>
      <c r="DG13" t="str">
        <f>'[50]Template '!$B$15</f>
        <v>3/17</v>
      </c>
      <c r="DH13">
        <f>'[50]Template '!$B$16</f>
        <v>168</v>
      </c>
      <c r="DI13">
        <f>'[50]Template '!$B$17</f>
        <v>0</v>
      </c>
      <c r="DJ13">
        <f>'[50]Template '!$B$18</f>
        <v>0</v>
      </c>
      <c r="DK13">
        <f>'[50]Template '!$B$19</f>
        <v>1</v>
      </c>
      <c r="DL13">
        <f>'[50]Template '!$B$20</f>
        <v>2</v>
      </c>
      <c r="DM13">
        <f>'[50]Template '!$B$21</f>
        <v>1</v>
      </c>
      <c r="DN13">
        <f>'[50]Template '!$B$22</f>
        <v>0</v>
      </c>
      <c r="DP13">
        <f>'[50]Template '!$I$13</f>
        <v>4</v>
      </c>
      <c r="DQ13">
        <f>'[50]Template '!$I$14</f>
        <v>4</v>
      </c>
      <c r="DR13">
        <f>'[50]Template '!$I$15</f>
        <v>4</v>
      </c>
      <c r="DS13">
        <f>'[50]Template '!$I$16</f>
        <v>4</v>
      </c>
      <c r="DT13">
        <f>'[50]Template '!$I$17</f>
        <v>4</v>
      </c>
      <c r="DU13">
        <f>'[50]Template '!$I$18</f>
        <v>3</v>
      </c>
      <c r="DV13">
        <f>'[50]Template '!$I$19</f>
        <v>5</v>
      </c>
      <c r="DW13">
        <f>'[50]Template '!$I$20</f>
        <v>3</v>
      </c>
      <c r="DX13">
        <f>'[50]Template '!$I$21</f>
        <v>4</v>
      </c>
      <c r="DY13">
        <f>'[50]Template '!$I$22</f>
        <v>3</v>
      </c>
      <c r="DZ13">
        <f>'[50]Template '!$I$23</f>
        <v>5</v>
      </c>
      <c r="EA13">
        <f>'[50]Template '!$I$24</f>
        <v>1</v>
      </c>
      <c r="ED13">
        <f>'[50]Template '!$L$13</f>
        <v>4</v>
      </c>
      <c r="EE13">
        <f>'[50]Template '!$L$14</f>
        <v>4</v>
      </c>
      <c r="EF13">
        <f>'[50]Template '!$L$15</f>
        <v>4</v>
      </c>
      <c r="EG13">
        <f>'[50]Template '!$L$16</f>
        <v>4</v>
      </c>
      <c r="EH13">
        <f>'[50]Template '!$L$17</f>
        <v>4</v>
      </c>
      <c r="EI13">
        <f>'[50]Template '!$L$18</f>
        <v>4</v>
      </c>
      <c r="EJ13">
        <f>'[50]Template '!$L$19</f>
        <v>5</v>
      </c>
      <c r="EK13">
        <f>'[50]Template '!$L$20</f>
        <v>4</v>
      </c>
      <c r="EL13">
        <f>'[50]Template '!$L$21</f>
        <v>4</v>
      </c>
      <c r="EM13">
        <f>'[50]Template '!$L$22</f>
        <v>4</v>
      </c>
      <c r="EN13">
        <f>'[50]Template '!$L$23</f>
        <v>5</v>
      </c>
      <c r="EQ13">
        <f>'[50]Template '!$O$13</f>
        <v>4</v>
      </c>
      <c r="ER13">
        <f>'[50]Template '!$O$14</f>
        <v>4</v>
      </c>
      <c r="ES13">
        <f>'[50]Template '!$O$15</f>
        <v>3</v>
      </c>
      <c r="ET13">
        <f>'[50]Template '!$O$16</f>
        <v>4</v>
      </c>
      <c r="EU13">
        <f>'[50]Template '!$O$17</f>
        <v>4</v>
      </c>
      <c r="EV13">
        <f>'[50]Template '!$O$18</f>
        <v>2</v>
      </c>
      <c r="EW13">
        <f>'[50]Template '!$O$19</f>
        <v>2</v>
      </c>
      <c r="EX13">
        <f>'[50]Template '!$O$20</f>
        <v>4</v>
      </c>
      <c r="EY13">
        <f>'[50]Template '!$O$21</f>
        <v>2</v>
      </c>
      <c r="EZ13">
        <f>'[50]Template '!$O$22</f>
        <v>3</v>
      </c>
      <c r="FA13">
        <f>'[50]Template '!$O$23</f>
        <v>4</v>
      </c>
      <c r="FL13">
        <f>'[50]Template '!$D$5</f>
        <v>0.69766865079365081</v>
      </c>
      <c r="FM13">
        <f>'[50]Template '!$D$6</f>
        <v>0.54488185425685431</v>
      </c>
      <c r="FN13">
        <f>'[50]Template '!$D$7</f>
        <v>0.42253968253968255</v>
      </c>
      <c r="FO13">
        <f>'[50]Template '!$D$8</f>
        <v>0.60515873015873001</v>
      </c>
      <c r="FP13">
        <f>'[50]Template '!$D$9</f>
        <v>0.56756222943722934</v>
      </c>
      <c r="FR13">
        <f>'[50]Template '!$E$5</f>
        <v>0.66917600373482722</v>
      </c>
      <c r="FS13">
        <f>'[50]Template '!$E$6</f>
        <v>0.53669733044733048</v>
      </c>
      <c r="FT13">
        <f>'[50]Template '!$E$7</f>
        <v>0.40498015873015875</v>
      </c>
      <c r="FU13">
        <f>'[50]Template '!$E$8</f>
        <v>0.56078643578643572</v>
      </c>
      <c r="FV13">
        <f>'[50]Template '!$E$9</f>
        <v>0.542909982174688</v>
      </c>
    </row>
    <row r="14" spans="1:178" x14ac:dyDescent="0.2">
      <c r="A14" t="str">
        <f>'[51]Template '!$A$2</f>
        <v>M_072</v>
      </c>
      <c r="C14" t="str">
        <f t="shared" si="0"/>
        <v>M_072.xlsx</v>
      </c>
      <c r="E14" t="str">
        <f>'[51]Template '!$C$2</f>
        <v>mSTAT only</v>
      </c>
      <c r="G14">
        <f>'[51]Template '!$C$29</f>
        <v>0.3888888888888889</v>
      </c>
      <c r="H14" t="str">
        <f>'[51]Template '!$C$30</f>
        <v>n/a</v>
      </c>
      <c r="I14">
        <f>'[51]Template '!$C$31</f>
        <v>0</v>
      </c>
      <c r="J14">
        <f>'[51]Template '!$C$32</f>
        <v>0.66911764705882359</v>
      </c>
      <c r="K14">
        <f>'[51]Template '!$C$33</f>
        <v>0.66269841269841268</v>
      </c>
      <c r="M14">
        <f>'[51]Template '!$C$80</f>
        <v>748</v>
      </c>
      <c r="N14">
        <f>'[51]Template '!$C$81</f>
        <v>40</v>
      </c>
      <c r="O14">
        <f>'[51]Template '!$C$82</f>
        <v>3</v>
      </c>
      <c r="P14">
        <f>'[51]Template '!$C$83</f>
        <v>2</v>
      </c>
      <c r="Q14">
        <f>'[51]Template '!$C$84</f>
        <v>3</v>
      </c>
      <c r="R14">
        <f>'[51]Template '!$C$85</f>
        <v>1</v>
      </c>
      <c r="T14">
        <f>'[51]Template '!$C$74</f>
        <v>0.60909090909090913</v>
      </c>
      <c r="U14" t="str">
        <f>'[51]Template '!$C$75</f>
        <v>n/a</v>
      </c>
      <c r="V14">
        <f>'[51]Template '!$C$76</f>
        <v>7.1428571428571425E-2</v>
      </c>
      <c r="W14">
        <f>'[51]Template '!$C$77</f>
        <v>0.52380952380952372</v>
      </c>
      <c r="X14">
        <f>'[51]Template '!$C$78</f>
        <v>0.76190476190476186</v>
      </c>
      <c r="Z14">
        <f>'[51]Template '!$C$80</f>
        <v>748</v>
      </c>
      <c r="AA14">
        <f>'[51]Template '!$C$81</f>
        <v>40</v>
      </c>
      <c r="AB14">
        <f>'[51]Template '!$C$82</f>
        <v>3</v>
      </c>
      <c r="AC14">
        <f>'[51]Template '!$C$83</f>
        <v>2</v>
      </c>
      <c r="AD14">
        <f>'[51]Template '!$C$84</f>
        <v>3</v>
      </c>
      <c r="AE14">
        <f>'[51]Template '!$C$85</f>
        <v>1</v>
      </c>
      <c r="AG14">
        <f>'[51]Template '!$C$96</f>
        <v>0.5</v>
      </c>
      <c r="AH14">
        <f>'[51]Template '!$C$97</f>
        <v>0.26666666666666666</v>
      </c>
      <c r="AI14">
        <f>'[51]Template '!$C$98</f>
        <v>0</v>
      </c>
      <c r="AJ14">
        <f>'[51]Template '!$C$99</f>
        <v>0.51659451659451661</v>
      </c>
      <c r="AK14">
        <f>'[51]Template '!$C$100</f>
        <v>0.81825396825396834</v>
      </c>
      <c r="AM14">
        <f>'[51]Template '!$C$102</f>
        <v>1074</v>
      </c>
      <c r="AN14">
        <f>'[51]Template '!$C$103</f>
        <v>60</v>
      </c>
      <c r="AO14">
        <f>'[51]Template '!$C$104</f>
        <v>2</v>
      </c>
      <c r="AP14">
        <f>'[51]Template '!$C$105</f>
        <v>2</v>
      </c>
      <c r="AQ14">
        <f>'[51]Template '!$C$106</f>
        <v>3</v>
      </c>
      <c r="AR14">
        <f>'[51]Template '!$C$107</f>
        <v>2</v>
      </c>
      <c r="AT14">
        <f>'[51]Template '!$C$52</f>
        <v>0.47222222222222221</v>
      </c>
      <c r="AU14">
        <f>'[51]Template '!$C$53</f>
        <v>0.26666666666666666</v>
      </c>
      <c r="AV14">
        <f>'[51]Template '!$C$54</f>
        <v>0</v>
      </c>
      <c r="AW14">
        <f>'[51]Template '!$C$55</f>
        <v>0.10416666666666667</v>
      </c>
      <c r="AX14">
        <f>'[51]Template '!$C$56</f>
        <v>0.80634920634920648</v>
      </c>
      <c r="AZ14">
        <f>'[51]Template '!$C$58</f>
        <v>1200</v>
      </c>
      <c r="BA14">
        <f>'[51]Template '!$C$59</f>
        <v>60</v>
      </c>
      <c r="BB14">
        <f>'[51]Template '!$C$60</f>
        <v>2</v>
      </c>
      <c r="BC14">
        <f>'[51]Template '!$C$61</f>
        <v>2</v>
      </c>
      <c r="BD14">
        <f>'[51]Template '!$C$62</f>
        <v>3</v>
      </c>
      <c r="BE14">
        <f>'[51]Template '!$C$63</f>
        <v>2</v>
      </c>
      <c r="BG14">
        <f>'[51]Template '!$B$29</f>
        <v>0.3888888888888889</v>
      </c>
      <c r="BH14" t="str">
        <f>'[51]Template '!$B$30</f>
        <v>n/a</v>
      </c>
      <c r="BI14">
        <f>'[51]Template '!$B$31</f>
        <v>0</v>
      </c>
      <c r="BJ14">
        <f>'[51]Template '!$B$32</f>
        <v>0.6875</v>
      </c>
      <c r="BK14">
        <f>'[51]Template '!$B$33</f>
        <v>0.66269841269841268</v>
      </c>
      <c r="BM14">
        <f>'[51]Template '!$B$52</f>
        <v>0.47222222222222221</v>
      </c>
      <c r="BN14">
        <f>'[51]Template '!$B$53</f>
        <v>0.26666666666666666</v>
      </c>
      <c r="BO14">
        <f>'[51]Template '!$B$54</f>
        <v>0</v>
      </c>
      <c r="BP14">
        <f>'[51]Template '!$B$55</f>
        <v>0.1851851851851852</v>
      </c>
      <c r="BQ14">
        <f>'[51]Template '!$B$56</f>
        <v>0.80634920634920648</v>
      </c>
      <c r="BS14">
        <f>'[51]Template '!$B$74</f>
        <v>0.60909090909090913</v>
      </c>
      <c r="BT14" t="str">
        <f>'[51]Template '!$B$75</f>
        <v>n/a</v>
      </c>
      <c r="BU14">
        <f>'[51]Template '!$B$76</f>
        <v>7.1428571428571425E-2</v>
      </c>
      <c r="BV14">
        <f>'[51]Template '!$B$77</f>
        <v>0.70833333333333326</v>
      </c>
      <c r="BW14">
        <f>'[51]Template '!$B$78</f>
        <v>0.76190476190476186</v>
      </c>
      <c r="BY14">
        <f>'[51]Template '!$B$96</f>
        <v>0.5</v>
      </c>
      <c r="BZ14">
        <f>'[51]Template '!$B$97</f>
        <v>0.26666666666666666</v>
      </c>
      <c r="CA14">
        <f>'[51]Template '!$B$98</f>
        <v>0</v>
      </c>
      <c r="CB14">
        <f>'[51]Template '!$B$99</f>
        <v>0.88888888888888884</v>
      </c>
      <c r="CC14">
        <f>'[51]Template '!$B$100</f>
        <v>0.81825396825396834</v>
      </c>
      <c r="CF14">
        <f>'[51]Template '!$Z$30</f>
        <v>0</v>
      </c>
      <c r="CG14">
        <f>'[51]Template '!$AB$75</f>
        <v>0</v>
      </c>
      <c r="CH14">
        <f>'[51]Template '!$C$89</f>
        <v>0</v>
      </c>
      <c r="CI14">
        <f>'[51]Template '!$AF$75</f>
        <v>0</v>
      </c>
      <c r="CJ14">
        <f>'[51]Template '!$AR$97</f>
        <v>1</v>
      </c>
      <c r="CK14">
        <f>'[51]Template '!$AS$97</f>
        <v>0</v>
      </c>
      <c r="CL14">
        <f>'[51]Template '!$AZ$97</f>
        <v>1</v>
      </c>
      <c r="CM14">
        <f>'[51]Template '!$BB$97</f>
        <v>0</v>
      </c>
      <c r="CN14">
        <f>'[51]Template '!$AU$53</f>
        <v>1</v>
      </c>
      <c r="CO14">
        <f>'[51]Template '!$AV$53</f>
        <v>0</v>
      </c>
      <c r="CP14">
        <f>'[51]Template '!$AY$53</f>
        <v>0</v>
      </c>
      <c r="CQ14">
        <f>'[51]Template '!$AX$53</f>
        <v>0</v>
      </c>
      <c r="CR14">
        <f>'[51]Template '!$AZ$53</f>
        <v>0</v>
      </c>
      <c r="CS14">
        <f>'[51]Template '!$BF$53</f>
        <v>0</v>
      </c>
      <c r="CT14">
        <f t="shared" si="1"/>
        <v>0</v>
      </c>
      <c r="CU14">
        <f t="shared" si="2"/>
        <v>3</v>
      </c>
      <c r="CV14">
        <f t="shared" si="3"/>
        <v>3</v>
      </c>
      <c r="CY14" t="str">
        <f>'[51]Template '!$E$2</f>
        <v>A</v>
      </c>
      <c r="CZ14">
        <f>'[51]Template '!$B$13</f>
        <v>2</v>
      </c>
      <c r="DA14" t="str">
        <f>'[51]Template '!$D$2</f>
        <v>n/a</v>
      </c>
      <c r="DB14">
        <f>'[51]Template '!$D$3</f>
        <v>0</v>
      </c>
      <c r="DC14">
        <f>'[51]Template '!$F$2</f>
        <v>45457</v>
      </c>
      <c r="DE14">
        <f>'[51]Template '!$B$12</f>
        <v>20</v>
      </c>
      <c r="DF14" t="str">
        <f>'[51]Template '!$B$14</f>
        <v>9/22</v>
      </c>
      <c r="DG14" t="str">
        <f>'[51]Template '!$B$15</f>
        <v>2/23</v>
      </c>
      <c r="DH14">
        <f>'[51]Template '!$B$16</f>
        <v>24</v>
      </c>
      <c r="DI14">
        <f>'[51]Template '!$B$17</f>
        <v>0</v>
      </c>
      <c r="DJ14">
        <f>'[51]Template '!$B$18</f>
        <v>0</v>
      </c>
      <c r="DK14">
        <f>'[51]Template '!$B$19</f>
        <v>0</v>
      </c>
      <c r="DL14">
        <f>'[51]Template '!$B$20</f>
        <v>0</v>
      </c>
      <c r="DM14">
        <f>'[51]Template '!$B$21</f>
        <v>0</v>
      </c>
      <c r="DN14">
        <f>'[51]Template '!$B$22</f>
        <v>0</v>
      </c>
      <c r="DP14">
        <f>'[51]Template '!$I$13</f>
        <v>5</v>
      </c>
      <c r="DQ14">
        <f>'[51]Template '!$I$14</f>
        <v>5</v>
      </c>
      <c r="DR14">
        <f>'[51]Template '!$I$15</f>
        <v>4</v>
      </c>
      <c r="DS14">
        <f>'[51]Template '!$I$16</f>
        <v>5</v>
      </c>
      <c r="DT14">
        <f>'[51]Template '!$I$17</f>
        <v>4</v>
      </c>
      <c r="DU14">
        <f>'[51]Template '!$I$18</f>
        <v>5</v>
      </c>
      <c r="DV14">
        <f>'[51]Template '!$I$19</f>
        <v>5</v>
      </c>
      <c r="DW14">
        <f>'[51]Template '!$I$20</f>
        <v>4</v>
      </c>
      <c r="DX14">
        <f>'[51]Template '!$I$21</f>
        <v>3</v>
      </c>
      <c r="DY14">
        <f>'[51]Template '!$I$22</f>
        <v>3</v>
      </c>
      <c r="DZ14">
        <f>'[51]Template '!$I$23</f>
        <v>4</v>
      </c>
      <c r="EA14">
        <f>'[51]Template '!$I$24</f>
        <v>1.5</v>
      </c>
      <c r="ED14">
        <f>'[51]Template '!$L$13</f>
        <v>5</v>
      </c>
      <c r="EE14">
        <f>'[51]Template '!$L$14</f>
        <v>4</v>
      </c>
      <c r="EF14">
        <f>'[51]Template '!$L$15</f>
        <v>4</v>
      </c>
      <c r="EG14">
        <f>'[51]Template '!$L$16</f>
        <v>4</v>
      </c>
      <c r="EH14">
        <f>'[51]Template '!$L$17</f>
        <v>3</v>
      </c>
      <c r="EI14">
        <f>'[51]Template '!$L$18</f>
        <v>4</v>
      </c>
      <c r="EJ14">
        <f>'[51]Template '!$L$19</f>
        <v>5</v>
      </c>
      <c r="EK14">
        <f>'[51]Template '!$L$20</f>
        <v>5</v>
      </c>
      <c r="EL14">
        <f>'[51]Template '!$L$21</f>
        <v>3</v>
      </c>
      <c r="EM14">
        <f>'[51]Template '!$L$22</f>
        <v>3</v>
      </c>
      <c r="EN14">
        <f>'[51]Template '!$L$23</f>
        <v>4</v>
      </c>
      <c r="EQ14">
        <f>'[51]Template '!$O$13</f>
        <v>3</v>
      </c>
      <c r="ER14">
        <f>'[51]Template '!$O$14</f>
        <v>3</v>
      </c>
      <c r="ES14">
        <f>'[51]Template '!$O$15</f>
        <v>2</v>
      </c>
      <c r="ET14">
        <f>'[51]Template '!$O$16</f>
        <v>4</v>
      </c>
      <c r="EU14">
        <f>'[51]Template '!$O$17</f>
        <v>0</v>
      </c>
      <c r="EV14">
        <f>'[51]Template '!$O$18</f>
        <v>3</v>
      </c>
      <c r="EW14">
        <f>'[51]Template '!$O$19</f>
        <v>2</v>
      </c>
      <c r="EX14">
        <f>'[51]Template '!$O$20</f>
        <v>3</v>
      </c>
      <c r="EY14">
        <f>'[51]Template '!$O$21</f>
        <v>3</v>
      </c>
      <c r="EZ14">
        <f>'[51]Template '!$O$22</f>
        <v>3</v>
      </c>
      <c r="FA14">
        <f>'[51]Template '!$O$23</f>
        <v>3</v>
      </c>
      <c r="FL14">
        <f>'[51]Template '!$D$5</f>
        <v>0.43477182539682535</v>
      </c>
      <c r="FM14">
        <f>'[51]Template '!$D$6</f>
        <v>0.53768939393939386</v>
      </c>
      <c r="FN14">
        <f>'[51]Template '!$D$7</f>
        <v>0.34608465608465611</v>
      </c>
      <c r="FO14">
        <f>'[51]Template '!$D$8</f>
        <v>0.49476190476190479</v>
      </c>
      <c r="FP14">
        <f>'[51]Template '!$D$9</f>
        <v>0.45332694504569498</v>
      </c>
      <c r="FR14">
        <f>'[51]Template '!$E$5</f>
        <v>0.43017623716153131</v>
      </c>
      <c r="FS14">
        <f>'[51]Template '!$E$6</f>
        <v>0.49155844155844153</v>
      </c>
      <c r="FT14">
        <f>'[51]Template '!$E$7</f>
        <v>0.32988095238095239</v>
      </c>
      <c r="FU14">
        <f>'[51]Template '!$E$8</f>
        <v>0.42030303030303029</v>
      </c>
      <c r="FV14">
        <f>'[51]Template '!$E$9</f>
        <v>0.41797966535098885</v>
      </c>
    </row>
    <row r="15" spans="1:178" x14ac:dyDescent="0.2">
      <c r="A15" t="str">
        <f>'[52]Template '!$A$2</f>
        <v>M_071</v>
      </c>
      <c r="C15" t="str">
        <f t="shared" si="0"/>
        <v>M_071.xlsx</v>
      </c>
      <c r="E15" t="str">
        <f>'[52]Template '!$C$2</f>
        <v>mSTAT only</v>
      </c>
      <c r="G15">
        <f>'[52]Template '!$C$29</f>
        <v>0.3888888888888889</v>
      </c>
      <c r="H15" t="str">
        <f>'[52]Template '!$C$30</f>
        <v>n/a</v>
      </c>
      <c r="I15">
        <f>'[52]Template '!$C$31</f>
        <v>0.75</v>
      </c>
      <c r="J15">
        <f>'[52]Template '!$C$32</f>
        <v>0.66911764705882359</v>
      </c>
      <c r="K15">
        <f>'[52]Template '!$C$33</f>
        <v>0.62301587301587302</v>
      </c>
      <c r="M15">
        <f>'[52]Template '!$C$80</f>
        <v>1200</v>
      </c>
      <c r="N15">
        <f>'[52]Template '!$C$81</f>
        <v>30</v>
      </c>
      <c r="O15">
        <f>'[52]Template '!$C$82</f>
        <v>3</v>
      </c>
      <c r="P15">
        <f>'[52]Template '!$C$83</f>
        <v>1</v>
      </c>
      <c r="Q15">
        <f>'[52]Template '!$C$84</f>
        <v>3</v>
      </c>
      <c r="R15">
        <f>'[52]Template '!$C$85</f>
        <v>2</v>
      </c>
      <c r="T15">
        <f>'[52]Template '!$C$74</f>
        <v>0.24545454545454548</v>
      </c>
      <c r="U15" t="str">
        <f>'[52]Template '!$C$75</f>
        <v>n/a</v>
      </c>
      <c r="V15">
        <f>'[52]Template '!$C$76</f>
        <v>7.1428571428571425E-2</v>
      </c>
      <c r="W15">
        <f>'[52]Template '!$C$77</f>
        <v>0.52380952380952372</v>
      </c>
      <c r="X15">
        <f>'[52]Template '!$C$78</f>
        <v>0.42063492063492064</v>
      </c>
      <c r="Z15">
        <f>'[52]Template '!$C$80</f>
        <v>1200</v>
      </c>
      <c r="AA15">
        <f>'[52]Template '!$C$81</f>
        <v>30</v>
      </c>
      <c r="AB15">
        <f>'[52]Template '!$C$82</f>
        <v>3</v>
      </c>
      <c r="AC15">
        <f>'[52]Template '!$C$83</f>
        <v>1</v>
      </c>
      <c r="AD15">
        <f>'[52]Template '!$C$84</f>
        <v>3</v>
      </c>
      <c r="AE15">
        <f>'[52]Template '!$C$85</f>
        <v>2</v>
      </c>
      <c r="AG15">
        <f>'[52]Template '!$C$96</f>
        <v>0.75</v>
      </c>
      <c r="AH15">
        <f>'[52]Template '!$C$97</f>
        <v>0.25185185185185183</v>
      </c>
      <c r="AI15">
        <f>'[52]Template '!$C$98</f>
        <v>0</v>
      </c>
      <c r="AJ15">
        <f>'[52]Template '!$C$99</f>
        <v>0.69841269841269826</v>
      </c>
      <c r="AK15">
        <f>'[52]Template '!$C$100</f>
        <v>0.56904761904761914</v>
      </c>
      <c r="AM15">
        <f>'[52]Template '!$C$102</f>
        <v>1397</v>
      </c>
      <c r="AN15">
        <f>'[52]Template '!$C$103</f>
        <v>50</v>
      </c>
      <c r="AO15">
        <f>'[52]Template '!$C$104</f>
        <v>3</v>
      </c>
      <c r="AP15">
        <f>'[52]Template '!$C$105</f>
        <v>3</v>
      </c>
      <c r="AQ15">
        <f>'[52]Template '!$C$106</f>
        <v>4</v>
      </c>
      <c r="AR15">
        <f>'[52]Template '!$C$107</f>
        <v>3</v>
      </c>
      <c r="AT15">
        <f>'[52]Template '!$C$52</f>
        <v>0.7</v>
      </c>
      <c r="AU15">
        <f>'[52]Template '!$C$53</f>
        <v>0.25185185185185183</v>
      </c>
      <c r="AV15">
        <f>'[52]Template '!$C$54</f>
        <v>0.5</v>
      </c>
      <c r="AW15">
        <f>'[52]Template '!$C$55</f>
        <v>0.35416666666666669</v>
      </c>
      <c r="AX15">
        <f>'[52]Template '!$C$56</f>
        <v>0.63571428571428579</v>
      </c>
      <c r="AZ15">
        <f>'[52]Template '!$C$58</f>
        <v>1200</v>
      </c>
      <c r="BA15">
        <f>'[52]Template '!$C$59</f>
        <v>50</v>
      </c>
      <c r="BB15">
        <f>'[52]Template '!$C$60</f>
        <v>2</v>
      </c>
      <c r="BC15">
        <f>'[52]Template '!$C$61</f>
        <v>3</v>
      </c>
      <c r="BD15">
        <f>'[52]Template '!$C$62</f>
        <v>3</v>
      </c>
      <c r="BE15">
        <f>'[52]Template '!$C$63</f>
        <v>3</v>
      </c>
      <c r="BG15">
        <f>'[52]Template '!$B$29</f>
        <v>0.3888888888888889</v>
      </c>
      <c r="BH15" t="str">
        <f>'[52]Template '!$B$30</f>
        <v>n/a</v>
      </c>
      <c r="BI15">
        <f>'[52]Template '!$B$31</f>
        <v>0.75</v>
      </c>
      <c r="BJ15">
        <f>'[52]Template '!$B$32</f>
        <v>0.8125</v>
      </c>
      <c r="BK15">
        <f>'[52]Template '!$B$33</f>
        <v>0.62301587301587302</v>
      </c>
      <c r="BM15">
        <f>'[52]Template '!$B$52</f>
        <v>0.7</v>
      </c>
      <c r="BN15">
        <f>'[52]Template '!$B$53</f>
        <v>0.25185185185185183</v>
      </c>
      <c r="BO15">
        <f>'[52]Template '!$B$54</f>
        <v>0.5</v>
      </c>
      <c r="BP15">
        <f>'[52]Template '!$B$55</f>
        <v>0.43518518518518517</v>
      </c>
      <c r="BQ15">
        <f>'[52]Template '!$B$56</f>
        <v>0.63571428571428579</v>
      </c>
      <c r="BS15">
        <f>'[52]Template '!$B$74</f>
        <v>0.24545454545454548</v>
      </c>
      <c r="BT15" t="str">
        <f>'[52]Template '!$B$75</f>
        <v>n/a</v>
      </c>
      <c r="BU15">
        <f>'[52]Template '!$B$76</f>
        <v>7.1428571428571425E-2</v>
      </c>
      <c r="BV15">
        <f>'[52]Template '!$B$77</f>
        <v>0.45833333333333331</v>
      </c>
      <c r="BW15">
        <f>'[52]Template '!$B$78</f>
        <v>0.42063492063492064</v>
      </c>
      <c r="BY15">
        <f>'[52]Template '!$B$96</f>
        <v>0.75</v>
      </c>
      <c r="BZ15">
        <f>'[52]Template '!$B$97</f>
        <v>0.25185185185185183</v>
      </c>
      <c r="CA15">
        <f>'[52]Template '!$B$98</f>
        <v>0</v>
      </c>
      <c r="CB15">
        <f>'[52]Template '!$B$99</f>
        <v>0.88888888888888884</v>
      </c>
      <c r="CC15">
        <f>'[52]Template '!$B$100</f>
        <v>0.56904761904761914</v>
      </c>
      <c r="CF15">
        <f>'[52]Template '!$Z$30</f>
        <v>0</v>
      </c>
      <c r="CG15">
        <f>'[52]Template '!$AB$75</f>
        <v>0</v>
      </c>
      <c r="CH15">
        <f>'[52]Template '!$C$89</f>
        <v>0</v>
      </c>
      <c r="CI15">
        <f>'[52]Template '!$AF$75</f>
        <v>0</v>
      </c>
      <c r="CJ15">
        <f>'[52]Template '!$AR$97</f>
        <v>0</v>
      </c>
      <c r="CK15">
        <f>'[52]Template '!$AS$97</f>
        <v>1</v>
      </c>
      <c r="CL15">
        <f>'[52]Template '!$AZ$97</f>
        <v>1</v>
      </c>
      <c r="CM15">
        <f>'[52]Template '!$BB$97</f>
        <v>1</v>
      </c>
      <c r="CN15">
        <f>'[52]Template '!$AU$53</f>
        <v>0</v>
      </c>
      <c r="CO15">
        <f>'[52]Template '!$AV$53</f>
        <v>0</v>
      </c>
      <c r="CP15">
        <f>'[52]Template '!$AY$53</f>
        <v>0</v>
      </c>
      <c r="CQ15">
        <f>'[52]Template '!$AX$53</f>
        <v>0</v>
      </c>
      <c r="CR15">
        <f>'[52]Template '!$AZ$53</f>
        <v>0</v>
      </c>
      <c r="CS15">
        <f>'[52]Template '!$BF$53</f>
        <v>0</v>
      </c>
      <c r="CT15">
        <f t="shared" si="1"/>
        <v>0</v>
      </c>
      <c r="CU15">
        <f t="shared" si="2"/>
        <v>3</v>
      </c>
      <c r="CV15">
        <f t="shared" si="3"/>
        <v>3</v>
      </c>
      <c r="CY15" t="str">
        <f>'[52]Template '!$E$2</f>
        <v>B</v>
      </c>
      <c r="CZ15">
        <f>'[52]Template '!$B$13</f>
        <v>1</v>
      </c>
      <c r="DA15" t="str">
        <f>'[52]Template '!$D$2</f>
        <v>n/a</v>
      </c>
      <c r="DB15">
        <f>'[52]Template '!$D$3</f>
        <v>0</v>
      </c>
      <c r="DC15">
        <f>'[52]Template '!$F$2</f>
        <v>45457</v>
      </c>
      <c r="DE15">
        <f>'[52]Template '!$B$12</f>
        <v>21</v>
      </c>
      <c r="DF15" t="str">
        <f>'[52]Template '!$B$14</f>
        <v>11/23</v>
      </c>
      <c r="DG15" t="str">
        <f>'[52]Template '!$B$15</f>
        <v>3/24</v>
      </c>
      <c r="DH15">
        <f>'[52]Template '!$B$16</f>
        <v>3</v>
      </c>
      <c r="DI15">
        <f>'[52]Template '!$B$17</f>
        <v>0</v>
      </c>
      <c r="DJ15">
        <f>'[52]Template '!$B$18</f>
        <v>0</v>
      </c>
      <c r="DK15">
        <f>'[52]Template '!$B$19</f>
        <v>0</v>
      </c>
      <c r="DL15">
        <f>'[52]Template '!$B$20</f>
        <v>0</v>
      </c>
      <c r="DM15">
        <f>'[52]Template '!$B$21</f>
        <v>0</v>
      </c>
      <c r="DN15">
        <f>'[52]Template '!$B$22</f>
        <v>0</v>
      </c>
      <c r="DP15">
        <f>'[52]Template '!$I$13</f>
        <v>4</v>
      </c>
      <c r="DQ15">
        <f>'[52]Template '!$I$14</f>
        <v>4</v>
      </c>
      <c r="DR15">
        <f>'[52]Template '!$I$15</f>
        <v>5</v>
      </c>
      <c r="DS15">
        <f>'[52]Template '!$I$16</f>
        <v>4</v>
      </c>
      <c r="DT15">
        <f>'[52]Template '!$I$17</f>
        <v>5</v>
      </c>
      <c r="DU15">
        <f>'[52]Template '!$I$18</f>
        <v>3</v>
      </c>
      <c r="DV15">
        <f>'[52]Template '!$I$19</f>
        <v>5</v>
      </c>
      <c r="DW15">
        <f>'[52]Template '!$I$20</f>
        <v>3</v>
      </c>
      <c r="DX15">
        <f>'[52]Template '!$I$21</f>
        <v>3</v>
      </c>
      <c r="DY15">
        <f>'[52]Template '!$I$22</f>
        <v>4</v>
      </c>
      <c r="DZ15">
        <f>'[52]Template '!$I$23</f>
        <v>5</v>
      </c>
      <c r="EA15">
        <f>'[52]Template '!$I$24</f>
        <v>0</v>
      </c>
      <c r="ED15">
        <f>'[52]Template '!$L$13</f>
        <v>4</v>
      </c>
      <c r="EE15">
        <f>'[52]Template '!$L$14</f>
        <v>4</v>
      </c>
      <c r="EF15">
        <f>'[52]Template '!$L$15</f>
        <v>3</v>
      </c>
      <c r="EG15">
        <f>'[52]Template '!$L$16</f>
        <v>4</v>
      </c>
      <c r="EH15">
        <f>'[52]Template '!$L$17</f>
        <v>4</v>
      </c>
      <c r="EI15">
        <f>'[52]Template '!$L$18</f>
        <v>4</v>
      </c>
      <c r="EJ15">
        <f>'[52]Template '!$L$19</f>
        <v>5</v>
      </c>
      <c r="EK15">
        <f>'[52]Template '!$L$20</f>
        <v>3</v>
      </c>
      <c r="EL15">
        <f>'[52]Template '!$L$21</f>
        <v>3</v>
      </c>
      <c r="EM15">
        <f>'[52]Template '!$L$22</f>
        <v>5</v>
      </c>
      <c r="EN15">
        <f>'[52]Template '!$L$23</f>
        <v>5</v>
      </c>
      <c r="EQ15">
        <f>'[52]Template '!$O$13</f>
        <v>4</v>
      </c>
      <c r="ER15">
        <f>'[52]Template '!$O$14</f>
        <v>3</v>
      </c>
      <c r="ES15">
        <f>'[52]Template '!$O$15</f>
        <v>4</v>
      </c>
      <c r="ET15">
        <f>'[52]Template '!$O$16</f>
        <v>4</v>
      </c>
      <c r="EU15">
        <f>'[52]Template '!$O$17</f>
        <v>4</v>
      </c>
      <c r="EV15">
        <f>'[52]Template '!$O$18</f>
        <v>2</v>
      </c>
      <c r="EW15">
        <f>'[52]Template '!$O$19</f>
        <v>2</v>
      </c>
      <c r="EX15">
        <f>'[52]Template '!$O$20</f>
        <v>3</v>
      </c>
      <c r="EY15">
        <f>'[52]Template '!$O$21</f>
        <v>3</v>
      </c>
      <c r="EZ15">
        <f>'[52]Template '!$O$22</f>
        <v>3</v>
      </c>
      <c r="FA15">
        <f>'[52]Template '!$O$23</f>
        <v>4</v>
      </c>
      <c r="FL15">
        <f>'[52]Template '!$D$5</f>
        <v>0.64360119047619047</v>
      </c>
      <c r="FM15">
        <f>'[52]Template '!$D$6</f>
        <v>0.29896284271284274</v>
      </c>
      <c r="FN15">
        <f>'[52]Template '!$D$7</f>
        <v>0.50455026455026453</v>
      </c>
      <c r="FO15">
        <f>'[52]Template '!$D$8</f>
        <v>0.49195767195767193</v>
      </c>
      <c r="FP15">
        <f>'[52]Template '!$D$9</f>
        <v>0.4847679924242424</v>
      </c>
      <c r="FR15">
        <f>'[52]Template '!$E$5</f>
        <v>0.60775560224089631</v>
      </c>
      <c r="FS15">
        <f>'[52]Template '!$E$6</f>
        <v>0.3153318903318903</v>
      </c>
      <c r="FT15">
        <f>'[52]Template '!$E$7</f>
        <v>0.48834656084656086</v>
      </c>
      <c r="FU15">
        <f>'[52]Template '!$E$8</f>
        <v>0.45386243386243386</v>
      </c>
      <c r="FV15">
        <f>'[52]Template '!$E$9</f>
        <v>0.46632412182044536</v>
      </c>
    </row>
    <row r="16" spans="1:178" x14ac:dyDescent="0.2">
      <c r="A16" t="str">
        <f>'[53]Template '!$A$2</f>
        <v>M_070</v>
      </c>
      <c r="C16" t="str">
        <f t="shared" si="0"/>
        <v>M_070.xlsx</v>
      </c>
      <c r="E16" t="str">
        <f>'[53]Template '!$C$2</f>
        <v>mSTAT only</v>
      </c>
      <c r="G16">
        <f>'[53]Template '!$C$29</f>
        <v>0.88888888888888884</v>
      </c>
      <c r="H16" t="str">
        <f>'[53]Template '!$C$30</f>
        <v>n/a</v>
      </c>
      <c r="I16">
        <f>'[53]Template '!$C$31</f>
        <v>0.25</v>
      </c>
      <c r="J16">
        <f>'[53]Template '!$C$32</f>
        <v>0.63970588235294112</v>
      </c>
      <c r="K16">
        <f>'[53]Template '!$C$33</f>
        <v>0.37301587301587302</v>
      </c>
      <c r="M16">
        <f>'[53]Template '!$C$80</f>
        <v>1156</v>
      </c>
      <c r="N16">
        <f>'[53]Template '!$C$81</f>
        <v>10</v>
      </c>
      <c r="O16">
        <f>'[53]Template '!$C$82</f>
        <v>1</v>
      </c>
      <c r="P16">
        <f>'[53]Template '!$C$83</f>
        <v>1</v>
      </c>
      <c r="Q16">
        <f>'[53]Template '!$C$84</f>
        <v>2</v>
      </c>
      <c r="R16">
        <f>'[53]Template '!$C$85</f>
        <v>1</v>
      </c>
      <c r="T16">
        <f>'[53]Template '!$C$74</f>
        <v>0.60909090909090913</v>
      </c>
      <c r="U16" t="str">
        <f>'[53]Template '!$C$75</f>
        <v>n/a</v>
      </c>
      <c r="V16">
        <f>'[53]Template '!$C$76</f>
        <v>0.25</v>
      </c>
      <c r="W16">
        <f>'[53]Template '!$C$77</f>
        <v>0.47619047619047616</v>
      </c>
      <c r="X16">
        <f>'[53]Template '!$C$78</f>
        <v>0.3611111111111111</v>
      </c>
      <c r="Z16">
        <f>'[53]Template '!$C$80</f>
        <v>1156</v>
      </c>
      <c r="AA16">
        <f>'[53]Template '!$C$81</f>
        <v>10</v>
      </c>
      <c r="AB16">
        <f>'[53]Template '!$C$82</f>
        <v>1</v>
      </c>
      <c r="AC16">
        <f>'[53]Template '!$C$83</f>
        <v>1</v>
      </c>
      <c r="AD16">
        <f>'[53]Template '!$C$84</f>
        <v>2</v>
      </c>
      <c r="AE16">
        <f>'[53]Template '!$C$85</f>
        <v>1</v>
      </c>
      <c r="AG16">
        <f>'[53]Template '!$C$96</f>
        <v>0.25</v>
      </c>
      <c r="AH16">
        <f>'[53]Template '!$C$97</f>
        <v>0.2074074074074074</v>
      </c>
      <c r="AI16">
        <f>'[53]Template '!$C$98</f>
        <v>0.5</v>
      </c>
      <c r="AJ16">
        <f>'[53]Template '!$C$99</f>
        <v>0.31746031746031744</v>
      </c>
      <c r="AK16">
        <f>'[53]Template '!$C$100</f>
        <v>0.23730158730158726</v>
      </c>
      <c r="AM16">
        <f>'[53]Template '!$C$102</f>
        <v>1364</v>
      </c>
      <c r="AN16">
        <f>'[53]Template '!$C$103</f>
        <v>15</v>
      </c>
      <c r="AO16">
        <f>'[53]Template '!$C$104</f>
        <v>2</v>
      </c>
      <c r="AP16">
        <f>'[53]Template '!$C$105</f>
        <v>1</v>
      </c>
      <c r="AQ16">
        <f>'[53]Template '!$C$106</f>
        <v>2</v>
      </c>
      <c r="AR16">
        <f>'[53]Template '!$C$107</f>
        <v>1</v>
      </c>
      <c r="AT16">
        <f>'[53]Template '!$C$52</f>
        <v>0.75</v>
      </c>
      <c r="AU16">
        <f>'[53]Template '!$C$53</f>
        <v>0.2074074074074074</v>
      </c>
      <c r="AV16">
        <f>'[53]Template '!$C$54</f>
        <v>0.5</v>
      </c>
      <c r="AW16">
        <f>'[53]Template '!$C$55</f>
        <v>0.20833333333333334</v>
      </c>
      <c r="AX16">
        <f>'[53]Template '!$C$56</f>
        <v>0.28412698412698412</v>
      </c>
      <c r="AZ16">
        <f>'[53]Template '!$C$58</f>
        <v>1295</v>
      </c>
      <c r="BA16">
        <f>'[53]Template '!$C$59</f>
        <v>10</v>
      </c>
      <c r="BB16">
        <f>'[53]Template '!$C$60</f>
        <v>1</v>
      </c>
      <c r="BC16">
        <f>'[53]Template '!$C$61</f>
        <v>1</v>
      </c>
      <c r="BD16">
        <f>'[53]Template '!$C$62</f>
        <v>2</v>
      </c>
      <c r="BE16">
        <f>'[53]Template '!$C$63</f>
        <v>1</v>
      </c>
      <c r="BG16">
        <f>'[53]Template '!$B$29</f>
        <v>0.88888888888888884</v>
      </c>
      <c r="BH16" t="str">
        <f>'[53]Template '!$B$30</f>
        <v>n/a</v>
      </c>
      <c r="BI16">
        <f>'[53]Template '!$B$31</f>
        <v>0.25</v>
      </c>
      <c r="BJ16">
        <f>'[53]Template '!$B$32</f>
        <v>0.6875</v>
      </c>
      <c r="BK16">
        <f>'[53]Template '!$B$33</f>
        <v>0.37301587301587302</v>
      </c>
      <c r="BM16">
        <f>'[53]Template '!$B$52</f>
        <v>0.75</v>
      </c>
      <c r="BN16">
        <f>'[53]Template '!$B$53</f>
        <v>0.2074074074074074</v>
      </c>
      <c r="BO16">
        <f>'[53]Template '!$B$54</f>
        <v>0.5</v>
      </c>
      <c r="BP16">
        <f>'[53]Template '!$B$55</f>
        <v>0.24074074074074073</v>
      </c>
      <c r="BQ16">
        <f>'[53]Template '!$B$56</f>
        <v>0.28412698412698412</v>
      </c>
      <c r="BS16">
        <f>'[53]Template '!$B$74</f>
        <v>0.60909090909090913</v>
      </c>
      <c r="BT16" t="str">
        <f>'[53]Template '!$B$75</f>
        <v>n/a</v>
      </c>
      <c r="BU16">
        <f>'[53]Template '!$B$76</f>
        <v>0.25</v>
      </c>
      <c r="BV16">
        <f>'[53]Template '!$B$77</f>
        <v>0.45833333333333331</v>
      </c>
      <c r="BW16">
        <f>'[53]Template '!$B$78</f>
        <v>0.3611111111111111</v>
      </c>
      <c r="BY16">
        <f>'[53]Template '!$B$96</f>
        <v>0.25</v>
      </c>
      <c r="BZ16">
        <f>'[53]Template '!$B$97</f>
        <v>0.2074074074074074</v>
      </c>
      <c r="CA16">
        <f>'[53]Template '!$B$98</f>
        <v>0.5</v>
      </c>
      <c r="CB16">
        <f>'[53]Template '!$B$99</f>
        <v>0.22222222222222221</v>
      </c>
      <c r="CC16">
        <f>'[53]Template '!$B$100</f>
        <v>0.23730158730158726</v>
      </c>
      <c r="CF16">
        <f>'[53]Template '!$Z$30</f>
        <v>0</v>
      </c>
      <c r="CG16">
        <f>'[53]Template '!$AB$75</f>
        <v>0</v>
      </c>
      <c r="CH16">
        <f>'[53]Template '!$C$89</f>
        <v>0</v>
      </c>
      <c r="CI16">
        <f>'[53]Template '!$AF$75</f>
        <v>0</v>
      </c>
      <c r="CJ16">
        <f>'[53]Template '!$AR$97</f>
        <v>1</v>
      </c>
      <c r="CK16">
        <f>'[53]Template '!$AS$97</f>
        <v>0</v>
      </c>
      <c r="CL16">
        <f>'[53]Template '!$AZ$97</f>
        <v>0</v>
      </c>
      <c r="CM16">
        <f>'[53]Template '!$BB$97</f>
        <v>0</v>
      </c>
      <c r="CN16">
        <f>'[53]Template '!$AU$53</f>
        <v>0</v>
      </c>
      <c r="CO16">
        <f>'[53]Template '!$AV$53</f>
        <v>0</v>
      </c>
      <c r="CP16">
        <f>'[53]Template '!$AY$53</f>
        <v>0</v>
      </c>
      <c r="CQ16">
        <f>'[53]Template '!$AX$53</f>
        <v>0</v>
      </c>
      <c r="CR16">
        <f>'[53]Template '!$AZ$53</f>
        <v>0</v>
      </c>
      <c r="CS16">
        <f>'[53]Template '!$BF$53</f>
        <v>0</v>
      </c>
      <c r="CT16">
        <f t="shared" si="1"/>
        <v>0</v>
      </c>
      <c r="CU16">
        <f t="shared" si="2"/>
        <v>1</v>
      </c>
      <c r="CV16">
        <f t="shared" si="3"/>
        <v>1</v>
      </c>
      <c r="CY16" t="str">
        <f>'[53]Template '!$E$2</f>
        <v>A</v>
      </c>
      <c r="CZ16">
        <f>'[53]Template '!$B$13</f>
        <v>1</v>
      </c>
      <c r="DA16" t="str">
        <f>'[53]Template '!$D$2</f>
        <v>n/a</v>
      </c>
      <c r="DB16">
        <f>'[53]Template '!$D$3</f>
        <v>0</v>
      </c>
      <c r="DC16">
        <f>'[53]Template '!$F$2</f>
        <v>45461</v>
      </c>
      <c r="DE16">
        <f>'[53]Template '!$B$12</f>
        <v>20</v>
      </c>
      <c r="DF16" t="str">
        <f>'[53]Template '!$B$14</f>
        <v>11/21</v>
      </c>
      <c r="DG16" t="str">
        <f>'[53]Template '!$B$15</f>
        <v>3/22</v>
      </c>
      <c r="DH16">
        <f>'[53]Template '!$B$16</f>
        <v>24</v>
      </c>
      <c r="DI16">
        <f>'[53]Template '!$B$17</f>
        <v>0</v>
      </c>
      <c r="DJ16">
        <f>'[53]Template '!$B$18</f>
        <v>0</v>
      </c>
      <c r="DK16">
        <f>'[53]Template '!$B$19</f>
        <v>0</v>
      </c>
      <c r="DL16">
        <f>'[53]Template '!$B$20</f>
        <v>0</v>
      </c>
      <c r="DM16">
        <f>'[53]Template '!$B$21</f>
        <v>0</v>
      </c>
      <c r="DN16">
        <f>'[53]Template '!$B$22</f>
        <v>1</v>
      </c>
      <c r="DP16">
        <f>'[53]Template '!$I$13</f>
        <v>4</v>
      </c>
      <c r="DQ16">
        <f>'[53]Template '!$I$14</f>
        <v>4</v>
      </c>
      <c r="DR16">
        <f>'[53]Template '!$I$15</f>
        <v>4</v>
      </c>
      <c r="DS16">
        <f>'[53]Template '!$I$16</f>
        <v>2</v>
      </c>
      <c r="DT16">
        <f>'[53]Template '!$I$17</f>
        <v>4</v>
      </c>
      <c r="DU16">
        <f>'[53]Template '!$I$18</f>
        <v>3</v>
      </c>
      <c r="DV16">
        <f>'[53]Template '!$I$19</f>
        <v>5</v>
      </c>
      <c r="DW16">
        <f>'[53]Template '!$I$20</f>
        <v>4</v>
      </c>
      <c r="DX16">
        <f>'[53]Template '!$I$21</f>
        <v>3</v>
      </c>
      <c r="DY16">
        <f>'[53]Template '!$I$22</f>
        <v>2</v>
      </c>
      <c r="DZ16">
        <f>'[53]Template '!$I$23</f>
        <v>4</v>
      </c>
      <c r="EA16">
        <f>'[53]Template '!$I$24</f>
        <v>2</v>
      </c>
      <c r="ED16">
        <f>'[53]Template '!$L$13</f>
        <v>4</v>
      </c>
      <c r="EE16">
        <f>'[53]Template '!$L$14</f>
        <v>4</v>
      </c>
      <c r="EF16">
        <f>'[53]Template '!$L$15</f>
        <v>5</v>
      </c>
      <c r="EG16">
        <f>'[53]Template '!$L$16</f>
        <v>3</v>
      </c>
      <c r="EH16">
        <f>'[53]Template '!$L$17</f>
        <v>4</v>
      </c>
      <c r="EI16">
        <f>'[53]Template '!$L$18</f>
        <v>2</v>
      </c>
      <c r="EJ16">
        <f>'[53]Template '!$L$19</f>
        <v>5</v>
      </c>
      <c r="EK16">
        <f>'[53]Template '!$L$20</f>
        <v>4</v>
      </c>
      <c r="EL16">
        <f>'[53]Template '!$L$21</f>
        <v>5</v>
      </c>
      <c r="EM16">
        <f>'[53]Template '!$L$22</f>
        <v>3</v>
      </c>
      <c r="EN16">
        <f>'[53]Template '!$L$23</f>
        <v>4</v>
      </c>
      <c r="EQ16">
        <f>'[53]Template '!$O$13</f>
        <v>4</v>
      </c>
      <c r="ER16">
        <f>'[53]Template '!$O$14</f>
        <v>2</v>
      </c>
      <c r="ES16">
        <f>'[53]Template '!$O$15</f>
        <v>1</v>
      </c>
      <c r="ET16">
        <f>'[53]Template '!$O$16</f>
        <v>2</v>
      </c>
      <c r="EU16">
        <f>'[53]Template '!$O$17</f>
        <v>1</v>
      </c>
      <c r="EV16">
        <f>'[53]Template '!$O$18</f>
        <v>2</v>
      </c>
      <c r="EW16">
        <f>'[53]Template '!$O$19</f>
        <v>1</v>
      </c>
      <c r="EX16">
        <f>'[53]Template '!$O$20</f>
        <v>3</v>
      </c>
      <c r="EY16">
        <f>'[53]Template '!$O$21</f>
        <v>2</v>
      </c>
      <c r="EZ16">
        <f>'[53]Template '!$O$22</f>
        <v>1</v>
      </c>
      <c r="FA16">
        <f>'[53]Template '!$O$23</f>
        <v>1</v>
      </c>
      <c r="FL16">
        <f>'[53]Template '!$D$5</f>
        <v>0.54985119047619047</v>
      </c>
      <c r="FM16">
        <f>'[53]Template '!$D$6</f>
        <v>0.41963383838383839</v>
      </c>
      <c r="FN16">
        <f>'[53]Template '!$D$7</f>
        <v>0.39645502645502645</v>
      </c>
      <c r="FO16">
        <f>'[53]Template '!$D$8</f>
        <v>0.28338624338624341</v>
      </c>
      <c r="FP16">
        <f>'[53]Template '!$D$9</f>
        <v>0.41233157467532466</v>
      </c>
      <c r="FR16">
        <f>'[53]Template '!$E$5</f>
        <v>0.53790266106442575</v>
      </c>
      <c r="FS16">
        <f>'[53]Template '!$E$6</f>
        <v>0.42409812409812409</v>
      </c>
      <c r="FT16">
        <f>'[53]Template '!$E$7</f>
        <v>0.38997354497354497</v>
      </c>
      <c r="FU16">
        <f>'[53]Template '!$E$8</f>
        <v>0.30243386243386244</v>
      </c>
      <c r="FV16">
        <f>'[53]Template '!$E$9</f>
        <v>0.4136020481424893</v>
      </c>
    </row>
    <row r="17" spans="1:178" x14ac:dyDescent="0.2">
      <c r="A17" t="str">
        <f>'[54]Template '!$A$2</f>
        <v>M_069</v>
      </c>
      <c r="C17" t="str">
        <f t="shared" si="0"/>
        <v>M_069.xlsx</v>
      </c>
      <c r="E17" t="str">
        <f>'[54]Template '!$C$2</f>
        <v>mSTAT only</v>
      </c>
      <c r="G17">
        <f>'[54]Template '!$C$29</f>
        <v>0.3888888888888889</v>
      </c>
      <c r="H17" t="str">
        <f>'[54]Template '!$C$30</f>
        <v>n/a</v>
      </c>
      <c r="I17">
        <f>'[54]Template '!$C$31</f>
        <v>0.58333333333333326</v>
      </c>
      <c r="J17">
        <f>'[54]Template '!$C$32</f>
        <v>0.63235294117647056</v>
      </c>
      <c r="K17">
        <f>'[54]Template '!$C$33</f>
        <v>0.27380952380952378</v>
      </c>
      <c r="M17">
        <f>'[54]Template '!$C$80</f>
        <v>1200</v>
      </c>
      <c r="N17">
        <f>'[54]Template '!$C$81</f>
        <v>15</v>
      </c>
      <c r="O17">
        <f>'[54]Template '!$C$82</f>
        <v>2</v>
      </c>
      <c r="P17">
        <f>'[54]Template '!$C$83</f>
        <v>1</v>
      </c>
      <c r="Q17">
        <f>'[54]Template '!$C$84</f>
        <v>1</v>
      </c>
      <c r="R17">
        <f>'[54]Template '!$C$85</f>
        <v>1</v>
      </c>
      <c r="T17">
        <f>'[54]Template '!$C$74</f>
        <v>0.33636363636363636</v>
      </c>
      <c r="U17" t="str">
        <f>'[54]Template '!$C$75</f>
        <v>n/a</v>
      </c>
      <c r="V17">
        <f>'[54]Template '!$C$76</f>
        <v>0.3214285714285714</v>
      </c>
      <c r="W17">
        <f>'[54]Template '!$C$77</f>
        <v>0.45238095238095233</v>
      </c>
      <c r="X17">
        <f>'[54]Template '!$C$78</f>
        <v>0.49603174603174605</v>
      </c>
      <c r="Z17">
        <f>'[54]Template '!$C$80</f>
        <v>1200</v>
      </c>
      <c r="AA17">
        <f>'[54]Template '!$C$81</f>
        <v>15</v>
      </c>
      <c r="AB17">
        <f>'[54]Template '!$C$82</f>
        <v>2</v>
      </c>
      <c r="AC17">
        <f>'[54]Template '!$C$83</f>
        <v>1</v>
      </c>
      <c r="AD17">
        <f>'[54]Template '!$C$84</f>
        <v>1</v>
      </c>
      <c r="AE17">
        <f>'[54]Template '!$C$85</f>
        <v>1</v>
      </c>
      <c r="AG17">
        <f>'[54]Template '!$C$96</f>
        <v>0.75</v>
      </c>
      <c r="AH17">
        <f>'[54]Template '!$C$97</f>
        <v>0.27407407407407408</v>
      </c>
      <c r="AI17">
        <f>'[54]Template '!$C$98</f>
        <v>0</v>
      </c>
      <c r="AJ17">
        <f>'[54]Template '!$C$99</f>
        <v>0.39826839826839827</v>
      </c>
      <c r="AK17">
        <f>'[54]Template '!$C$100</f>
        <v>0.24920634920634921</v>
      </c>
      <c r="AM17">
        <f>'[54]Template '!$C$102</f>
        <v>1320</v>
      </c>
      <c r="AN17">
        <f>'[54]Template '!$C$103</f>
        <v>17</v>
      </c>
      <c r="AO17">
        <f>'[54]Template '!$C$104</f>
        <v>2</v>
      </c>
      <c r="AP17">
        <f>'[54]Template '!$C$105</f>
        <v>1</v>
      </c>
      <c r="AQ17">
        <f>'[54]Template '!$C$106</f>
        <v>1</v>
      </c>
      <c r="AR17">
        <f>'[54]Template '!$C$107</f>
        <v>1</v>
      </c>
      <c r="AT17">
        <f>'[54]Template '!$C$52</f>
        <v>0.65</v>
      </c>
      <c r="AU17">
        <f>'[54]Template '!$C$53</f>
        <v>0.27407407407407408</v>
      </c>
      <c r="AV17">
        <f>'[54]Template '!$C$54</f>
        <v>0.5</v>
      </c>
      <c r="AW17">
        <f>'[54]Template '!$C$55</f>
        <v>0.29166666666666669</v>
      </c>
      <c r="AX17">
        <f>'[54]Template '!$C$56</f>
        <v>0.43174603174603171</v>
      </c>
      <c r="AZ17">
        <f>'[54]Template '!$C$58</f>
        <v>0</v>
      </c>
      <c r="BA17">
        <f>'[54]Template '!$C$59</f>
        <v>20</v>
      </c>
      <c r="BB17">
        <f>'[54]Template '!$C$60</f>
        <v>2</v>
      </c>
      <c r="BC17">
        <f>'[54]Template '!$C$61</f>
        <v>2</v>
      </c>
      <c r="BD17">
        <f>'[54]Template '!$C$62</f>
        <v>2</v>
      </c>
      <c r="BE17">
        <f>'[54]Template '!$C$63</f>
        <v>1</v>
      </c>
      <c r="BG17">
        <f>'[54]Template '!$B$29</f>
        <v>0.3888888888888889</v>
      </c>
      <c r="BH17" t="str">
        <f>'[54]Template '!$B$30</f>
        <v>n/a</v>
      </c>
      <c r="BI17">
        <f>'[54]Template '!$B$31</f>
        <v>0.58333333333333326</v>
      </c>
      <c r="BJ17">
        <f>'[54]Template '!$B$32</f>
        <v>0.625</v>
      </c>
      <c r="BK17">
        <f>'[54]Template '!$B$33</f>
        <v>0.27380952380952378</v>
      </c>
      <c r="BM17">
        <f>'[54]Template '!$B$52</f>
        <v>0.65</v>
      </c>
      <c r="BN17">
        <f>'[54]Template '!$B$53</f>
        <v>0.27407407407407408</v>
      </c>
      <c r="BO17">
        <f>'[54]Template '!$B$54</f>
        <v>0.5</v>
      </c>
      <c r="BP17">
        <f>'[54]Template '!$B$55</f>
        <v>0.33333333333333331</v>
      </c>
      <c r="BQ17">
        <f>'[54]Template '!$B$56</f>
        <v>0.43174603174603171</v>
      </c>
      <c r="BS17">
        <f>'[54]Template '!$B$74</f>
        <v>0.33636363636363636</v>
      </c>
      <c r="BT17" t="str">
        <f>'[54]Template '!$B$75</f>
        <v>n/a</v>
      </c>
      <c r="BU17">
        <f>'[54]Template '!$B$76</f>
        <v>0.3214285714285714</v>
      </c>
      <c r="BV17">
        <f>'[54]Template '!$B$77</f>
        <v>0.33333333333333331</v>
      </c>
      <c r="BW17">
        <f>'[54]Template '!$B$78</f>
        <v>0.49603174603174605</v>
      </c>
      <c r="BY17">
        <f>'[54]Template '!$B$96</f>
        <v>0.75</v>
      </c>
      <c r="BZ17">
        <f>'[54]Template '!$B$97</f>
        <v>0.27407407407407408</v>
      </c>
      <c r="CA17">
        <f>'[54]Template '!$B$98</f>
        <v>0</v>
      </c>
      <c r="CB17">
        <f>'[54]Template '!$B$99</f>
        <v>0.38888888888888884</v>
      </c>
      <c r="CC17">
        <f>'[54]Template '!$B$100</f>
        <v>0.24920634920634921</v>
      </c>
      <c r="CF17">
        <f>'[54]Template '!$Z$30</f>
        <v>1</v>
      </c>
      <c r="CG17">
        <f>'[54]Template '!$AB$75</f>
        <v>0</v>
      </c>
      <c r="CH17">
        <f>'[54]Template '!$C$89</f>
        <v>0</v>
      </c>
      <c r="CI17">
        <f>'[54]Template '!$AF$75</f>
        <v>0</v>
      </c>
      <c r="CJ17">
        <f>'[54]Template '!$AR$97</f>
        <v>1</v>
      </c>
      <c r="CK17">
        <f>'[54]Template '!$AS$97</f>
        <v>0</v>
      </c>
      <c r="CL17">
        <f>'[54]Template '!$AZ$97</f>
        <v>1</v>
      </c>
      <c r="CM17">
        <f>'[54]Template '!$BB$97</f>
        <v>1</v>
      </c>
      <c r="CN17">
        <f>'[54]Template '!$AU$53</f>
        <v>1</v>
      </c>
      <c r="CO17">
        <f>'[54]Template '!$AV$53</f>
        <v>1</v>
      </c>
      <c r="CP17">
        <f>'[54]Template '!$AY$53</f>
        <v>1</v>
      </c>
      <c r="CQ17">
        <f>'[54]Template '!$AX$53</f>
        <v>1</v>
      </c>
      <c r="CR17">
        <f>'[54]Template '!$AZ$53</f>
        <v>0</v>
      </c>
      <c r="CS17">
        <f>'[54]Template '!$BF$53</f>
        <v>0</v>
      </c>
      <c r="CT17">
        <f t="shared" si="1"/>
        <v>1</v>
      </c>
      <c r="CU17">
        <f t="shared" si="2"/>
        <v>7</v>
      </c>
      <c r="CV17">
        <f t="shared" si="3"/>
        <v>8</v>
      </c>
      <c r="CY17" t="str">
        <f>'[54]Template '!$E$2</f>
        <v>B</v>
      </c>
      <c r="CZ17">
        <f>'[54]Template '!$B$13</f>
        <v>1</v>
      </c>
      <c r="DA17" t="str">
        <f>'[54]Template '!$D$2</f>
        <v>n/a</v>
      </c>
      <c r="DB17">
        <f>'[54]Template '!$D$3</f>
        <v>0</v>
      </c>
      <c r="DC17">
        <f>'[54]Template '!$F$2</f>
        <v>45461</v>
      </c>
      <c r="DE17">
        <f>'[54]Template '!$B$12</f>
        <v>23</v>
      </c>
      <c r="DF17" t="str">
        <f>'[54]Template '!$B$14</f>
        <v>8/19</v>
      </c>
      <c r="DG17" t="str">
        <f>'[54]Template '!$B$15</f>
        <v>3/23</v>
      </c>
      <c r="DH17">
        <f>'[54]Template '!$B$16</f>
        <v>12</v>
      </c>
      <c r="DI17">
        <f>'[54]Template '!$B$17</f>
        <v>0</v>
      </c>
      <c r="DJ17">
        <f>'[54]Template '!$B$18</f>
        <v>0</v>
      </c>
      <c r="DK17">
        <f>'[54]Template '!$B$19</f>
        <v>0</v>
      </c>
      <c r="DL17">
        <f>'[54]Template '!$B$20</f>
        <v>0</v>
      </c>
      <c r="DM17">
        <f>'[54]Template '!$B$21</f>
        <v>0</v>
      </c>
      <c r="DN17">
        <f>'[54]Template '!$B$22</f>
        <v>0</v>
      </c>
      <c r="DP17">
        <f>'[54]Template '!$I$13</f>
        <v>4</v>
      </c>
      <c r="DQ17">
        <f>'[54]Template '!$I$14</f>
        <v>4</v>
      </c>
      <c r="DR17">
        <f>'[54]Template '!$I$15</f>
        <v>4</v>
      </c>
      <c r="DS17">
        <f>'[54]Template '!$I$16</f>
        <v>4</v>
      </c>
      <c r="DT17">
        <f>'[54]Template '!$I$17</f>
        <v>4</v>
      </c>
      <c r="DU17">
        <f>'[54]Template '!$I$18</f>
        <v>4</v>
      </c>
      <c r="DV17">
        <f>'[54]Template '!$I$19</f>
        <v>5</v>
      </c>
      <c r="DW17">
        <f>'[54]Template '!$I$20</f>
        <v>4</v>
      </c>
      <c r="DX17">
        <f>'[54]Template '!$I$21</f>
        <v>3</v>
      </c>
      <c r="DY17">
        <f>'[54]Template '!$I$22</f>
        <v>3</v>
      </c>
      <c r="DZ17">
        <f>'[54]Template '!$I$23</f>
        <v>4</v>
      </c>
      <c r="EA17">
        <f>'[54]Template '!$I$24</f>
        <v>1</v>
      </c>
      <c r="ED17">
        <f>'[54]Template '!$L$13</f>
        <v>4</v>
      </c>
      <c r="EE17">
        <f>'[54]Template '!$L$14</f>
        <v>3</v>
      </c>
      <c r="EF17">
        <f>'[54]Template '!$L$15</f>
        <v>4</v>
      </c>
      <c r="EG17">
        <f>'[54]Template '!$L$16</f>
        <v>2</v>
      </c>
      <c r="EH17">
        <f>'[54]Template '!$L$17</f>
        <v>3</v>
      </c>
      <c r="EI17">
        <f>'[54]Template '!$L$18</f>
        <v>3</v>
      </c>
      <c r="EJ17">
        <f>'[54]Template '!$L$19</f>
        <v>5</v>
      </c>
      <c r="EK17">
        <f>'[54]Template '!$L$20</f>
        <v>3</v>
      </c>
      <c r="EL17">
        <f>'[54]Template '!$L$21</f>
        <v>2</v>
      </c>
      <c r="EM17">
        <f>'[54]Template '!$L$22</f>
        <v>3</v>
      </c>
      <c r="EN17">
        <f>'[54]Template '!$L$23</f>
        <v>4</v>
      </c>
      <c r="EQ17">
        <f>'[54]Template '!$O$13</f>
        <v>4</v>
      </c>
      <c r="ER17">
        <f>'[54]Template '!$O$14</f>
        <v>3</v>
      </c>
      <c r="ES17">
        <f>'[54]Template '!$O$15</f>
        <v>3</v>
      </c>
      <c r="ET17">
        <f>'[54]Template '!$O$16</f>
        <v>2</v>
      </c>
      <c r="EU17">
        <f>'[54]Template '!$O$17</f>
        <v>4</v>
      </c>
      <c r="EV17">
        <f>'[54]Template '!$O$18</f>
        <v>2</v>
      </c>
      <c r="EW17">
        <f>'[54]Template '!$O$19</f>
        <v>3</v>
      </c>
      <c r="EX17">
        <f>'[54]Template '!$O$20</f>
        <v>3</v>
      </c>
      <c r="EY17">
        <f>'[54]Template '!$O$21</f>
        <v>2</v>
      </c>
      <c r="EZ17">
        <f>'[54]Template '!$O$22</f>
        <v>2</v>
      </c>
      <c r="FA17">
        <f>'[54]Template '!$O$23</f>
        <v>2</v>
      </c>
      <c r="FL17">
        <f>'[54]Template '!$D$5</f>
        <v>0.46775793650793646</v>
      </c>
      <c r="FM17">
        <f>'[54]Template '!$D$6</f>
        <v>0.37178932178932178</v>
      </c>
      <c r="FN17">
        <f>'[54]Template '!$D$7</f>
        <v>0.43783068783068779</v>
      </c>
      <c r="FO17">
        <f>'[54]Template '!$D$8</f>
        <v>0.33243386243386241</v>
      </c>
      <c r="FP17">
        <f>'[54]Template '!$D$9</f>
        <v>0.40245295214045218</v>
      </c>
      <c r="FR17">
        <f>'[54]Template '!$E$5</f>
        <v>0.4695961718020541</v>
      </c>
      <c r="FS17">
        <f>'[54]Template '!$E$6</f>
        <v>0.40155122655122655</v>
      </c>
      <c r="FT17">
        <f>'[54]Template '!$E$7</f>
        <v>0.42949735449735449</v>
      </c>
      <c r="FU17">
        <f>'[54]Template '!$E$8</f>
        <v>0.33430976430976433</v>
      </c>
      <c r="FV17">
        <f>'[54]Template '!$E$9</f>
        <v>0.40873862929009991</v>
      </c>
    </row>
    <row r="18" spans="1:178" x14ac:dyDescent="0.2">
      <c r="A18" t="str">
        <f>'[55]Template '!$A$2</f>
        <v>M_068</v>
      </c>
      <c r="C18" t="str">
        <f t="shared" si="0"/>
        <v>M_068.xlsx</v>
      </c>
      <c r="E18" t="str">
        <f>'[55]Template '!$C$2</f>
        <v>mSTAT only</v>
      </c>
      <c r="G18">
        <f>'[55]Template '!$C$29</f>
        <v>0.3888888888888889</v>
      </c>
      <c r="H18" t="str">
        <f>'[55]Template '!$C$30</f>
        <v>n/a</v>
      </c>
      <c r="I18">
        <f>'[55]Template '!$C$31</f>
        <v>0.16666666666666666</v>
      </c>
      <c r="J18">
        <f>'[55]Template '!$C$32</f>
        <v>0.60294117647058831</v>
      </c>
      <c r="K18">
        <f>'[55]Template '!$C$33</f>
        <v>0.79365079365079361</v>
      </c>
      <c r="M18">
        <f>'[55]Template '!$C$80</f>
        <v>1200</v>
      </c>
      <c r="N18">
        <f>'[55]Template '!$C$81</f>
        <v>50</v>
      </c>
      <c r="O18">
        <f>'[55]Template '!$C$82</f>
        <v>3</v>
      </c>
      <c r="P18">
        <f>'[55]Template '!$C$83</f>
        <v>3</v>
      </c>
      <c r="Q18">
        <f>'[55]Template '!$C$84</f>
        <v>4</v>
      </c>
      <c r="R18">
        <f>'[55]Template '!$C$85</f>
        <v>2</v>
      </c>
      <c r="T18">
        <f>'[55]Template '!$C$74</f>
        <v>0.7</v>
      </c>
      <c r="U18" t="str">
        <f>'[55]Template '!$C$75</f>
        <v>n/a</v>
      </c>
      <c r="V18">
        <f>'[55]Template '!$C$76</f>
        <v>0.3214285714285714</v>
      </c>
      <c r="W18">
        <f>'[55]Template '!$C$77</f>
        <v>0.47619047619047616</v>
      </c>
      <c r="X18">
        <f>'[55]Template '!$C$78</f>
        <v>0.82936507936507919</v>
      </c>
      <c r="Z18">
        <f>'[55]Template '!$C$80</f>
        <v>1200</v>
      </c>
      <c r="AA18">
        <f>'[55]Template '!$C$81</f>
        <v>50</v>
      </c>
      <c r="AB18">
        <f>'[55]Template '!$C$82</f>
        <v>3</v>
      </c>
      <c r="AC18">
        <f>'[55]Template '!$C$83</f>
        <v>3</v>
      </c>
      <c r="AD18">
        <f>'[55]Template '!$C$84</f>
        <v>4</v>
      </c>
      <c r="AE18">
        <f>'[55]Template '!$C$85</f>
        <v>2</v>
      </c>
      <c r="AG18">
        <f>'[55]Template '!$C$96</f>
        <v>0.75</v>
      </c>
      <c r="AH18">
        <f>'[55]Template '!$C$97</f>
        <v>0.24444444444444446</v>
      </c>
      <c r="AI18">
        <f>'[55]Template '!$C$98</f>
        <v>0.5</v>
      </c>
      <c r="AJ18">
        <f>'[55]Template '!$C$99</f>
        <v>0.56421356421356428</v>
      </c>
      <c r="AK18">
        <f>'[55]Template '!$C$100</f>
        <v>0.88571428571428568</v>
      </c>
      <c r="AM18">
        <f>'[55]Template '!$C$102</f>
        <v>1200</v>
      </c>
      <c r="AN18">
        <f>'[55]Template '!$C$103</f>
        <v>65</v>
      </c>
      <c r="AO18">
        <f>'[55]Template '!$C$104</f>
        <v>3</v>
      </c>
      <c r="AP18">
        <f>'[55]Template '!$C$105</f>
        <v>2</v>
      </c>
      <c r="AQ18">
        <f>'[55]Template '!$C$106</f>
        <v>4</v>
      </c>
      <c r="AR18">
        <f>'[55]Template '!$C$107</f>
        <v>3</v>
      </c>
      <c r="AT18">
        <f>'[55]Template '!$C$52</f>
        <v>0.55555555555555558</v>
      </c>
      <c r="AU18">
        <f>'[55]Template '!$C$53</f>
        <v>0.24444444444444446</v>
      </c>
      <c r="AV18">
        <f>'[55]Template '!$C$54</f>
        <v>0</v>
      </c>
      <c r="AW18">
        <f>'[55]Template '!$C$55</f>
        <v>0.3125</v>
      </c>
      <c r="AX18">
        <f>'[55]Template '!$C$56</f>
        <v>0.80634920634920648</v>
      </c>
      <c r="AZ18">
        <f>'[55]Template '!$C$58</f>
        <v>1200</v>
      </c>
      <c r="BA18">
        <f>'[55]Template '!$C$59</f>
        <v>60</v>
      </c>
      <c r="BB18">
        <f>'[55]Template '!$C$60</f>
        <v>3</v>
      </c>
      <c r="BC18">
        <f>'[55]Template '!$C$61</f>
        <v>2</v>
      </c>
      <c r="BD18">
        <f>'[55]Template '!$C$62</f>
        <v>4</v>
      </c>
      <c r="BE18">
        <f>'[55]Template '!$C$63</f>
        <v>2</v>
      </c>
      <c r="BG18">
        <f>'[55]Template '!$B$29</f>
        <v>0.3888888888888889</v>
      </c>
      <c r="BH18" t="str">
        <f>'[55]Template '!$B$30</f>
        <v>n/a</v>
      </c>
      <c r="BI18">
        <f>'[55]Template '!$B$31</f>
        <v>0.16666666666666666</v>
      </c>
      <c r="BJ18">
        <f>'[55]Template '!$B$32</f>
        <v>0.6875</v>
      </c>
      <c r="BK18">
        <f>'[55]Template '!$B$33</f>
        <v>0.79365079365079361</v>
      </c>
      <c r="BM18">
        <f>'[55]Template '!$B$52</f>
        <v>0.47222222222222221</v>
      </c>
      <c r="BN18">
        <f>'[55]Template '!$B$53</f>
        <v>0.24444444444444446</v>
      </c>
      <c r="BO18">
        <f>'[55]Template '!$B$54</f>
        <v>0</v>
      </c>
      <c r="BP18">
        <f>'[55]Template '!$B$55</f>
        <v>0.3611111111111111</v>
      </c>
      <c r="BQ18">
        <f>'[55]Template '!$B$56</f>
        <v>0.80634920634920648</v>
      </c>
      <c r="BS18">
        <f>'[55]Template '!$B$74</f>
        <v>0.7</v>
      </c>
      <c r="BT18" t="str">
        <f>'[55]Template '!$B$75</f>
        <v>n/a</v>
      </c>
      <c r="BU18">
        <f>'[55]Template '!$B$76</f>
        <v>0.3214285714285714</v>
      </c>
      <c r="BV18">
        <f>'[55]Template '!$B$77</f>
        <v>0.45833333333333331</v>
      </c>
      <c r="BW18">
        <f>'[55]Template '!$B$78</f>
        <v>0.82936507936507919</v>
      </c>
      <c r="BY18">
        <f>'[55]Template '!$B$96</f>
        <v>0.75</v>
      </c>
      <c r="BZ18">
        <f>'[55]Template '!$B$97</f>
        <v>0.24444444444444446</v>
      </c>
      <c r="CA18">
        <f>'[55]Template '!$B$98</f>
        <v>0.5</v>
      </c>
      <c r="CB18">
        <f>'[55]Template '!$B$99</f>
        <v>0.88888888888888884</v>
      </c>
      <c r="CC18">
        <f>'[55]Template '!$B$100</f>
        <v>0.88571428571428568</v>
      </c>
      <c r="CF18">
        <f>'[55]Template '!$Z$30</f>
        <v>0</v>
      </c>
      <c r="CG18">
        <f>'[55]Template '!$AB$75</f>
        <v>0</v>
      </c>
      <c r="CH18">
        <f>'[55]Template '!$C$89</f>
        <v>0</v>
      </c>
      <c r="CI18">
        <f>'[55]Template '!$AF$75</f>
        <v>0</v>
      </c>
      <c r="CJ18">
        <f>'[55]Template '!$AR$97</f>
        <v>1</v>
      </c>
      <c r="CK18">
        <f>'[55]Template '!$AS$97</f>
        <v>1</v>
      </c>
      <c r="CL18">
        <f>'[55]Template '!$AZ$97</f>
        <v>1</v>
      </c>
      <c r="CM18">
        <f>'[55]Template '!$BB$97</f>
        <v>0</v>
      </c>
      <c r="CN18">
        <f>'[55]Template '!$AU$53</f>
        <v>0</v>
      </c>
      <c r="CO18">
        <f>'[55]Template '!$AV$53</f>
        <v>0</v>
      </c>
      <c r="CP18">
        <f>'[55]Template '!$AY$53</f>
        <v>0</v>
      </c>
      <c r="CQ18">
        <f>'[55]Template '!$AX$53</f>
        <v>0</v>
      </c>
      <c r="CR18">
        <f>'[55]Template '!$AZ$53</f>
        <v>0</v>
      </c>
      <c r="CS18">
        <f>'[55]Template '!$BF$53</f>
        <v>0</v>
      </c>
      <c r="CT18">
        <f t="shared" si="1"/>
        <v>0</v>
      </c>
      <c r="CU18">
        <f t="shared" si="2"/>
        <v>3</v>
      </c>
      <c r="CV18">
        <f t="shared" si="3"/>
        <v>3</v>
      </c>
      <c r="CY18" t="str">
        <f>'[55]Template '!$E$2</f>
        <v>A</v>
      </c>
      <c r="CZ18">
        <f>'[55]Template '!$B$13</f>
        <v>2</v>
      </c>
      <c r="DA18" t="str">
        <f>'[55]Template '!$D$2</f>
        <v>n/a</v>
      </c>
      <c r="DB18">
        <f>'[55]Template '!$D$3</f>
        <v>0</v>
      </c>
      <c r="DC18">
        <f>'[55]Template '!$F$2</f>
        <v>45464</v>
      </c>
      <c r="DE18">
        <f>'[55]Template '!$B$12</f>
        <v>21</v>
      </c>
      <c r="DF18" t="str">
        <f>'[55]Template '!$B$14</f>
        <v>9/20</v>
      </c>
      <c r="DG18" t="str">
        <f>'[55]Template '!$B$15</f>
        <v>10/21</v>
      </c>
      <c r="DH18">
        <f>'[55]Template '!$B$16</f>
        <v>48</v>
      </c>
      <c r="DI18">
        <f>'[55]Template '!$B$17</f>
        <v>0</v>
      </c>
      <c r="DJ18">
        <f>'[55]Template '!$B$18</f>
        <v>0</v>
      </c>
      <c r="DK18">
        <f>'[55]Template '!$B$19</f>
        <v>0</v>
      </c>
      <c r="DL18">
        <f>'[55]Template '!$B$20</f>
        <v>0</v>
      </c>
      <c r="DM18">
        <f>'[55]Template '!$B$21</f>
        <v>0</v>
      </c>
      <c r="DN18">
        <f>'[55]Template '!$B$22</f>
        <v>1</v>
      </c>
      <c r="DP18">
        <f>'[55]Template '!$I$13</f>
        <v>5</v>
      </c>
      <c r="DQ18">
        <f>'[55]Template '!$I$14</f>
        <v>5</v>
      </c>
      <c r="DR18">
        <f>'[55]Template '!$I$15</f>
        <v>4</v>
      </c>
      <c r="DS18">
        <f>'[55]Template '!$I$16</f>
        <v>4</v>
      </c>
      <c r="DT18">
        <f>'[55]Template '!$I$17</f>
        <v>4</v>
      </c>
      <c r="DU18">
        <f>'[55]Template '!$I$18</f>
        <v>3</v>
      </c>
      <c r="DV18">
        <f>'[55]Template '!$I$19</f>
        <v>5</v>
      </c>
      <c r="DW18">
        <f>'[55]Template '!$I$20</f>
        <v>1</v>
      </c>
      <c r="DX18">
        <f>'[55]Template '!$I$21</f>
        <v>4</v>
      </c>
      <c r="DY18">
        <f>'[55]Template '!$I$22</f>
        <v>3</v>
      </c>
      <c r="DZ18">
        <f>'[55]Template '!$I$23</f>
        <v>5</v>
      </c>
      <c r="EA18">
        <f>'[55]Template '!$I$24</f>
        <v>0</v>
      </c>
      <c r="ED18">
        <f>'[55]Template '!$L$13</f>
        <v>3</v>
      </c>
      <c r="EE18">
        <f>'[55]Template '!$L$14</f>
        <v>2</v>
      </c>
      <c r="EF18">
        <f>'[55]Template '!$L$15</f>
        <v>2</v>
      </c>
      <c r="EG18">
        <f>'[55]Template '!$L$16</f>
        <v>3</v>
      </c>
      <c r="EH18">
        <f>'[55]Template '!$L$17</f>
        <v>3</v>
      </c>
      <c r="EI18">
        <f>'[55]Template '!$L$18</f>
        <v>2</v>
      </c>
      <c r="EJ18">
        <f>'[55]Template '!$L$19</f>
        <v>5</v>
      </c>
      <c r="EK18">
        <f>'[55]Template '!$L$20</f>
        <v>4</v>
      </c>
      <c r="EL18">
        <f>'[55]Template '!$L$21</f>
        <v>2</v>
      </c>
      <c r="EM18">
        <f>'[55]Template '!$L$22</f>
        <v>2</v>
      </c>
      <c r="EN18">
        <f>'[55]Template '!$L$23</f>
        <v>5</v>
      </c>
      <c r="EQ18">
        <f>'[55]Template '!$O$13</f>
        <v>3</v>
      </c>
      <c r="ER18">
        <f>'[55]Template '!$O$14</f>
        <v>1</v>
      </c>
      <c r="ES18">
        <f>'[55]Template '!$O$15</f>
        <v>1</v>
      </c>
      <c r="ET18">
        <f>'[55]Template '!$O$16</f>
        <v>1</v>
      </c>
      <c r="EU18">
        <f>'[55]Template '!$O$17</f>
        <v>5</v>
      </c>
      <c r="EV18">
        <f>'[55]Template '!$O$18</f>
        <v>1</v>
      </c>
      <c r="EW18">
        <f>'[55]Template '!$O$19</f>
        <v>1</v>
      </c>
      <c r="EX18">
        <f>'[55]Template '!$O$20</f>
        <v>3</v>
      </c>
      <c r="EY18">
        <f>'[55]Template '!$O$21</f>
        <v>1</v>
      </c>
      <c r="EZ18">
        <f>'[55]Template '!$O$22</f>
        <v>1</v>
      </c>
      <c r="FA18">
        <f>'[55]Template '!$O$23</f>
        <v>1</v>
      </c>
      <c r="FL18">
        <f>'[55]Template '!$D$5</f>
        <v>0.50917658730158732</v>
      </c>
      <c r="FM18">
        <f>'[55]Template '!$D$6</f>
        <v>0.57728174603174598</v>
      </c>
      <c r="FN18">
        <f>'[55]Template '!$D$7</f>
        <v>0.37682539682539684</v>
      </c>
      <c r="FO18">
        <f>'[55]Template '!$D$8</f>
        <v>0.65380952380952384</v>
      </c>
      <c r="FP18">
        <f>'[55]Template '!$D$9</f>
        <v>0.52927331349206352</v>
      </c>
      <c r="FR18">
        <f>'[55]Template '!$E$5</f>
        <v>0.4880368814192344</v>
      </c>
      <c r="FS18">
        <f>'[55]Template '!$E$6</f>
        <v>0.58174603174603168</v>
      </c>
      <c r="FT18">
        <f>'[55]Template '!$E$7</f>
        <v>0.38376984126984126</v>
      </c>
      <c r="FU18">
        <f>'[55]Template '!$E$8</f>
        <v>0.58887445887445888</v>
      </c>
      <c r="FV18">
        <f>'[55]Template '!$E$9</f>
        <v>0.51060680332739161</v>
      </c>
    </row>
    <row r="19" spans="1:178" x14ac:dyDescent="0.2">
      <c r="A19" t="str">
        <f>'[56]Template '!$A$2</f>
        <v>M_067</v>
      </c>
      <c r="C19" t="str">
        <f t="shared" si="0"/>
        <v>M_067.xlsx</v>
      </c>
      <c r="E19" t="str">
        <f>'[56]Template '!$C$2</f>
        <v>mSTAT only</v>
      </c>
      <c r="G19">
        <f>'[56]Template '!$C$29</f>
        <v>0.3888888888888889</v>
      </c>
      <c r="H19" t="str">
        <f>'[56]Template '!$C$30</f>
        <v>n/a</v>
      </c>
      <c r="I19">
        <f>'[56]Template '!$C$31</f>
        <v>0.41666666666666663</v>
      </c>
      <c r="J19">
        <f>'[56]Template '!$C$32</f>
        <v>0.48529411764705882</v>
      </c>
      <c r="K19">
        <f>'[56]Template '!$C$33</f>
        <v>0.42460317460317459</v>
      </c>
      <c r="M19">
        <f>'[56]Template '!$C$80</f>
        <v>961</v>
      </c>
      <c r="N19">
        <f>'[56]Template '!$C$81</f>
        <v>20</v>
      </c>
      <c r="O19">
        <f>'[56]Template '!$C$82</f>
        <v>2</v>
      </c>
      <c r="P19">
        <f>'[56]Template '!$C$83</f>
        <v>1</v>
      </c>
      <c r="Q19">
        <f>'[56]Template '!$C$84</f>
        <v>2</v>
      </c>
      <c r="R19">
        <f>'[56]Template '!$C$85</f>
        <v>1</v>
      </c>
      <c r="T19">
        <f>'[56]Template '!$C$74</f>
        <v>0</v>
      </c>
      <c r="U19" t="str">
        <f>'[56]Template '!$C$75</f>
        <v>n/a</v>
      </c>
      <c r="V19">
        <f>'[56]Template '!$C$76</f>
        <v>0.3214285714285714</v>
      </c>
      <c r="W19">
        <f>'[56]Template '!$C$77</f>
        <v>0.47619047619047616</v>
      </c>
      <c r="X19">
        <f>'[56]Template '!$C$78</f>
        <v>0.44444444444444442</v>
      </c>
      <c r="Z19">
        <f>'[56]Template '!$C$80</f>
        <v>961</v>
      </c>
      <c r="AA19">
        <f>'[56]Template '!$C$81</f>
        <v>20</v>
      </c>
      <c r="AB19">
        <f>'[56]Template '!$C$82</f>
        <v>2</v>
      </c>
      <c r="AC19">
        <f>'[56]Template '!$C$83</f>
        <v>1</v>
      </c>
      <c r="AD19">
        <f>'[56]Template '!$C$84</f>
        <v>2</v>
      </c>
      <c r="AE19">
        <f>'[56]Template '!$C$85</f>
        <v>1</v>
      </c>
      <c r="AG19">
        <f>'[56]Template '!$C$96</f>
        <v>0.4375</v>
      </c>
      <c r="AH19">
        <f>'[56]Template '!$C$97</f>
        <v>0.4148148148148148</v>
      </c>
      <c r="AI19">
        <f>'[56]Template '!$C$98</f>
        <v>0.5</v>
      </c>
      <c r="AJ19">
        <f>'[56]Template '!$C$99</f>
        <v>0.67243867243867239</v>
      </c>
      <c r="AK19">
        <f>'[56]Template '!$C$100</f>
        <v>0.77460317460317452</v>
      </c>
      <c r="AM19">
        <f>'[56]Template '!$C$102</f>
        <v>878</v>
      </c>
      <c r="AN19">
        <f>'[56]Template '!$C$103</f>
        <v>40</v>
      </c>
      <c r="AO19">
        <f>'[56]Template '!$C$104</f>
        <v>2</v>
      </c>
      <c r="AP19">
        <f>'[56]Template '!$C$105</f>
        <v>2</v>
      </c>
      <c r="AQ19">
        <f>'[56]Template '!$C$106</f>
        <v>3</v>
      </c>
      <c r="AR19">
        <f>'[56]Template '!$C$107</f>
        <v>3</v>
      </c>
      <c r="AT19">
        <f>'[56]Template '!$C$52</f>
        <v>0.75</v>
      </c>
      <c r="AU19">
        <f>'[56]Template '!$C$53</f>
        <v>0.4148148148148148</v>
      </c>
      <c r="AV19">
        <f>'[56]Template '!$C$54</f>
        <v>0.5</v>
      </c>
      <c r="AW19">
        <f>'[56]Template '!$C$55</f>
        <v>0.79166666666666663</v>
      </c>
      <c r="AX19">
        <f>'[56]Template '!$C$56</f>
        <v>0.86587301587301579</v>
      </c>
      <c r="AZ19">
        <f>'[56]Template '!$C$58</f>
        <v>1029</v>
      </c>
      <c r="BA19">
        <f>'[56]Template '!$C$59</f>
        <v>70</v>
      </c>
      <c r="BB19">
        <f>'[56]Template '!$C$60</f>
        <v>2</v>
      </c>
      <c r="BC19">
        <f>'[56]Template '!$C$61</f>
        <v>3</v>
      </c>
      <c r="BD19">
        <f>'[56]Template '!$C$62</f>
        <v>4</v>
      </c>
      <c r="BE19">
        <f>'[56]Template '!$C$63</f>
        <v>4</v>
      </c>
      <c r="BG19">
        <f>'[56]Template '!$B$29</f>
        <v>0.3888888888888889</v>
      </c>
      <c r="BH19" t="str">
        <f>'[56]Template '!$B$30</f>
        <v>n/a</v>
      </c>
      <c r="BI19">
        <f>'[56]Template '!$B$31</f>
        <v>0.41666666666666663</v>
      </c>
      <c r="BJ19">
        <f>'[56]Template '!$B$32</f>
        <v>0.5625</v>
      </c>
      <c r="BK19">
        <f>'[56]Template '!$B$33</f>
        <v>0.42460317460317459</v>
      </c>
      <c r="BM19">
        <f>'[56]Template '!$B$52</f>
        <v>0.75</v>
      </c>
      <c r="BN19">
        <f>'[56]Template '!$B$53</f>
        <v>0.4148148148148148</v>
      </c>
      <c r="BO19">
        <f>'[56]Template '!$B$54</f>
        <v>0.5</v>
      </c>
      <c r="BP19">
        <f>'[56]Template '!$B$55</f>
        <v>0.83333333333333337</v>
      </c>
      <c r="BQ19">
        <f>'[56]Template '!$B$56</f>
        <v>0.86587301587301579</v>
      </c>
      <c r="BS19">
        <f>'[56]Template '!$B$74</f>
        <v>0</v>
      </c>
      <c r="BT19" t="str">
        <f>'[56]Template '!$B$75</f>
        <v>n/a</v>
      </c>
      <c r="BU19">
        <f>'[56]Template '!$B$76</f>
        <v>0.3214285714285714</v>
      </c>
      <c r="BV19">
        <f>'[56]Template '!$B$77</f>
        <v>0.45833333333333331</v>
      </c>
      <c r="BW19">
        <f>'[56]Template '!$B$78</f>
        <v>0.44444444444444442</v>
      </c>
      <c r="BY19">
        <f>'[56]Template '!$B$96</f>
        <v>0.4375</v>
      </c>
      <c r="BZ19">
        <f>'[56]Template '!$B$97</f>
        <v>0.4148148148148148</v>
      </c>
      <c r="CA19">
        <f>'[56]Template '!$B$98</f>
        <v>0.5</v>
      </c>
      <c r="CB19">
        <f>'[56]Template '!$B$99</f>
        <v>0.88888888888888884</v>
      </c>
      <c r="CC19">
        <f>'[56]Template '!$B$100</f>
        <v>0.77460317460317452</v>
      </c>
      <c r="CF19">
        <f>'[56]Template '!$Z$30</f>
        <v>0</v>
      </c>
      <c r="CG19">
        <f>'[56]Template '!$AB$75</f>
        <v>0</v>
      </c>
      <c r="CH19">
        <f>'[56]Template '!$C$89</f>
        <v>0</v>
      </c>
      <c r="CI19">
        <f>'[56]Template '!$AF$75</f>
        <v>0</v>
      </c>
      <c r="CJ19">
        <f>'[56]Template '!$AR$97</f>
        <v>1</v>
      </c>
      <c r="CK19">
        <f>'[56]Template '!$AS$97</f>
        <v>1</v>
      </c>
      <c r="CL19">
        <f>'[56]Template '!$AZ$97</f>
        <v>1</v>
      </c>
      <c r="CM19">
        <f>'[56]Template '!$BB$97</f>
        <v>0</v>
      </c>
      <c r="CN19">
        <f>'[56]Template '!$AU$53</f>
        <v>1</v>
      </c>
      <c r="CO19">
        <f>'[56]Template '!$AV$53</f>
        <v>1</v>
      </c>
      <c r="CP19">
        <f>'[56]Template '!$AY$53</f>
        <v>1</v>
      </c>
      <c r="CQ19">
        <f>'[56]Template '!$AX$53</f>
        <v>1</v>
      </c>
      <c r="CR19">
        <f>'[56]Template '!$AZ$53</f>
        <v>0</v>
      </c>
      <c r="CS19">
        <f>'[56]Template '!$BF$53</f>
        <v>1</v>
      </c>
      <c r="CT19">
        <f t="shared" si="1"/>
        <v>0</v>
      </c>
      <c r="CU19">
        <f t="shared" si="2"/>
        <v>8</v>
      </c>
      <c r="CV19">
        <f t="shared" si="3"/>
        <v>8</v>
      </c>
      <c r="CY19" t="str">
        <f>'[56]Template '!$E$2</f>
        <v>B</v>
      </c>
      <c r="CZ19">
        <f>'[56]Template '!$B$13</f>
        <v>1</v>
      </c>
      <c r="DA19" t="str">
        <f>'[56]Template '!$D$2</f>
        <v>n/a</v>
      </c>
      <c r="DB19">
        <f>'[56]Template '!$D$3</f>
        <v>0</v>
      </c>
      <c r="DC19">
        <f>'[56]Template '!$F$2</f>
        <v>45463</v>
      </c>
      <c r="DE19">
        <f>'[56]Template '!$B$12</f>
        <v>19</v>
      </c>
      <c r="DF19" t="str">
        <f>'[56]Template '!$B$14</f>
        <v>10/22</v>
      </c>
      <c r="DG19" t="str">
        <f>'[56]Template '!$B$15</f>
        <v>5/23</v>
      </c>
      <c r="DH19">
        <f>'[56]Template '!$B$16</f>
        <v>12</v>
      </c>
      <c r="DI19">
        <f>'[56]Template '!$B$17</f>
        <v>0</v>
      </c>
      <c r="DJ19">
        <f>'[56]Template '!$B$18</f>
        <v>0</v>
      </c>
      <c r="DK19">
        <f>'[56]Template '!$B$19</f>
        <v>0</v>
      </c>
      <c r="DL19">
        <f>'[56]Template '!$B$20</f>
        <v>0</v>
      </c>
      <c r="DM19">
        <f>'[56]Template '!$B$21</f>
        <v>0</v>
      </c>
      <c r="DN19">
        <f>'[56]Template '!$B$22</f>
        <v>1</v>
      </c>
      <c r="DP19">
        <f>'[56]Template '!$I$13</f>
        <v>4</v>
      </c>
      <c r="DQ19">
        <f>'[56]Template '!$I$14</f>
        <v>4</v>
      </c>
      <c r="DR19">
        <f>'[56]Template '!$I$15</f>
        <v>4</v>
      </c>
      <c r="DS19">
        <f>'[56]Template '!$I$16</f>
        <v>2</v>
      </c>
      <c r="DT19">
        <f>'[56]Template '!$I$17</f>
        <v>4</v>
      </c>
      <c r="DU19">
        <f>'[56]Template '!$I$18</f>
        <v>2</v>
      </c>
      <c r="DV19">
        <f>'[56]Template '!$I$19</f>
        <v>4</v>
      </c>
      <c r="DW19">
        <f>'[56]Template '!$I$20</f>
        <v>2</v>
      </c>
      <c r="DX19">
        <f>'[56]Template '!$I$21</f>
        <v>2</v>
      </c>
      <c r="DY19">
        <f>'[56]Template '!$I$22</f>
        <v>2</v>
      </c>
      <c r="DZ19">
        <f>'[56]Template '!$I$23</f>
        <v>4</v>
      </c>
      <c r="EA19">
        <f>'[56]Template '!$I$24</f>
        <v>1</v>
      </c>
      <c r="ED19">
        <f>'[56]Template '!$L$13</f>
        <v>4</v>
      </c>
      <c r="EE19">
        <f>'[56]Template '!$L$14</f>
        <v>4</v>
      </c>
      <c r="EF19">
        <f>'[56]Template '!$L$15</f>
        <v>4</v>
      </c>
      <c r="EG19">
        <f>'[56]Template '!$L$16</f>
        <v>4</v>
      </c>
      <c r="EH19">
        <f>'[56]Template '!$L$17</f>
        <v>4</v>
      </c>
      <c r="EI19">
        <f>'[56]Template '!$L$18</f>
        <v>2</v>
      </c>
      <c r="EJ19">
        <f>'[56]Template '!$L$19</f>
        <v>4</v>
      </c>
      <c r="EK19">
        <f>'[56]Template '!$L$20</f>
        <v>2</v>
      </c>
      <c r="EL19">
        <f>'[56]Template '!$L$21</f>
        <v>2</v>
      </c>
      <c r="EM19">
        <f>'[56]Template '!$L$22</f>
        <v>3</v>
      </c>
      <c r="EN19">
        <f>'[56]Template '!$L$23</f>
        <v>4</v>
      </c>
      <c r="EQ19">
        <f>'[56]Template '!$O$13</f>
        <v>4</v>
      </c>
      <c r="ER19">
        <f>'[56]Template '!$O$14</f>
        <v>2</v>
      </c>
      <c r="ES19">
        <f>'[56]Template '!$O$15</f>
        <v>2</v>
      </c>
      <c r="ET19">
        <f>'[56]Template '!$O$16</f>
        <v>3</v>
      </c>
      <c r="EU19">
        <f>'[56]Template '!$O$17</f>
        <v>4</v>
      </c>
      <c r="EV19">
        <f>'[56]Template '!$O$18</f>
        <v>3</v>
      </c>
      <c r="EW19">
        <f>'[56]Template '!$O$19</f>
        <v>2</v>
      </c>
      <c r="EX19">
        <f>'[56]Template '!$O$20</f>
        <v>3</v>
      </c>
      <c r="EY19">
        <f>'[56]Template '!$O$21</f>
        <v>2</v>
      </c>
      <c r="EZ19">
        <f>'[56]Template '!$O$22</f>
        <v>2</v>
      </c>
      <c r="FA19">
        <f>'[56]Template '!$O$23</f>
        <v>2</v>
      </c>
      <c r="FL19">
        <f>'[56]Template '!$D$5</f>
        <v>0.44816468253968256</v>
      </c>
      <c r="FM19">
        <f>'[56]Template '!$D$6</f>
        <v>0.30605158730158727</v>
      </c>
      <c r="FN19">
        <f>'[56]Template '!$D$7</f>
        <v>0.67280423280423274</v>
      </c>
      <c r="FO19">
        <f>'[56]Template '!$D$8</f>
        <v>0.60316137566137562</v>
      </c>
      <c r="FP19">
        <f>'[56]Template '!$D$9</f>
        <v>0.50754546957671953</v>
      </c>
      <c r="FR19">
        <f>'[56]Template '!$E$5</f>
        <v>0.42886321195144728</v>
      </c>
      <c r="FS19">
        <f>'[56]Template '!$E$6</f>
        <v>0.31051587301587302</v>
      </c>
      <c r="FT19">
        <f>'[56]Template '!$E$7</f>
        <v>0.66447089947089943</v>
      </c>
      <c r="FU19">
        <f>'[56]Template '!$E$8</f>
        <v>0.55987133237133224</v>
      </c>
      <c r="FV19">
        <f>'[56]Template '!$E$9</f>
        <v>0.49093032920238799</v>
      </c>
    </row>
    <row r="20" spans="1:178" x14ac:dyDescent="0.2">
      <c r="A20" t="str">
        <f>'[57]Template '!$A$2</f>
        <v>M_066</v>
      </c>
      <c r="C20" t="str">
        <f t="shared" si="0"/>
        <v>M_066.xlsx</v>
      </c>
      <c r="E20" t="str">
        <f>'[57]Template '!$C$2</f>
        <v>mSTAT only</v>
      </c>
      <c r="G20">
        <f>'[57]Template '!$C$29</f>
        <v>0.3888888888888889</v>
      </c>
      <c r="H20" t="str">
        <f>'[57]Template '!$C$30</f>
        <v>n/a</v>
      </c>
      <c r="I20">
        <f>'[57]Template '!$C$31</f>
        <v>0</v>
      </c>
      <c r="J20">
        <f>'[57]Template '!$C$32</f>
        <v>0.57352941176470584</v>
      </c>
      <c r="K20">
        <f>'[57]Template '!$C$33</f>
        <v>0.4781746031746032</v>
      </c>
      <c r="M20">
        <f>'[57]Template '!$C$80</f>
        <v>995</v>
      </c>
      <c r="N20">
        <f>'[57]Template '!$C$81</f>
        <v>30</v>
      </c>
      <c r="O20">
        <f>'[57]Template '!$C$82</f>
        <v>2</v>
      </c>
      <c r="P20">
        <f>'[57]Template '!$C$83</f>
        <v>1.5</v>
      </c>
      <c r="Q20">
        <f>'[57]Template '!$C$84</f>
        <v>2</v>
      </c>
      <c r="R20">
        <f>'[57]Template '!$C$85</f>
        <v>1</v>
      </c>
      <c r="T20">
        <f>'[57]Template '!$C$74</f>
        <v>0.35909090909090913</v>
      </c>
      <c r="U20" t="str">
        <f>'[57]Template '!$C$75</f>
        <v>n/a</v>
      </c>
      <c r="V20">
        <f>'[57]Template '!$C$76</f>
        <v>0.2857142857142857</v>
      </c>
      <c r="W20">
        <f>'[57]Template '!$C$77</f>
        <v>0.44047619047619047</v>
      </c>
      <c r="X20">
        <f>'[57]Template '!$C$78</f>
        <v>0.59722222222222221</v>
      </c>
      <c r="Z20">
        <f>'[57]Template '!$C$80</f>
        <v>995</v>
      </c>
      <c r="AA20">
        <f>'[57]Template '!$C$81</f>
        <v>30</v>
      </c>
      <c r="AB20">
        <f>'[57]Template '!$C$82</f>
        <v>2</v>
      </c>
      <c r="AC20">
        <f>'[57]Template '!$C$83</f>
        <v>1.5</v>
      </c>
      <c r="AD20">
        <f>'[57]Template '!$C$84</f>
        <v>2</v>
      </c>
      <c r="AE20">
        <f>'[57]Template '!$C$85</f>
        <v>1</v>
      </c>
      <c r="AG20">
        <f>'[57]Template '!$C$96</f>
        <v>0.66666666666666663</v>
      </c>
      <c r="AH20">
        <f>'[57]Template '!$C$97</f>
        <v>0.54074074074074074</v>
      </c>
      <c r="AI20">
        <f>'[57]Template '!$C$98</f>
        <v>0.5</v>
      </c>
      <c r="AJ20">
        <f>'[57]Template '!$C$99</f>
        <v>0.40367965367965364</v>
      </c>
      <c r="AK20">
        <f>'[57]Template '!$C$100</f>
        <v>0.6694444444444444</v>
      </c>
      <c r="AM20">
        <f>'[57]Template '!$C$102</f>
        <v>1275</v>
      </c>
      <c r="AN20">
        <f>'[57]Template '!$C$103</f>
        <v>35</v>
      </c>
      <c r="AO20">
        <f>'[57]Template '!$C$104</f>
        <v>2</v>
      </c>
      <c r="AP20">
        <f>'[57]Template '!$C$105</f>
        <v>2</v>
      </c>
      <c r="AQ20">
        <f>'[57]Template '!$C$106</f>
        <v>2</v>
      </c>
      <c r="AR20">
        <f>'[57]Template '!$C$107</f>
        <v>2</v>
      </c>
      <c r="AT20">
        <f>'[57]Template '!$C$52</f>
        <v>0.68333333333333335</v>
      </c>
      <c r="AU20">
        <f>'[57]Template '!$C$53</f>
        <v>0.54074074074074074</v>
      </c>
      <c r="AV20">
        <f>'[57]Template '!$C$54</f>
        <v>0.5</v>
      </c>
      <c r="AW20">
        <f>'[57]Template '!$C$55</f>
        <v>0.36309523809523808</v>
      </c>
      <c r="AX20">
        <f>'[57]Template '!$C$56</f>
        <v>0.80992063492063482</v>
      </c>
      <c r="AZ20">
        <f>'[57]Template '!$C$58</f>
        <v>1200</v>
      </c>
      <c r="BA20">
        <f>'[57]Template '!$C$59</f>
        <v>50</v>
      </c>
      <c r="BB20">
        <f>'[57]Template '!$C$60</f>
        <v>2.5</v>
      </c>
      <c r="BC20">
        <f>'[57]Template '!$C$61</f>
        <v>2</v>
      </c>
      <c r="BD20">
        <f>'[57]Template '!$C$62</f>
        <v>2.5</v>
      </c>
      <c r="BE20">
        <f>'[57]Template '!$C$63</f>
        <v>2.5</v>
      </c>
      <c r="BG20">
        <f>'[57]Template '!$B$29</f>
        <v>0.3888888888888889</v>
      </c>
      <c r="BH20" t="str">
        <f>'[57]Template '!$B$30</f>
        <v>n/a</v>
      </c>
      <c r="BI20">
        <f>'[57]Template '!$B$31</f>
        <v>0</v>
      </c>
      <c r="BJ20">
        <f>'[57]Template '!$B$32</f>
        <v>0.625</v>
      </c>
      <c r="BK20">
        <f>'[57]Template '!$B$33</f>
        <v>0.4781746031746032</v>
      </c>
      <c r="BM20">
        <f>'[57]Template '!$B$52</f>
        <v>0.72499999999999998</v>
      </c>
      <c r="BN20">
        <f>'[57]Template '!$B$53</f>
        <v>0.54074074074074074</v>
      </c>
      <c r="BO20">
        <f>'[57]Template '!$B$54</f>
        <v>0.5</v>
      </c>
      <c r="BP20">
        <f>'[57]Template '!$B$55</f>
        <v>0.51851851851851849</v>
      </c>
      <c r="BQ20">
        <f>'[57]Template '!$B$56</f>
        <v>0.80992063492063482</v>
      </c>
      <c r="BS20">
        <f>'[57]Template '!$B$74</f>
        <v>0.35909090909090913</v>
      </c>
      <c r="BT20" t="str">
        <f>'[57]Template '!$B$75</f>
        <v>n/a</v>
      </c>
      <c r="BU20">
        <f>'[57]Template '!$B$76</f>
        <v>0.2857142857142857</v>
      </c>
      <c r="BV20">
        <f>'[57]Template '!$B$77</f>
        <v>0.39583333333333331</v>
      </c>
      <c r="BW20">
        <f>'[57]Template '!$B$78</f>
        <v>0.59722222222222221</v>
      </c>
      <c r="BY20">
        <f>'[57]Template '!$B$96</f>
        <v>0.66666666666666663</v>
      </c>
      <c r="BZ20">
        <f>'[57]Template '!$B$97</f>
        <v>0.54074074074074074</v>
      </c>
      <c r="CA20">
        <f>'[57]Template '!$B$98</f>
        <v>0.5</v>
      </c>
      <c r="CB20">
        <f>'[57]Template '!$B$99</f>
        <v>0.45833333333333331</v>
      </c>
      <c r="CC20">
        <f>'[57]Template '!$B$100</f>
        <v>0.6694444444444444</v>
      </c>
      <c r="CF20">
        <f>'[57]Template '!$Z$30</f>
        <v>0</v>
      </c>
      <c r="CG20">
        <f>'[57]Template '!$AB$75</f>
        <v>0</v>
      </c>
      <c r="CH20">
        <f>'[57]Template '!$C$89</f>
        <v>0</v>
      </c>
      <c r="CI20">
        <f>'[57]Template '!$AF$75</f>
        <v>0</v>
      </c>
      <c r="CJ20">
        <f>'[57]Template '!$AR$97</f>
        <v>0</v>
      </c>
      <c r="CK20">
        <f>'[57]Template '!$AS$97</f>
        <v>1</v>
      </c>
      <c r="CL20">
        <f>'[57]Template '!$AZ$97</f>
        <v>1</v>
      </c>
      <c r="CM20">
        <f>'[57]Template '!$BB$97</f>
        <v>1</v>
      </c>
      <c r="CN20">
        <f>'[57]Template '!$AU$53</f>
        <v>0</v>
      </c>
      <c r="CO20">
        <f>'[57]Template '!$AV$53</f>
        <v>1</v>
      </c>
      <c r="CP20">
        <f>'[57]Template '!$AY$53</f>
        <v>0</v>
      </c>
      <c r="CQ20">
        <f>'[57]Template '!$AX$53</f>
        <v>0</v>
      </c>
      <c r="CR20">
        <f>'[57]Template '!$AZ$53</f>
        <v>0</v>
      </c>
      <c r="CS20">
        <f>'[57]Template '!$BF$53</f>
        <v>0</v>
      </c>
      <c r="CT20">
        <f t="shared" si="1"/>
        <v>0</v>
      </c>
      <c r="CU20">
        <f t="shared" si="2"/>
        <v>4</v>
      </c>
      <c r="CV20">
        <f t="shared" si="3"/>
        <v>4</v>
      </c>
      <c r="CY20" t="str">
        <f>'[57]Template '!$E$2</f>
        <v>A</v>
      </c>
      <c r="CZ20">
        <f>'[57]Template '!$B$13</f>
        <v>1</v>
      </c>
      <c r="DA20" t="str">
        <f>'[57]Template '!$D$2</f>
        <v>n/a</v>
      </c>
      <c r="DB20">
        <f>'[57]Template '!$D$3</f>
        <v>0</v>
      </c>
      <c r="DC20">
        <f>'[57]Template '!$F$2</f>
        <v>45496</v>
      </c>
      <c r="DE20">
        <f>'[57]Template '!$B$12</f>
        <v>20</v>
      </c>
      <c r="DF20" t="str">
        <f>'[57]Template '!$B$14</f>
        <v>10/23</v>
      </c>
      <c r="DG20" t="str">
        <f>'[57]Template '!$B$15</f>
        <v>3/24</v>
      </c>
      <c r="DH20">
        <f>'[57]Template '!$B$16</f>
        <v>12</v>
      </c>
      <c r="DI20">
        <f>'[57]Template '!$B$17</f>
        <v>0</v>
      </c>
      <c r="DJ20">
        <f>'[57]Template '!$B$18</f>
        <v>0</v>
      </c>
      <c r="DK20">
        <f>'[57]Template '!$B$19</f>
        <v>0</v>
      </c>
      <c r="DL20">
        <f>'[57]Template '!$B$20</f>
        <v>0</v>
      </c>
      <c r="DM20">
        <f>'[57]Template '!$B$21</f>
        <v>0</v>
      </c>
      <c r="DN20">
        <f>'[57]Template '!$B$22</f>
        <v>0</v>
      </c>
      <c r="DP20">
        <f>'[57]Template '!$I$13</f>
        <v>5</v>
      </c>
      <c r="DQ20">
        <f>'[57]Template '!$I$14</f>
        <v>5</v>
      </c>
      <c r="DR20">
        <f>'[57]Template '!$I$15</f>
        <v>4</v>
      </c>
      <c r="DS20">
        <f>'[57]Template '!$I$16</f>
        <v>4</v>
      </c>
      <c r="DT20">
        <f>'[57]Template '!$I$17</f>
        <v>5</v>
      </c>
      <c r="DU20">
        <f>'[57]Template '!$I$18</f>
        <v>3</v>
      </c>
      <c r="DV20">
        <f>'[57]Template '!$I$19</f>
        <v>5</v>
      </c>
      <c r="DW20">
        <f>'[57]Template '!$I$20</f>
        <v>3</v>
      </c>
      <c r="DX20">
        <f>'[57]Template '!$I$21</f>
        <v>4</v>
      </c>
      <c r="DY20">
        <f>'[57]Template '!$I$22</f>
        <v>4</v>
      </c>
      <c r="DZ20">
        <f>'[57]Template '!$I$23</f>
        <v>5</v>
      </c>
      <c r="EA20">
        <f>'[57]Template '!$I$24</f>
        <v>0</v>
      </c>
      <c r="ED20">
        <f>'[57]Template '!$L$13</f>
        <v>5</v>
      </c>
      <c r="EE20">
        <f>'[57]Template '!$L$14</f>
        <v>5</v>
      </c>
      <c r="EF20">
        <f>'[57]Template '!$L$15</f>
        <v>2</v>
      </c>
      <c r="EG20">
        <f>'[57]Template '!$L$16</f>
        <v>3</v>
      </c>
      <c r="EH20">
        <f>'[57]Template '!$L$17</f>
        <v>4</v>
      </c>
      <c r="EI20">
        <f>'[57]Template '!$L$18</f>
        <v>4</v>
      </c>
      <c r="EJ20">
        <f>'[57]Template '!$L$19</f>
        <v>5</v>
      </c>
      <c r="EK20">
        <f>'[57]Template '!$L$20</f>
        <v>2</v>
      </c>
      <c r="EL20">
        <f>'[57]Template '!$L$21</f>
        <v>4</v>
      </c>
      <c r="EM20">
        <f>'[57]Template '!$L$22</f>
        <v>5</v>
      </c>
      <c r="EN20">
        <f>'[57]Template '!$L$23</f>
        <v>5</v>
      </c>
      <c r="EQ20">
        <f>'[57]Template '!$O$13</f>
        <v>5</v>
      </c>
      <c r="ER20">
        <f>'[57]Template '!$O$14</f>
        <v>1</v>
      </c>
      <c r="ES20">
        <f>'[57]Template '!$O$15</f>
        <v>1</v>
      </c>
      <c r="ET20">
        <f>'[57]Template '!$O$16</f>
        <v>3</v>
      </c>
      <c r="EU20">
        <f>'[57]Template '!$O$17</f>
        <v>5</v>
      </c>
      <c r="EV20">
        <f>'[57]Template '!$O$18</f>
        <v>1</v>
      </c>
      <c r="EW20">
        <f>'[57]Template '!$O$19</f>
        <v>1</v>
      </c>
      <c r="EX20">
        <f>'[57]Template '!$O$20</f>
        <v>3</v>
      </c>
      <c r="EY20">
        <f>'[57]Template '!$O$21</f>
        <v>1</v>
      </c>
      <c r="EZ20">
        <f>'[57]Template '!$O$22</f>
        <v>1</v>
      </c>
      <c r="FA20">
        <f>'[57]Template '!$O$23</f>
        <v>1</v>
      </c>
      <c r="FL20">
        <f>'[57]Template '!$D$5</f>
        <v>0.37301587301587302</v>
      </c>
      <c r="FM20">
        <f>'[57]Template '!$D$6</f>
        <v>0.40946518759018757</v>
      </c>
      <c r="FN20">
        <f>'[57]Template '!$D$7</f>
        <v>0.61883597883597885</v>
      </c>
      <c r="FO20">
        <f>'[57]Template '!$D$8</f>
        <v>0.56703703703703701</v>
      </c>
      <c r="FP20">
        <f>'[57]Template '!$D$9</f>
        <v>0.49208851911976914</v>
      </c>
      <c r="FR20">
        <f>'[57]Template '!$E$5</f>
        <v>0.36014822595704948</v>
      </c>
      <c r="FS20">
        <f>'[57]Template '!$E$6</f>
        <v>0.42062590187590188</v>
      </c>
      <c r="FT20">
        <f>'[57]Template '!$E$7</f>
        <v>0.57941798941798939</v>
      </c>
      <c r="FU20">
        <f>'[57]Template '!$E$8</f>
        <v>0.5561063011063011</v>
      </c>
      <c r="FV20">
        <f>'[57]Template '!$E$9</f>
        <v>0.4790746045893105</v>
      </c>
    </row>
    <row r="21" spans="1:178" x14ac:dyDescent="0.2">
      <c r="A21" t="str">
        <f>'[58]Template '!$A$2</f>
        <v>M_065</v>
      </c>
      <c r="C21" t="str">
        <f t="shared" si="0"/>
        <v>M_065.xlsx</v>
      </c>
      <c r="E21" t="str">
        <f>'[58]Template '!$C$2</f>
        <v>mSTAT only</v>
      </c>
      <c r="G21">
        <f>'[58]Template '!$C$29</f>
        <v>0.3888888888888889</v>
      </c>
      <c r="H21" t="str">
        <f>'[58]Template '!$C$30</f>
        <v>n/a</v>
      </c>
      <c r="I21">
        <f>'[58]Template '!$C$31</f>
        <v>0.16666666666666666</v>
      </c>
      <c r="J21">
        <f>'[58]Template '!$C$32</f>
        <v>0.66013071895424846</v>
      </c>
      <c r="K21">
        <f>'[58]Template '!$C$33</f>
        <v>0.80555555555555547</v>
      </c>
      <c r="M21">
        <f>'[58]Template '!$C$80</f>
        <v>1200</v>
      </c>
      <c r="N21">
        <f>'[58]Template '!$C$81</f>
        <v>20</v>
      </c>
      <c r="O21">
        <f>'[58]Template '!$C$82</f>
        <v>2</v>
      </c>
      <c r="P21">
        <f>'[58]Template '!$C$83</f>
        <v>1</v>
      </c>
      <c r="Q21">
        <f>'[58]Template '!$C$84</f>
        <v>2</v>
      </c>
      <c r="R21">
        <f>'[58]Template '!$C$85</f>
        <v>1</v>
      </c>
      <c r="T21">
        <f>'[58]Template '!$C$74</f>
        <v>0.29090909090909089</v>
      </c>
      <c r="U21" t="str">
        <f>'[58]Template '!$C$75</f>
        <v>n/a</v>
      </c>
      <c r="V21">
        <f>'[58]Template '!$C$76</f>
        <v>0.3214285714285714</v>
      </c>
      <c r="W21">
        <f>'[58]Template '!$C$77</f>
        <v>0.45238095238095233</v>
      </c>
      <c r="X21">
        <f>'[58]Template '!$C$78</f>
        <v>0.2857142857142857</v>
      </c>
      <c r="Z21">
        <f>'[58]Template '!$C$80</f>
        <v>1200</v>
      </c>
      <c r="AA21">
        <f>'[58]Template '!$C$81</f>
        <v>20</v>
      </c>
      <c r="AB21">
        <f>'[58]Template '!$C$82</f>
        <v>2</v>
      </c>
      <c r="AC21">
        <f>'[58]Template '!$C$83</f>
        <v>1</v>
      </c>
      <c r="AD21">
        <f>'[58]Template '!$C$84</f>
        <v>2</v>
      </c>
      <c r="AE21">
        <f>'[58]Template '!$C$85</f>
        <v>1</v>
      </c>
      <c r="AG21">
        <f>'[58]Template '!$C$96</f>
        <v>0.75</v>
      </c>
      <c r="AH21">
        <f>'[58]Template '!$C$97</f>
        <v>0.71851851851851867</v>
      </c>
      <c r="AI21">
        <f>'[58]Template '!$C$98</f>
        <v>0</v>
      </c>
      <c r="AJ21">
        <f>'[58]Template '!$C$99</f>
        <v>0.61183261183261184</v>
      </c>
      <c r="AK21">
        <f>'[58]Template '!$C$100</f>
        <v>0.84920634920634919</v>
      </c>
      <c r="AM21">
        <f>'[58]Template '!$C$102</f>
        <v>1200</v>
      </c>
      <c r="AN21">
        <f>'[58]Template '!$C$103</f>
        <v>70</v>
      </c>
      <c r="AO21">
        <f>'[58]Template '!$C$104</f>
        <v>4</v>
      </c>
      <c r="AP21">
        <f>'[58]Template '!$C$105</f>
        <v>3</v>
      </c>
      <c r="AQ21">
        <f>'[58]Template '!$C$106</f>
        <v>4</v>
      </c>
      <c r="AR21">
        <f>'[58]Template '!$C$107</f>
        <v>4</v>
      </c>
      <c r="AT21">
        <f>'[58]Template '!$C$52</f>
        <v>0.75</v>
      </c>
      <c r="AU21">
        <f>'[58]Template '!$C$53</f>
        <v>0.71851851851851867</v>
      </c>
      <c r="AV21">
        <f>'[58]Template '!$C$54</f>
        <v>0</v>
      </c>
      <c r="AW21">
        <f>'[58]Template '!$C$55</f>
        <v>0.45833333333333331</v>
      </c>
      <c r="AX21">
        <f>'[58]Template '!$C$56</f>
        <v>0.79523809523809519</v>
      </c>
      <c r="AZ21">
        <f>'[58]Template '!$C$58</f>
        <v>1200</v>
      </c>
      <c r="BA21">
        <f>'[58]Template '!$C$59</f>
        <v>80</v>
      </c>
      <c r="BB21">
        <f>'[58]Template '!$C$60</f>
        <v>4</v>
      </c>
      <c r="BC21">
        <f>'[58]Template '!$C$61</f>
        <v>4</v>
      </c>
      <c r="BD21">
        <f>'[58]Template '!$C$62</f>
        <v>4</v>
      </c>
      <c r="BE21">
        <f>'[58]Template '!$C$63</f>
        <v>4</v>
      </c>
      <c r="BG21">
        <f>'[58]Template '!$B$29</f>
        <v>0.3888888888888889</v>
      </c>
      <c r="BH21" t="str">
        <f>'[58]Template '!$B$30</f>
        <v>n/a</v>
      </c>
      <c r="BI21">
        <f>'[58]Template '!$B$31</f>
        <v>0.16666666666666666</v>
      </c>
      <c r="BJ21">
        <f>'[58]Template '!$B$32</f>
        <v>0.75</v>
      </c>
      <c r="BK21">
        <f>'[58]Template '!$B$33</f>
        <v>0.80555555555555547</v>
      </c>
      <c r="BM21">
        <f>'[58]Template '!$B$52</f>
        <v>0.75</v>
      </c>
      <c r="BN21">
        <f>'[58]Template '!$B$53</f>
        <v>0.71851851851851867</v>
      </c>
      <c r="BO21">
        <f>'[58]Template '!$B$54</f>
        <v>0</v>
      </c>
      <c r="BP21">
        <f>'[58]Template '!$B$55</f>
        <v>0.5</v>
      </c>
      <c r="BQ21">
        <f>'[58]Template '!$B$56</f>
        <v>0.79523809523809519</v>
      </c>
      <c r="BS21">
        <f>'[58]Template '!$B$74</f>
        <v>0.29090909090909089</v>
      </c>
      <c r="BT21" t="str">
        <f>'[58]Template '!$B$75</f>
        <v>n/a</v>
      </c>
      <c r="BU21">
        <f>'[58]Template '!$B$76</f>
        <v>0.3214285714285714</v>
      </c>
      <c r="BV21">
        <f>'[58]Template '!$B$77</f>
        <v>0.33333333333333331</v>
      </c>
      <c r="BW21">
        <f>'[58]Template '!$B$78</f>
        <v>0.2857142857142857</v>
      </c>
      <c r="BY21">
        <f>'[58]Template '!$B$96</f>
        <v>0.75</v>
      </c>
      <c r="BZ21">
        <f>'[58]Template '!$B$97</f>
        <v>0.71851851851851867</v>
      </c>
      <c r="CA21">
        <f>'[58]Template '!$B$98</f>
        <v>0</v>
      </c>
      <c r="CB21">
        <f>'[58]Template '!$B$99</f>
        <v>0.88888888888888884</v>
      </c>
      <c r="CC21">
        <f>'[58]Template '!$B$100</f>
        <v>0.84920634920634919</v>
      </c>
      <c r="CF21">
        <f>'[58]Template '!$Z$30</f>
        <v>1</v>
      </c>
      <c r="CG21">
        <f>'[58]Template '!$AB$75</f>
        <v>0</v>
      </c>
      <c r="CH21">
        <f>'[58]Template '!$C$89</f>
        <v>0</v>
      </c>
      <c r="CI21">
        <f>'[58]Template '!$AF$75</f>
        <v>0</v>
      </c>
      <c r="CJ21">
        <f>'[58]Template '!$AR$97</f>
        <v>1</v>
      </c>
      <c r="CK21">
        <f>'[58]Template '!$AS$97</f>
        <v>1</v>
      </c>
      <c r="CL21">
        <f>'[58]Template '!$AZ$97</f>
        <v>0</v>
      </c>
      <c r="CM21">
        <f>'[58]Template '!$BB$97</f>
        <v>0</v>
      </c>
      <c r="CN21">
        <f>'[58]Template '!$AU$53</f>
        <v>1</v>
      </c>
      <c r="CO21">
        <f>'[58]Template '!$AV$53</f>
        <v>1</v>
      </c>
      <c r="CP21">
        <f>'[58]Template '!$AY$53</f>
        <v>1</v>
      </c>
      <c r="CQ21">
        <f>'[58]Template '!$AX$53</f>
        <v>1</v>
      </c>
      <c r="CR21">
        <f>'[58]Template '!$AZ$53</f>
        <v>0</v>
      </c>
      <c r="CS21">
        <f>'[58]Template '!$BF$53</f>
        <v>0</v>
      </c>
      <c r="CT21">
        <f t="shared" si="1"/>
        <v>1</v>
      </c>
      <c r="CU21">
        <f t="shared" si="2"/>
        <v>6</v>
      </c>
      <c r="CV21">
        <f t="shared" si="3"/>
        <v>7</v>
      </c>
      <c r="CY21" t="str">
        <f>'[58]Template '!$E$2</f>
        <v>B</v>
      </c>
      <c r="CZ21">
        <f>'[58]Template '!$B$13</f>
        <v>1</v>
      </c>
      <c r="DA21" t="str">
        <f>'[58]Template '!$D$2</f>
        <v>n/a</v>
      </c>
      <c r="DB21">
        <f>'[58]Template '!$D$3</f>
        <v>0</v>
      </c>
      <c r="DC21">
        <f>'[58]Template '!$F$2</f>
        <v>45496</v>
      </c>
      <c r="DE21">
        <f>'[58]Template '!$B$12</f>
        <v>22</v>
      </c>
      <c r="DF21" t="str">
        <f>'[58]Template '!$B$14</f>
        <v>5/23</v>
      </c>
      <c r="DG21" t="str">
        <f>'[58]Template '!$B$15</f>
        <v>9/23</v>
      </c>
      <c r="DH21">
        <f>'[58]Template '!$B$16</f>
        <v>12</v>
      </c>
      <c r="DI21">
        <f>'[58]Template '!$B$17</f>
        <v>0</v>
      </c>
      <c r="DJ21">
        <f>'[58]Template '!$B$18</f>
        <v>0</v>
      </c>
      <c r="DK21">
        <f>'[58]Template '!$B$19</f>
        <v>0</v>
      </c>
      <c r="DL21">
        <f>'[58]Template '!$B$20</f>
        <v>0</v>
      </c>
      <c r="DM21">
        <f>'[58]Template '!$B$21</f>
        <v>0</v>
      </c>
      <c r="DN21">
        <f>'[58]Template '!$B$22</f>
        <v>0</v>
      </c>
      <c r="DP21">
        <f>'[58]Template '!$I$13</f>
        <v>4</v>
      </c>
      <c r="DQ21">
        <f>'[58]Template '!$I$14</f>
        <v>4</v>
      </c>
      <c r="DR21">
        <f>'[58]Template '!$I$15</f>
        <v>3</v>
      </c>
      <c r="DS21">
        <f>'[58]Template '!$I$16</f>
        <v>4</v>
      </c>
      <c r="DT21">
        <f>'[58]Template '!$I$17</f>
        <v>4</v>
      </c>
      <c r="DU21">
        <f>'[58]Template '!$I$18</f>
        <v>4</v>
      </c>
      <c r="DV21">
        <f>'[58]Template '!$I$19</f>
        <v>5</v>
      </c>
      <c r="DW21">
        <f>'[58]Template '!$I$20</f>
        <v>3</v>
      </c>
      <c r="DX21">
        <f>'[58]Template '!$I$21</f>
        <v>4</v>
      </c>
      <c r="DY21">
        <f>'[58]Template '!$I$22</f>
        <v>3</v>
      </c>
      <c r="DZ21">
        <f>'[58]Template '!$I$23</f>
        <v>4</v>
      </c>
      <c r="EA21">
        <f>'[58]Template '!$I$24</f>
        <v>0</v>
      </c>
      <c r="ED21">
        <f>'[58]Template '!$L$13</f>
        <v>4</v>
      </c>
      <c r="EE21">
        <f>'[58]Template '!$L$14</f>
        <v>4</v>
      </c>
      <c r="EF21">
        <f>'[58]Template '!$L$15</f>
        <v>3</v>
      </c>
      <c r="EG21">
        <f>'[58]Template '!$L$16</f>
        <v>3</v>
      </c>
      <c r="EH21">
        <f>'[58]Template '!$L$17</f>
        <v>4</v>
      </c>
      <c r="EI21">
        <f>'[58]Template '!$L$18</f>
        <v>4</v>
      </c>
      <c r="EJ21">
        <f>'[58]Template '!$L$19</f>
        <v>5</v>
      </c>
      <c r="EK21">
        <f>'[58]Template '!$L$20</f>
        <v>4</v>
      </c>
      <c r="EL21">
        <f>'[58]Template '!$L$21</f>
        <v>3</v>
      </c>
      <c r="EM21">
        <f>'[58]Template '!$L$22</f>
        <v>4</v>
      </c>
      <c r="EN21">
        <f>'[58]Template '!$L$23</f>
        <v>5</v>
      </c>
      <c r="EQ21">
        <f>'[58]Template '!$O$13</f>
        <v>4</v>
      </c>
      <c r="ER21">
        <f>'[58]Template '!$O$14</f>
        <v>3</v>
      </c>
      <c r="ES21">
        <f>'[58]Template '!$O$15</f>
        <v>2</v>
      </c>
      <c r="ET21">
        <f>'[58]Template '!$O$16</f>
        <v>4</v>
      </c>
      <c r="EU21">
        <f>'[58]Template '!$O$17</f>
        <v>5</v>
      </c>
      <c r="EV21">
        <f>'[58]Template '!$O$18</f>
        <v>4</v>
      </c>
      <c r="EW21">
        <f>'[58]Template '!$O$19</f>
        <v>1</v>
      </c>
      <c r="EX21">
        <f>'[58]Template '!$O$20</f>
        <v>2</v>
      </c>
      <c r="EY21">
        <f>'[58]Template '!$O$21</f>
        <v>2</v>
      </c>
      <c r="EZ21">
        <f>'[58]Template '!$O$22</f>
        <v>3</v>
      </c>
      <c r="FA21">
        <f>'[58]Template '!$O$23</f>
        <v>3</v>
      </c>
      <c r="FL21">
        <f>'[58]Template '!$D$5</f>
        <v>0.52777777777777779</v>
      </c>
      <c r="FM21">
        <f>'[58]Template '!$D$6</f>
        <v>0.30784632034632031</v>
      </c>
      <c r="FN21">
        <f>'[58]Template '!$D$7</f>
        <v>0.55275132275132277</v>
      </c>
      <c r="FO21">
        <f>'[58]Template '!$D$8</f>
        <v>0.64132275132275141</v>
      </c>
      <c r="FP21">
        <f>'[58]Template '!$D$9</f>
        <v>0.5074245430495431</v>
      </c>
      <c r="FR21">
        <f>'[58]Template '!$E$5</f>
        <v>0.50531045751633985</v>
      </c>
      <c r="FS21">
        <f>'[58]Template '!$E$6</f>
        <v>0.33760822510822508</v>
      </c>
      <c r="FT21">
        <f>'[58]Template '!$E$7</f>
        <v>0.54441798941798947</v>
      </c>
      <c r="FU21">
        <f>'[58]Template '!$E$8</f>
        <v>0.58591149591149594</v>
      </c>
      <c r="FV21">
        <f>'[58]Template '!$E$9</f>
        <v>0.49331204198851258</v>
      </c>
    </row>
    <row r="22" spans="1:178" x14ac:dyDescent="0.2">
      <c r="A22" t="str">
        <f>'[59]Template '!$A$2</f>
        <v>M_064</v>
      </c>
      <c r="C22" t="str">
        <f t="shared" si="0"/>
        <v>M_064.xlsx</v>
      </c>
      <c r="E22" t="str">
        <f>'[59]Template '!$C$2</f>
        <v>mSTAT only</v>
      </c>
      <c r="G22">
        <f>'[59]Template '!$C$29</f>
        <v>0.3888888888888889</v>
      </c>
      <c r="H22" t="str">
        <f>'[59]Template '!$C$30</f>
        <v>n/a</v>
      </c>
      <c r="I22">
        <f>'[59]Template '!$C$31</f>
        <v>0.41666666666666663</v>
      </c>
      <c r="J22">
        <f>'[59]Template '!$C$32</f>
        <v>0.42647058823529416</v>
      </c>
      <c r="K22">
        <f>'[59]Template '!$C$33</f>
        <v>0.26785714285714285</v>
      </c>
      <c r="M22">
        <f>'[59]Template '!$C$80</f>
        <v>1200</v>
      </c>
      <c r="N22">
        <f>'[59]Template '!$C$81</f>
        <v>22.5</v>
      </c>
      <c r="O22">
        <f>'[59]Template '!$C$82</f>
        <v>2</v>
      </c>
      <c r="P22">
        <f>'[59]Template '!$C$83</f>
        <v>1.5</v>
      </c>
      <c r="Q22">
        <f>'[59]Template '!$C$84</f>
        <v>1</v>
      </c>
      <c r="R22">
        <f>'[59]Template '!$C$85</f>
        <v>1.5</v>
      </c>
      <c r="T22">
        <f>'[59]Template '!$C$74</f>
        <v>0.63181818181818183</v>
      </c>
      <c r="U22" t="str">
        <f>'[59]Template '!$C$75</f>
        <v>n/a</v>
      </c>
      <c r="V22">
        <f>'[59]Template '!$C$76</f>
        <v>0.42857142857142855</v>
      </c>
      <c r="W22">
        <f>'[59]Template '!$C$77</f>
        <v>0.33333333333333331</v>
      </c>
      <c r="X22">
        <f>'[59]Template '!$C$78</f>
        <v>0.35119047619047611</v>
      </c>
      <c r="Z22">
        <f>'[59]Template '!$C$80</f>
        <v>1200</v>
      </c>
      <c r="AA22">
        <f>'[59]Template '!$C$81</f>
        <v>22.5</v>
      </c>
      <c r="AB22">
        <f>'[59]Template '!$C$82</f>
        <v>2</v>
      </c>
      <c r="AC22">
        <f>'[59]Template '!$C$83</f>
        <v>1.5</v>
      </c>
      <c r="AD22">
        <f>'[59]Template '!$C$84</f>
        <v>1</v>
      </c>
      <c r="AE22">
        <f>'[59]Template '!$C$85</f>
        <v>1.5</v>
      </c>
      <c r="AG22">
        <f>'[59]Template '!$C$96</f>
        <v>0.70833333333333326</v>
      </c>
      <c r="AH22">
        <f>'[59]Template '!$C$97</f>
        <v>0.47407407407407409</v>
      </c>
      <c r="AI22">
        <f>'[59]Template '!$C$98</f>
        <v>0.5</v>
      </c>
      <c r="AJ22">
        <f>'[59]Template '!$C$99</f>
        <v>0.17099567099567101</v>
      </c>
      <c r="AK22">
        <f>'[59]Template '!$C$100</f>
        <v>0.56904761904761914</v>
      </c>
      <c r="AM22">
        <f>'[59]Template '!$C$102</f>
        <v>1181</v>
      </c>
      <c r="AN22">
        <f>'[59]Template '!$C$103</f>
        <v>20</v>
      </c>
      <c r="AO22">
        <f>'[59]Template '!$C$104</f>
        <v>2</v>
      </c>
      <c r="AP22">
        <f>'[59]Template '!$C$105</f>
        <v>1.5</v>
      </c>
      <c r="AQ22">
        <f>'[59]Template '!$C$106</f>
        <v>1.5</v>
      </c>
      <c r="AR22">
        <f>'[59]Template '!$C$107</f>
        <v>1.5</v>
      </c>
      <c r="AT22">
        <f>'[59]Template '!$C$52</f>
        <v>0.72222222222222221</v>
      </c>
      <c r="AU22">
        <f>'[59]Template '!$C$53</f>
        <v>0.47407407407407409</v>
      </c>
      <c r="AV22">
        <f>'[59]Template '!$C$54</f>
        <v>0.5</v>
      </c>
      <c r="AW22">
        <f>'[59]Template '!$C$55</f>
        <v>0.1875</v>
      </c>
      <c r="AX22">
        <f>'[59]Template '!$C$56</f>
        <v>0.35198412698412701</v>
      </c>
      <c r="AZ22">
        <f>'[59]Template '!$C$58</f>
        <v>1200</v>
      </c>
      <c r="BA22">
        <f>'[59]Template '!$C$59</f>
        <v>22.5</v>
      </c>
      <c r="BB22">
        <f>'[59]Template '!$C$60</f>
        <v>2</v>
      </c>
      <c r="BC22">
        <f>'[59]Template '!$C$61</f>
        <v>1.5</v>
      </c>
      <c r="BD22">
        <f>'[59]Template '!$C$62</f>
        <v>1.5</v>
      </c>
      <c r="BE22">
        <f>'[59]Template '!$C$63</f>
        <v>1.5</v>
      </c>
      <c r="BG22">
        <f>'[59]Template '!$B$29</f>
        <v>0.3888888888888889</v>
      </c>
      <c r="BH22" t="str">
        <f>'[59]Template '!$B$30</f>
        <v>n/a</v>
      </c>
      <c r="BI22">
        <f>'[59]Template '!$B$31</f>
        <v>0.41666666666666663</v>
      </c>
      <c r="BJ22">
        <f>'[59]Template '!$B$32</f>
        <v>0.5</v>
      </c>
      <c r="BK22">
        <f>'[59]Template '!$B$33</f>
        <v>0.26785714285714285</v>
      </c>
      <c r="BM22">
        <f>'[59]Template '!$B$52</f>
        <v>0.72222222222222221</v>
      </c>
      <c r="BN22">
        <f>'[59]Template '!$B$53</f>
        <v>0.47407407407407409</v>
      </c>
      <c r="BO22">
        <f>'[59]Template '!$B$54</f>
        <v>0.5</v>
      </c>
      <c r="BP22">
        <f>'[59]Template '!$B$55</f>
        <v>0.26851851851851855</v>
      </c>
      <c r="BQ22">
        <f>'[59]Template '!$B$56</f>
        <v>0.35198412698412701</v>
      </c>
      <c r="BS22">
        <f>'[59]Template '!$B$74</f>
        <v>0.63181818181818183</v>
      </c>
      <c r="BT22" t="str">
        <f>'[59]Template '!$B$75</f>
        <v>n/a</v>
      </c>
      <c r="BU22">
        <f>'[59]Template '!$B$76</f>
        <v>0.42857142857142855</v>
      </c>
      <c r="BV22">
        <f>'[59]Template '!$B$77</f>
        <v>0.41666666666666663</v>
      </c>
      <c r="BW22">
        <f>'[59]Template '!$B$78</f>
        <v>0.35119047619047611</v>
      </c>
      <c r="BY22">
        <f>'[59]Template '!$B$96</f>
        <v>0.70833333333333326</v>
      </c>
      <c r="BZ22">
        <f>'[59]Template '!$B$97</f>
        <v>0.47407407407407409</v>
      </c>
      <c r="CA22">
        <f>'[59]Template '!$B$98</f>
        <v>0.5</v>
      </c>
      <c r="CB22">
        <f>'[59]Template '!$B$99</f>
        <v>0.52777777777777779</v>
      </c>
      <c r="CC22">
        <f>'[59]Template '!$B$100</f>
        <v>0.56904761904761914</v>
      </c>
      <c r="CF22">
        <f>'[59]Template '!$Z$30</f>
        <v>0</v>
      </c>
      <c r="CG22">
        <f>'[59]Template '!$AB$75</f>
        <v>0</v>
      </c>
      <c r="CH22">
        <f>'[59]Template '!$C$89</f>
        <v>0</v>
      </c>
      <c r="CI22">
        <f>'[59]Template '!$AF$75</f>
        <v>0</v>
      </c>
      <c r="CJ22">
        <f>'[59]Template '!$AR$97</f>
        <v>0</v>
      </c>
      <c r="CK22">
        <f>'[59]Template '!$AS$97</f>
        <v>0.5</v>
      </c>
      <c r="CL22">
        <f>'[59]Template '!$AZ$97</f>
        <v>0</v>
      </c>
      <c r="CM22">
        <f>'[59]Template '!$BB$97</f>
        <v>0</v>
      </c>
      <c r="CN22">
        <f>'[59]Template '!$AU$53</f>
        <v>0</v>
      </c>
      <c r="CO22">
        <f>'[59]Template '!$AV$53</f>
        <v>0</v>
      </c>
      <c r="CP22">
        <f>'[59]Template '!$AY$53</f>
        <v>0</v>
      </c>
      <c r="CQ22">
        <f>'[59]Template '!$AX$53</f>
        <v>0</v>
      </c>
      <c r="CR22">
        <f>'[59]Template '!$AZ$53</f>
        <v>0</v>
      </c>
      <c r="CS22">
        <f>'[59]Template '!$BF$53</f>
        <v>0</v>
      </c>
      <c r="CT22">
        <f t="shared" si="1"/>
        <v>0</v>
      </c>
      <c r="CU22">
        <f t="shared" si="2"/>
        <v>0.5</v>
      </c>
      <c r="CV22">
        <f t="shared" si="3"/>
        <v>0.5</v>
      </c>
      <c r="CY22" t="str">
        <f>'[59]Template '!$E$2</f>
        <v>A</v>
      </c>
      <c r="CZ22">
        <f>'[59]Template '!$B$13</f>
        <v>1</v>
      </c>
      <c r="DA22" t="str">
        <f>'[59]Template '!$D$2</f>
        <v>n/a</v>
      </c>
      <c r="DB22">
        <f>'[59]Template '!$D$3</f>
        <v>0</v>
      </c>
      <c r="DC22">
        <f>'[59]Template '!$F$2</f>
        <v>45503</v>
      </c>
      <c r="DE22">
        <f>'[59]Template '!$B$12</f>
        <v>22</v>
      </c>
      <c r="DF22" t="str">
        <f>'[59]Template '!$B$14</f>
        <v>4/24</v>
      </c>
      <c r="DG22" t="str">
        <f>'[59]Template '!$B$15</f>
        <v>8/24</v>
      </c>
      <c r="DH22">
        <f>'[59]Template '!$B$16</f>
        <v>12</v>
      </c>
      <c r="DI22">
        <f>'[59]Template '!$B$17</f>
        <v>0</v>
      </c>
      <c r="DJ22">
        <f>'[59]Template '!$B$18</f>
        <v>0</v>
      </c>
      <c r="DK22">
        <f>'[59]Template '!$B$19</f>
        <v>0</v>
      </c>
      <c r="DL22">
        <f>'[59]Template '!$B$20</f>
        <v>0</v>
      </c>
      <c r="DM22">
        <f>'[59]Template '!$B$21</f>
        <v>0</v>
      </c>
      <c r="DN22">
        <f>'[59]Template '!$B$22</f>
        <v>0</v>
      </c>
      <c r="DP22">
        <f>'[59]Template '!$I$13</f>
        <v>4</v>
      </c>
      <c r="DQ22">
        <f>'[59]Template '!$I$14</f>
        <v>4</v>
      </c>
      <c r="DR22">
        <f>'[59]Template '!$I$15</f>
        <v>3</v>
      </c>
      <c r="DS22">
        <f>'[59]Template '!$I$16</f>
        <v>4</v>
      </c>
      <c r="DT22">
        <f>'[59]Template '!$I$17</f>
        <v>4</v>
      </c>
      <c r="DU22">
        <f>'[59]Template '!$I$18</f>
        <v>3</v>
      </c>
      <c r="DV22">
        <f>'[59]Template '!$I$19</f>
        <v>4</v>
      </c>
      <c r="DW22">
        <f>'[59]Template '!$I$20</f>
        <v>4</v>
      </c>
      <c r="DX22">
        <f>'[59]Template '!$I$21</f>
        <v>4</v>
      </c>
      <c r="DY22">
        <f>'[59]Template '!$I$22</f>
        <v>3</v>
      </c>
      <c r="DZ22">
        <f>'[59]Template '!$I$23</f>
        <v>4</v>
      </c>
      <c r="EA22">
        <f>'[59]Template '!$I$24</f>
        <v>0</v>
      </c>
      <c r="ED22">
        <f>'[59]Template '!$L$13</f>
        <v>4</v>
      </c>
      <c r="EE22">
        <f>'[59]Template '!$L$14</f>
        <v>3</v>
      </c>
      <c r="EF22">
        <f>'[59]Template '!$L$15</f>
        <v>4</v>
      </c>
      <c r="EG22">
        <f>'[59]Template '!$L$16</f>
        <v>3</v>
      </c>
      <c r="EH22">
        <f>'[59]Template '!$L$17</f>
        <v>4</v>
      </c>
      <c r="EI22">
        <f>'[59]Template '!$L$18</f>
        <v>4</v>
      </c>
      <c r="EJ22">
        <f>'[59]Template '!$L$19</f>
        <v>5</v>
      </c>
      <c r="EK22">
        <f>'[59]Template '!$L$20</f>
        <v>3</v>
      </c>
      <c r="EL22">
        <f>'[59]Template '!$L$21</f>
        <v>4</v>
      </c>
      <c r="EM22">
        <f>'[59]Template '!$L$22</f>
        <v>2</v>
      </c>
      <c r="EN22">
        <f>'[59]Template '!$L$23</f>
        <v>4</v>
      </c>
      <c r="EQ22">
        <f>'[59]Template '!$O$13</f>
        <v>4</v>
      </c>
      <c r="ER22">
        <f>'[59]Template '!$O$14</f>
        <v>2</v>
      </c>
      <c r="ES22">
        <f>'[59]Template '!$O$15</f>
        <v>2</v>
      </c>
      <c r="ET22">
        <f>'[59]Template '!$O$16</f>
        <v>1</v>
      </c>
      <c r="EU22">
        <f>'[59]Template '!$O$17</f>
        <v>4</v>
      </c>
      <c r="EV22">
        <f>'[59]Template '!$O$18</f>
        <v>1</v>
      </c>
      <c r="EW22">
        <f>'[59]Template '!$O$19</f>
        <v>1</v>
      </c>
      <c r="EX22">
        <f>'[59]Template '!$O$20</f>
        <v>3</v>
      </c>
      <c r="EY22">
        <f>'[59]Template '!$O$21</f>
        <v>1</v>
      </c>
      <c r="EZ22">
        <f>'[59]Template '!$O$22</f>
        <v>1</v>
      </c>
      <c r="FA22">
        <f>'[59]Template '!$O$23</f>
        <v>3</v>
      </c>
      <c r="FL22">
        <f>'[59]Template '!$D$5</f>
        <v>0.39335317460317459</v>
      </c>
      <c r="FM22">
        <f>'[59]Template '!$D$6</f>
        <v>0.45706168831168831</v>
      </c>
      <c r="FN22">
        <f>'[59]Template '!$D$7</f>
        <v>0.46335978835978836</v>
      </c>
      <c r="FO22">
        <f>'[59]Template '!$D$8</f>
        <v>0.55584656084656081</v>
      </c>
      <c r="FP22">
        <f>'[59]Template '!$D$9</f>
        <v>0.46740530303030303</v>
      </c>
      <c r="FR22">
        <f>'[59]Template '!$E$5</f>
        <v>0.37497082166199813</v>
      </c>
      <c r="FS22">
        <f>'[59]Template '!$E$6</f>
        <v>0.43622835497835494</v>
      </c>
      <c r="FT22">
        <f>'[59]Template '!$E$7</f>
        <v>0.44715608465608464</v>
      </c>
      <c r="FU22">
        <f>'[59]Template '!$E$8</f>
        <v>0.48449013949013953</v>
      </c>
      <c r="FV22">
        <f>'[59]Template '!$E$9</f>
        <v>0.43571135019664431</v>
      </c>
    </row>
    <row r="23" spans="1:178" x14ac:dyDescent="0.2">
      <c r="A23" t="str">
        <f>'[60]Template '!$A$2</f>
        <v>M_063</v>
      </c>
      <c r="C23" t="str">
        <f t="shared" si="0"/>
        <v>M_063.xlsx</v>
      </c>
      <c r="E23" t="str">
        <f>'[60]Template '!$C$2</f>
        <v>mSTAT only</v>
      </c>
      <c r="G23">
        <f>'[60]Template '!$C$29</f>
        <v>0.27777777777777779</v>
      </c>
      <c r="H23" t="str">
        <f>'[60]Template '!$C$30</f>
        <v>n/a</v>
      </c>
      <c r="I23">
        <f>'[60]Template '!$C$31</f>
        <v>8.3333333333333329E-2</v>
      </c>
      <c r="J23">
        <f>'[60]Template '!$C$32</f>
        <v>0.66911764705882359</v>
      </c>
      <c r="K23">
        <f>'[60]Template '!$C$33</f>
        <v>0.66468253968253965</v>
      </c>
      <c r="M23">
        <f>'[60]Template '!$C$80</f>
        <v>1086</v>
      </c>
      <c r="N23">
        <f>'[60]Template '!$C$81</f>
        <v>37.5</v>
      </c>
      <c r="O23">
        <f>'[60]Template '!$C$82</f>
        <v>3</v>
      </c>
      <c r="P23">
        <f>'[60]Template '!$C$83</f>
        <v>2</v>
      </c>
      <c r="Q23">
        <f>'[60]Template '!$C$84</f>
        <v>2.5</v>
      </c>
      <c r="R23">
        <f>'[60]Template '!$C$85</f>
        <v>2</v>
      </c>
      <c r="T23">
        <f>'[60]Template '!$C$74</f>
        <v>0.47272727272727272</v>
      </c>
      <c r="U23" t="str">
        <f>'[60]Template '!$C$75</f>
        <v>n/a</v>
      </c>
      <c r="V23">
        <f>'[60]Template '!$C$76</f>
        <v>7.1428571428571425E-2</v>
      </c>
      <c r="W23">
        <f>'[60]Template '!$C$77</f>
        <v>0.5</v>
      </c>
      <c r="X23">
        <f>'[60]Template '!$C$78</f>
        <v>0.54761904761904756</v>
      </c>
      <c r="Z23">
        <f>'[60]Template '!$C$80</f>
        <v>1086</v>
      </c>
      <c r="AA23">
        <f>'[60]Template '!$C$81</f>
        <v>37.5</v>
      </c>
      <c r="AB23">
        <f>'[60]Template '!$C$82</f>
        <v>3</v>
      </c>
      <c r="AC23">
        <f>'[60]Template '!$C$83</f>
        <v>2</v>
      </c>
      <c r="AD23">
        <f>'[60]Template '!$C$84</f>
        <v>2.5</v>
      </c>
      <c r="AE23">
        <f>'[60]Template '!$C$85</f>
        <v>2</v>
      </c>
      <c r="AG23">
        <f>'[60]Template '!$C$96</f>
        <v>0.7583333333333333</v>
      </c>
      <c r="AH23">
        <f>'[60]Template '!$C$97</f>
        <v>0.64444444444444449</v>
      </c>
      <c r="AI23">
        <f>'[60]Template '!$C$98</f>
        <v>0</v>
      </c>
      <c r="AJ23">
        <f>'[60]Template '!$C$99</f>
        <v>0.51659451659451661</v>
      </c>
      <c r="AK23">
        <f>'[60]Template '!$C$100</f>
        <v>0.68333333333333324</v>
      </c>
      <c r="AM23">
        <f>'[60]Template '!$C$102</f>
        <v>791</v>
      </c>
      <c r="AN23">
        <f>'[60]Template '!$C$103</f>
        <v>45</v>
      </c>
      <c r="AO23">
        <f>'[60]Template '!$C$104</f>
        <v>3</v>
      </c>
      <c r="AP23">
        <f>'[60]Template '!$C$105</f>
        <v>2</v>
      </c>
      <c r="AQ23">
        <f>'[60]Template '!$C$106</f>
        <v>3.5</v>
      </c>
      <c r="AR23">
        <f>'[60]Template '!$C$107</f>
        <v>2.5</v>
      </c>
      <c r="AT23">
        <f>'[60]Template '!$C$52</f>
        <v>0.75</v>
      </c>
      <c r="AU23">
        <f>'[60]Template '!$C$53</f>
        <v>0.64444444444444449</v>
      </c>
      <c r="AV23">
        <f>'[60]Template '!$C$54</f>
        <v>0.5</v>
      </c>
      <c r="AW23">
        <f>'[60]Template '!$C$55</f>
        <v>0.625</v>
      </c>
      <c r="AX23">
        <f>'[60]Template '!$C$56</f>
        <v>0.79761904761904756</v>
      </c>
      <c r="AZ23">
        <f>'[60]Template '!$C$58</f>
        <v>1200</v>
      </c>
      <c r="BA23">
        <f>'[60]Template '!$C$59</f>
        <v>70</v>
      </c>
      <c r="BB23">
        <f>'[60]Template '!$C$60</f>
        <v>3.5</v>
      </c>
      <c r="BC23">
        <f>'[60]Template '!$C$61</f>
        <v>2.5</v>
      </c>
      <c r="BD23">
        <f>'[60]Template '!$C$62</f>
        <v>4</v>
      </c>
      <c r="BE23">
        <f>'[60]Template '!$C$63</f>
        <v>3</v>
      </c>
      <c r="BG23">
        <f>'[60]Template '!$B$29</f>
        <v>0.27777777777777779</v>
      </c>
      <c r="BH23" t="str">
        <f>'[60]Template '!$B$30</f>
        <v>n/a</v>
      </c>
      <c r="BI23">
        <f>'[60]Template '!$B$31</f>
        <v>8.3333333333333329E-2</v>
      </c>
      <c r="BJ23">
        <f>'[60]Template '!$B$32</f>
        <v>0.6875</v>
      </c>
      <c r="BK23">
        <f>'[60]Template '!$B$33</f>
        <v>0.66468253968253965</v>
      </c>
      <c r="BM23">
        <f>'[60]Template '!$B$52</f>
        <v>0.75</v>
      </c>
      <c r="BN23">
        <f>'[60]Template '!$B$53</f>
        <v>0.64444444444444449</v>
      </c>
      <c r="BO23">
        <f>'[60]Template '!$B$54</f>
        <v>0.5</v>
      </c>
      <c r="BP23">
        <f>'[60]Template '!$B$55</f>
        <v>0.67592592592592593</v>
      </c>
      <c r="BQ23">
        <f>'[60]Template '!$B$56</f>
        <v>0.79761904761904756</v>
      </c>
      <c r="BS23">
        <f>'[60]Template '!$B$74</f>
        <v>0.47272727272727272</v>
      </c>
      <c r="BT23" t="str">
        <f>'[60]Template '!$B$75</f>
        <v>n/a</v>
      </c>
      <c r="BU23">
        <f>'[60]Template '!$B$76</f>
        <v>7.1428571428571425E-2</v>
      </c>
      <c r="BV23">
        <f>'[60]Template '!$B$77</f>
        <v>0.58333333333333326</v>
      </c>
      <c r="BW23">
        <f>'[60]Template '!$B$78</f>
        <v>0.54761904761904756</v>
      </c>
      <c r="BY23">
        <f>'[60]Template '!$B$96</f>
        <v>0.7583333333333333</v>
      </c>
      <c r="BZ23">
        <f>'[60]Template '!$B$97</f>
        <v>0.64444444444444449</v>
      </c>
      <c r="CA23">
        <f>'[60]Template '!$B$98</f>
        <v>0</v>
      </c>
      <c r="CB23">
        <f>'[60]Template '!$B$99</f>
        <v>0.88888888888888884</v>
      </c>
      <c r="CC23">
        <f>'[60]Template '!$B$100</f>
        <v>0.68333333333333324</v>
      </c>
      <c r="CF23">
        <f>'[60]Template '!$Z$30</f>
        <v>0</v>
      </c>
      <c r="CG23">
        <f>'[60]Template '!$AB$75</f>
        <v>0</v>
      </c>
      <c r="CH23">
        <f>'[60]Template '!$C$89</f>
        <v>0</v>
      </c>
      <c r="CI23">
        <f>'[60]Template '!$AF$75</f>
        <v>0</v>
      </c>
      <c r="CJ23">
        <f>'[60]Template '!$AR$97</f>
        <v>0</v>
      </c>
      <c r="CK23">
        <f>'[60]Template '!$AS$97</f>
        <v>1</v>
      </c>
      <c r="CL23">
        <f>'[60]Template '!$AZ$97</f>
        <v>0.5</v>
      </c>
      <c r="CM23">
        <f>'[60]Template '!$BB$97</f>
        <v>0</v>
      </c>
      <c r="CN23">
        <f>'[60]Template '!$AU$53</f>
        <v>1</v>
      </c>
      <c r="CO23">
        <f>'[60]Template '!$AV$53</f>
        <v>0</v>
      </c>
      <c r="CP23">
        <f>'[60]Template '!$AY$53</f>
        <v>1</v>
      </c>
      <c r="CQ23">
        <f>'[60]Template '!$AX$53</f>
        <v>0.5</v>
      </c>
      <c r="CR23">
        <f>'[60]Template '!$AZ$53</f>
        <v>0</v>
      </c>
      <c r="CS23">
        <f>'[60]Template '!$BF$53</f>
        <v>0.5</v>
      </c>
      <c r="CT23">
        <f t="shared" si="1"/>
        <v>0</v>
      </c>
      <c r="CU23">
        <f t="shared" si="2"/>
        <v>4.5</v>
      </c>
      <c r="CV23">
        <f t="shared" si="3"/>
        <v>4.5</v>
      </c>
      <c r="CY23" t="str">
        <f>'[60]Template '!$E$2</f>
        <v>A</v>
      </c>
      <c r="CZ23">
        <f>'[60]Template '!$B$13</f>
        <v>1</v>
      </c>
      <c r="DA23" t="str">
        <f>'[60]Template '!$D$2</f>
        <v>n/a</v>
      </c>
      <c r="DB23">
        <f>'[60]Template '!$D$3</f>
        <v>0</v>
      </c>
      <c r="DC23">
        <f>'[60]Template '!$F$2</f>
        <v>45503</v>
      </c>
      <c r="DE23">
        <f>'[60]Template '!$B$12</f>
        <v>28</v>
      </c>
      <c r="DF23" t="str">
        <f>'[60]Template '!$B$14</f>
        <v>10/13</v>
      </c>
      <c r="DG23" t="str">
        <f>'[60]Template '!$B$15</f>
        <v>5/14</v>
      </c>
      <c r="DH23">
        <f>'[60]Template '!$B$16</f>
        <v>132</v>
      </c>
      <c r="DI23">
        <f>'[60]Template '!$B$17</f>
        <v>0</v>
      </c>
      <c r="DJ23">
        <f>'[60]Template '!$B$18</f>
        <v>0</v>
      </c>
      <c r="DK23">
        <f>'[60]Template '!$B$19</f>
        <v>1</v>
      </c>
      <c r="DL23">
        <f>'[60]Template '!$B$20</f>
        <v>1</v>
      </c>
      <c r="DM23">
        <f>'[60]Template '!$B$21</f>
        <v>0</v>
      </c>
      <c r="DN23">
        <f>'[60]Template '!$B$22</f>
        <v>0</v>
      </c>
      <c r="DP23">
        <f>'[60]Template '!$I$13</f>
        <v>3</v>
      </c>
      <c r="DQ23">
        <f>'[60]Template '!$I$14</f>
        <v>3</v>
      </c>
      <c r="DR23">
        <f>'[60]Template '!$I$15</f>
        <v>4</v>
      </c>
      <c r="DS23">
        <f>'[60]Template '!$I$16</f>
        <v>3</v>
      </c>
      <c r="DT23">
        <f>'[60]Template '!$I$17</f>
        <v>4</v>
      </c>
      <c r="DU23">
        <f>'[60]Template '!$I$18</f>
        <v>3</v>
      </c>
      <c r="DV23">
        <f>'[60]Template '!$I$19</f>
        <v>5</v>
      </c>
      <c r="DW23">
        <f>'[60]Template '!$I$20</f>
        <v>4</v>
      </c>
      <c r="DX23">
        <f>'[60]Template '!$I$21</f>
        <v>4</v>
      </c>
      <c r="DY23">
        <f>'[60]Template '!$I$22</f>
        <v>4</v>
      </c>
      <c r="DZ23">
        <f>'[60]Template '!$I$23</f>
        <v>5</v>
      </c>
      <c r="EA23">
        <f>'[60]Template '!$I$24</f>
        <v>0</v>
      </c>
      <c r="ED23">
        <f>'[60]Template '!$L$13</f>
        <v>3</v>
      </c>
      <c r="EE23">
        <f>'[60]Template '!$L$14</f>
        <v>2</v>
      </c>
      <c r="EF23">
        <f>'[60]Template '!$L$15</f>
        <v>4</v>
      </c>
      <c r="EG23">
        <f>'[60]Template '!$L$16</f>
        <v>3</v>
      </c>
      <c r="EH23">
        <f>'[60]Template '!$L$17</f>
        <v>4</v>
      </c>
      <c r="EI23">
        <f>'[60]Template '!$L$18</f>
        <v>1</v>
      </c>
      <c r="EJ23">
        <f>'[60]Template '!$L$19</f>
        <v>5</v>
      </c>
      <c r="EK23">
        <f>'[60]Template '!$L$20</f>
        <v>3</v>
      </c>
      <c r="EL23">
        <f>'[60]Template '!$L$21</f>
        <v>3</v>
      </c>
      <c r="EM23">
        <f>'[60]Template '!$L$22</f>
        <v>4</v>
      </c>
      <c r="EN23">
        <f>'[60]Template '!$L$23</f>
        <v>5</v>
      </c>
      <c r="EQ23">
        <f>'[60]Template '!$O$13</f>
        <v>5</v>
      </c>
      <c r="ER23">
        <f>'[60]Template '!$O$14</f>
        <v>1</v>
      </c>
      <c r="ES23">
        <f>'[60]Template '!$O$15</f>
        <v>1</v>
      </c>
      <c r="ET23">
        <f>'[60]Template '!$O$16</f>
        <v>2</v>
      </c>
      <c r="EU23">
        <f>'[60]Template '!$O$17</f>
        <v>5</v>
      </c>
      <c r="EV23">
        <f>'[60]Template '!$O$18</f>
        <v>2</v>
      </c>
      <c r="EW23">
        <f>'[60]Template '!$O$19</f>
        <v>1</v>
      </c>
      <c r="EX23">
        <f>'[60]Template '!$O$20</f>
        <v>4</v>
      </c>
      <c r="EY23">
        <f>'[60]Template '!$O$21</f>
        <v>1</v>
      </c>
      <c r="EZ23">
        <f>'[60]Template '!$O$22</f>
        <v>1</v>
      </c>
      <c r="FA23">
        <f>'[60]Template '!$O$23</f>
        <v>1</v>
      </c>
      <c r="FL23">
        <f>'[60]Template '!$D$5</f>
        <v>0.42832341269841268</v>
      </c>
      <c r="FM23">
        <f>'[60]Template '!$D$6</f>
        <v>0.41877705627705619</v>
      </c>
      <c r="FN23">
        <f>'[60]Template '!$D$7</f>
        <v>0.67359788359788353</v>
      </c>
      <c r="FO23">
        <f>'[60]Template '!$D$8</f>
        <v>0.59499999999999997</v>
      </c>
      <c r="FP23">
        <f>'[60]Template '!$D$9</f>
        <v>0.52892458814333809</v>
      </c>
      <c r="FR23">
        <f>'[60]Template '!$E$5</f>
        <v>0.42372782446311863</v>
      </c>
      <c r="FS23">
        <f>'[60]Template '!$E$6</f>
        <v>0.39794372294372293</v>
      </c>
      <c r="FT23">
        <f>'[60]Template '!$E$7</f>
        <v>0.66341269841269834</v>
      </c>
      <c r="FU23">
        <f>'[60]Template '!$E$8</f>
        <v>0.52054112554112542</v>
      </c>
      <c r="FV23">
        <f>'[60]Template '!$E$9</f>
        <v>0.50140634284016627</v>
      </c>
    </row>
    <row r="24" spans="1:178" x14ac:dyDescent="0.2">
      <c r="G24">
        <f>AVERAGE(G5:G23)</f>
        <v>0.42982456140350894</v>
      </c>
      <c r="H24" t="e">
        <f t="shared" ref="H24:K24" si="4">AVERAGE(H5:H23)</f>
        <v>#DIV/0!</v>
      </c>
      <c r="I24">
        <f t="shared" si="4"/>
        <v>0.35307017543859648</v>
      </c>
      <c r="J24">
        <f t="shared" si="4"/>
        <v>0.58980478156174743</v>
      </c>
      <c r="K24">
        <f t="shared" si="4"/>
        <v>0.56798245614035081</v>
      </c>
      <c r="T24">
        <f>AVERAGE(T5:T23)</f>
        <v>0.43971291866028711</v>
      </c>
      <c r="V24">
        <f>AVERAGE(V5:V23)</f>
        <v>0.28759398496240601</v>
      </c>
      <c r="W24">
        <f>AVERAGE(W5:W23)</f>
        <v>0.44783834586466176</v>
      </c>
      <c r="X24">
        <f>AVERAGE(X5:X23)</f>
        <v>0.45655806182121966</v>
      </c>
      <c r="AG24">
        <f>AVERAGE(AG5:AG23)</f>
        <v>0.65942982456140342</v>
      </c>
      <c r="AH24">
        <f>AVERAGE(AH5:AH23)</f>
        <v>0.42592592592592587</v>
      </c>
      <c r="AI24">
        <f>AVERAGE(AI5:AI23)</f>
        <v>0.26315789473684209</v>
      </c>
      <c r="AJ24">
        <f>AVERAGE(AJ5:AJ23)</f>
        <v>0.56607762722313804</v>
      </c>
      <c r="AK24">
        <f>AVERAGE(AK5:AK23)</f>
        <v>0.65</v>
      </c>
      <c r="AT24">
        <f>AVERAGE(AT5:AT23)</f>
        <v>0.65730994152046784</v>
      </c>
      <c r="AU24">
        <f t="shared" ref="AU24:AX24" si="5">AVERAGE(AU5:AU23)</f>
        <v>0.42592592592592587</v>
      </c>
      <c r="AV24">
        <f t="shared" si="5"/>
        <v>0.36842105263157893</v>
      </c>
      <c r="AW24">
        <f t="shared" si="5"/>
        <v>0.35166040100250623</v>
      </c>
      <c r="AX24">
        <f t="shared" si="5"/>
        <v>0.61714703425229744</v>
      </c>
      <c r="BG24">
        <f>AVERAGE(BG5:BG23)</f>
        <v>0.42982456140350894</v>
      </c>
      <c r="BH24" t="e">
        <f t="shared" ref="BH24:BK24" si="6">AVERAGE(BH5:BH23)</f>
        <v>#DIV/0!</v>
      </c>
      <c r="BI24">
        <f t="shared" si="6"/>
        <v>0.35307017543859648</v>
      </c>
      <c r="BJ24">
        <f t="shared" si="6"/>
        <v>0.65131578947368418</v>
      </c>
      <c r="BK24">
        <f t="shared" si="6"/>
        <v>0.56798245614035081</v>
      </c>
      <c r="BM24">
        <f>AVERAGE(BM5:BM23)</f>
        <v>0.67266081871345029</v>
      </c>
      <c r="BN24">
        <f t="shared" ref="BN24:BQ24" si="7">AVERAGE(BN5:BN23)</f>
        <v>0.42592592592592587</v>
      </c>
      <c r="BO24">
        <f t="shared" si="7"/>
        <v>0.36842105263157893</v>
      </c>
      <c r="BP24">
        <f t="shared" si="7"/>
        <v>0.41764132553606226</v>
      </c>
      <c r="BQ24">
        <f t="shared" si="7"/>
        <v>0.61714703425229744</v>
      </c>
      <c r="BS24">
        <f>AVERAGE(BS5:BS23)</f>
        <v>0.43971291866028711</v>
      </c>
      <c r="BT24" t="e">
        <f t="shared" ref="BT24:BW24" si="8">AVERAGE(BT5:BT23)</f>
        <v>#DIV/0!</v>
      </c>
      <c r="BU24">
        <f t="shared" si="8"/>
        <v>0.28759398496240601</v>
      </c>
      <c r="BV24">
        <f t="shared" si="8"/>
        <v>0.49999999999999989</v>
      </c>
      <c r="BW24">
        <f t="shared" si="8"/>
        <v>0.45655806182121966</v>
      </c>
      <c r="BY24">
        <f>AVERAGE(BY5:BY23)</f>
        <v>0.65942982456140342</v>
      </c>
      <c r="BZ24">
        <f t="shared" ref="BZ24:CC24" si="9">AVERAGE(BZ5:BZ23)</f>
        <v>0.42592592592592587</v>
      </c>
      <c r="CA24">
        <f t="shared" si="9"/>
        <v>0.26315789473684209</v>
      </c>
      <c r="CB24">
        <f t="shared" si="9"/>
        <v>0.7448830409356727</v>
      </c>
      <c r="CC24">
        <f t="shared" si="9"/>
        <v>0.65</v>
      </c>
      <c r="FL24">
        <f>AVERAGE(FL5:FL23)</f>
        <v>0.5005482456140351</v>
      </c>
      <c r="FM24">
        <f t="shared" ref="FM24:FP24" si="10">AVERAGE(FM5:FM23)</f>
        <v>0.42096624136097816</v>
      </c>
      <c r="FN24">
        <f t="shared" si="10"/>
        <v>0.50035923141186311</v>
      </c>
      <c r="FO24">
        <f t="shared" si="10"/>
        <v>0.54867933723196882</v>
      </c>
      <c r="FP24">
        <f t="shared" si="10"/>
        <v>0.49263826390471127</v>
      </c>
      <c r="FR24">
        <f>AVERAGE(FR5:FR23)</f>
        <v>0.48517049363605086</v>
      </c>
      <c r="FS24">
        <f t="shared" ref="FS24:FV24" si="11">AVERAGE(FS5:FS23)</f>
        <v>0.40792582782714365</v>
      </c>
      <c r="FT24">
        <f t="shared" si="11"/>
        <v>0.48409287106655513</v>
      </c>
      <c r="FU24">
        <f t="shared" si="11"/>
        <v>0.51291825448946193</v>
      </c>
      <c r="FV24">
        <f t="shared" si="11"/>
        <v>0.47252686175480285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C267-D7D4-4EFD-81BE-CB1ACE7F566C}">
  <dimension ref="A1:CO51"/>
  <sheetViews>
    <sheetView topLeftCell="C47" workbookViewId="0">
      <selection activeCell="C40" sqref="C40"/>
    </sheetView>
  </sheetViews>
  <sheetFormatPr baseColWidth="10" defaultColWidth="8.83203125" defaultRowHeight="15" x14ac:dyDescent="0.2"/>
  <cols>
    <col min="1" max="1" width="14.6640625" customWidth="1"/>
    <col min="2" max="2" width="16.6640625" customWidth="1"/>
    <col min="3" max="3" width="12" bestFit="1" customWidth="1"/>
    <col min="4" max="4" width="15.6640625" bestFit="1" customWidth="1"/>
    <col min="5" max="5" width="12.33203125" bestFit="1" customWidth="1"/>
    <col min="6" max="7" width="12" bestFit="1" customWidth="1"/>
    <col min="8" max="8" width="3.33203125" customWidth="1"/>
    <col min="9" max="9" width="12" bestFit="1" customWidth="1"/>
    <col min="10" max="10" width="15.6640625" bestFit="1" customWidth="1"/>
    <col min="11" max="11" width="12.33203125" bestFit="1" customWidth="1"/>
    <col min="12" max="13" width="12" bestFit="1" customWidth="1"/>
    <col min="14" max="14" width="1.33203125" customWidth="1"/>
    <col min="15" max="15" width="12" bestFit="1" customWidth="1"/>
    <col min="16" max="16" width="15.6640625" bestFit="1" customWidth="1"/>
    <col min="17" max="17" width="12.33203125" bestFit="1" customWidth="1"/>
    <col min="18" max="19" width="12" bestFit="1" customWidth="1"/>
    <col min="20" max="20" width="1.33203125" customWidth="1"/>
    <col min="21" max="21" width="12" bestFit="1" customWidth="1"/>
    <col min="22" max="22" width="15.6640625" bestFit="1" customWidth="1"/>
    <col min="23" max="23" width="12.33203125" bestFit="1" customWidth="1"/>
    <col min="24" max="25" width="12" bestFit="1" customWidth="1"/>
  </cols>
  <sheetData>
    <row r="1" spans="1:93" x14ac:dyDescent="0.2">
      <c r="A1" s="1" t="s">
        <v>0</v>
      </c>
      <c r="C1" s="1" t="s">
        <v>1</v>
      </c>
      <c r="AV1" s="4"/>
      <c r="AW1" s="1" t="s">
        <v>3</v>
      </c>
      <c r="CG1" s="4"/>
      <c r="CI1" s="4"/>
      <c r="CJ1" s="8" t="s">
        <v>4</v>
      </c>
      <c r="CK1" s="8" t="s">
        <v>4</v>
      </c>
      <c r="CL1" s="4"/>
    </row>
    <row r="2" spans="1:93" x14ac:dyDescent="0.2">
      <c r="B2" s="1"/>
      <c r="H2" s="1"/>
      <c r="N2" s="1"/>
      <c r="T2" s="1"/>
      <c r="AL2" t="s">
        <v>5</v>
      </c>
      <c r="AN2" s="2" t="s">
        <v>6</v>
      </c>
      <c r="AP2" s="2" t="s">
        <v>7</v>
      </c>
      <c r="AT2" s="2" t="s">
        <v>8</v>
      </c>
      <c r="AV2" s="4"/>
      <c r="AW2" s="3" t="s">
        <v>9</v>
      </c>
      <c r="BJ2" s="3" t="s">
        <v>10</v>
      </c>
      <c r="BV2" s="2" t="s">
        <v>11</v>
      </c>
      <c r="CG2" s="4"/>
      <c r="CH2" t="s">
        <v>12</v>
      </c>
      <c r="CI2" s="4"/>
      <c r="CJ2" s="2" t="s">
        <v>13</v>
      </c>
      <c r="CK2" s="2" t="s">
        <v>1</v>
      </c>
      <c r="CL2" s="4"/>
      <c r="CM2" s="2" t="s">
        <v>2</v>
      </c>
      <c r="CN2" s="2" t="s">
        <v>2</v>
      </c>
      <c r="CO2" s="2" t="s">
        <v>14</v>
      </c>
    </row>
    <row r="3" spans="1:93" x14ac:dyDescent="0.2">
      <c r="C3" s="9" t="s">
        <v>16</v>
      </c>
      <c r="D3" s="2"/>
      <c r="E3" s="2"/>
      <c r="F3" s="2"/>
      <c r="G3" s="2"/>
      <c r="I3" s="9" t="s">
        <v>17</v>
      </c>
      <c r="J3" s="2"/>
      <c r="K3" s="2"/>
      <c r="L3" s="2"/>
      <c r="M3" s="2"/>
      <c r="O3" s="9" t="s">
        <v>18</v>
      </c>
      <c r="P3" s="2"/>
      <c r="Q3" s="2"/>
      <c r="R3" s="2"/>
      <c r="S3" s="2"/>
      <c r="U3" s="9" t="s">
        <v>19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20</v>
      </c>
      <c r="AI3" s="2" t="s">
        <v>21</v>
      </c>
      <c r="AJ3" s="2" t="s">
        <v>21</v>
      </c>
      <c r="AK3" s="2" t="s">
        <v>22</v>
      </c>
      <c r="AL3" s="2" t="s">
        <v>23</v>
      </c>
      <c r="AN3" s="2" t="s">
        <v>24</v>
      </c>
      <c r="AO3" t="s">
        <v>25</v>
      </c>
      <c r="AP3" s="2" t="s">
        <v>26</v>
      </c>
      <c r="AQ3" s="2" t="s">
        <v>8</v>
      </c>
      <c r="AR3" s="2" t="s">
        <v>27</v>
      </c>
      <c r="AS3" s="2" t="s">
        <v>8</v>
      </c>
      <c r="AT3" s="2" t="s">
        <v>28</v>
      </c>
      <c r="AU3" s="2" t="s">
        <v>29</v>
      </c>
      <c r="AV3" s="5"/>
      <c r="AW3" s="2" t="s">
        <v>30</v>
      </c>
      <c r="AX3" s="2" t="s">
        <v>31</v>
      </c>
      <c r="AY3" s="2" t="s">
        <v>32</v>
      </c>
      <c r="AZ3" s="2" t="s">
        <v>33</v>
      </c>
      <c r="BA3" s="2" t="s">
        <v>34</v>
      </c>
      <c r="BB3" s="2" t="s">
        <v>35</v>
      </c>
      <c r="BC3" s="2" t="s">
        <v>36</v>
      </c>
      <c r="BD3" s="2" t="s">
        <v>37</v>
      </c>
      <c r="BE3" s="2" t="s">
        <v>38</v>
      </c>
      <c r="BF3" s="2" t="s">
        <v>39</v>
      </c>
      <c r="BG3" s="2" t="s">
        <v>40</v>
      </c>
      <c r="BH3" s="2" t="s">
        <v>41</v>
      </c>
      <c r="BJ3" s="2" t="s">
        <v>30</v>
      </c>
      <c r="BK3" s="2" t="s">
        <v>31</v>
      </c>
      <c r="BL3" s="2" t="s">
        <v>32</v>
      </c>
      <c r="BM3" s="2" t="s">
        <v>33</v>
      </c>
      <c r="BN3" s="2" t="s">
        <v>34</v>
      </c>
      <c r="BO3" s="2" t="s">
        <v>35</v>
      </c>
      <c r="BP3" s="2" t="s">
        <v>36</v>
      </c>
      <c r="BQ3" s="2" t="s">
        <v>37</v>
      </c>
      <c r="BR3" s="2" t="s">
        <v>38</v>
      </c>
      <c r="BS3" s="2" t="s">
        <v>39</v>
      </c>
      <c r="BT3" s="2" t="s">
        <v>40</v>
      </c>
      <c r="CG3" s="5"/>
      <c r="CI3" s="5"/>
      <c r="CJ3" s="2"/>
      <c r="CK3" s="2"/>
      <c r="CL3" s="5"/>
      <c r="CM3" s="2" t="s">
        <v>42</v>
      </c>
      <c r="CN3" s="2" t="s">
        <v>43</v>
      </c>
    </row>
    <row r="4" spans="1:93" x14ac:dyDescent="0.2">
      <c r="A4" s="2" t="s">
        <v>44</v>
      </c>
      <c r="B4" s="2" t="s">
        <v>45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2"/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/>
      <c r="O4" s="2" t="s">
        <v>48</v>
      </c>
      <c r="P4" s="2" t="s">
        <v>49</v>
      </c>
      <c r="Q4" s="2" t="s">
        <v>50</v>
      </c>
      <c r="R4" s="2" t="s">
        <v>51</v>
      </c>
      <c r="S4" s="2" t="s">
        <v>52</v>
      </c>
      <c r="T4" s="2"/>
      <c r="U4" s="2" t="s">
        <v>48</v>
      </c>
      <c r="V4" s="2" t="s">
        <v>49</v>
      </c>
      <c r="W4" s="2" t="s">
        <v>50</v>
      </c>
      <c r="X4" s="2" t="s">
        <v>51</v>
      </c>
      <c r="Y4" s="2" t="s">
        <v>52</v>
      </c>
      <c r="Z4" s="2"/>
      <c r="AA4" s="2"/>
      <c r="AB4" s="2"/>
      <c r="AC4" s="2"/>
      <c r="AD4" s="2"/>
      <c r="AE4" s="2"/>
      <c r="AF4" s="2" t="s">
        <v>67</v>
      </c>
      <c r="AG4" t="s">
        <v>68</v>
      </c>
      <c r="AH4" s="2" t="s">
        <v>69</v>
      </c>
      <c r="AI4" s="2" t="s">
        <v>70</v>
      </c>
      <c r="AJ4" s="2" t="s">
        <v>71</v>
      </c>
      <c r="AK4" s="2" t="s">
        <v>71</v>
      </c>
      <c r="AL4" s="2" t="s">
        <v>72</v>
      </c>
      <c r="AM4" s="2" t="s">
        <v>73</v>
      </c>
      <c r="AN4" s="2" t="s">
        <v>74</v>
      </c>
      <c r="AO4" s="2" t="s">
        <v>75</v>
      </c>
      <c r="AP4" s="2" t="s">
        <v>76</v>
      </c>
      <c r="AQ4" s="2" t="s">
        <v>77</v>
      </c>
      <c r="AR4" s="2" t="s">
        <v>78</v>
      </c>
      <c r="AS4" s="2" t="s">
        <v>79</v>
      </c>
      <c r="AT4" s="2" t="s">
        <v>80</v>
      </c>
      <c r="AU4" s="2" t="s">
        <v>81</v>
      </c>
      <c r="AV4" s="5"/>
      <c r="AW4" s="2" t="s">
        <v>82</v>
      </c>
      <c r="AX4" s="2" t="s">
        <v>83</v>
      </c>
      <c r="AY4" s="2" t="s">
        <v>84</v>
      </c>
      <c r="AZ4" s="2" t="s">
        <v>85</v>
      </c>
      <c r="BA4" s="2" t="s">
        <v>86</v>
      </c>
      <c r="BB4" s="2" t="s">
        <v>87</v>
      </c>
      <c r="BC4" s="2" t="s">
        <v>88</v>
      </c>
      <c r="BD4" s="2" t="s">
        <v>89</v>
      </c>
      <c r="BE4" s="2" t="s">
        <v>90</v>
      </c>
      <c r="BF4" s="2" t="s">
        <v>91</v>
      </c>
      <c r="BG4" s="2" t="s">
        <v>92</v>
      </c>
      <c r="BH4" s="2" t="s">
        <v>93</v>
      </c>
      <c r="BJ4" s="2" t="s">
        <v>82</v>
      </c>
      <c r="BK4" s="2" t="s">
        <v>83</v>
      </c>
      <c r="BL4" s="2" t="s">
        <v>84</v>
      </c>
      <c r="BM4" s="2" t="s">
        <v>85</v>
      </c>
      <c r="BN4" s="2" t="s">
        <v>86</v>
      </c>
      <c r="BO4" s="2" t="s">
        <v>87</v>
      </c>
      <c r="BP4" s="2" t="s">
        <v>88</v>
      </c>
      <c r="BQ4" s="2" t="s">
        <v>89</v>
      </c>
      <c r="BR4" s="2" t="s">
        <v>90</v>
      </c>
      <c r="BS4" s="2" t="s">
        <v>91</v>
      </c>
      <c r="BT4" s="2" t="s">
        <v>92</v>
      </c>
      <c r="BV4" s="2" t="s">
        <v>94</v>
      </c>
      <c r="BW4" s="2" t="s">
        <v>16</v>
      </c>
      <c r="BX4" s="2" t="s">
        <v>95</v>
      </c>
      <c r="BY4" s="2" t="s">
        <v>18</v>
      </c>
      <c r="BZ4" s="2" t="s">
        <v>96</v>
      </c>
      <c r="CA4" s="2" t="s">
        <v>19</v>
      </c>
      <c r="CB4" s="2" t="s">
        <v>97</v>
      </c>
      <c r="CC4" s="2" t="s">
        <v>98</v>
      </c>
      <c r="CD4" s="2" t="s">
        <v>99</v>
      </c>
      <c r="CE4" s="2" t="s">
        <v>100</v>
      </c>
      <c r="CF4" s="2" t="s">
        <v>17</v>
      </c>
      <c r="CG4" s="5"/>
      <c r="CI4" s="5"/>
      <c r="CL4" s="5"/>
    </row>
    <row r="6" spans="1:93" x14ac:dyDescent="0.2">
      <c r="A6" t="s">
        <v>156</v>
      </c>
      <c r="B6" t="s">
        <v>269</v>
      </c>
      <c r="C6">
        <v>0.15942028985507245</v>
      </c>
      <c r="E6">
        <v>0.39311594202898548</v>
      </c>
      <c r="F6">
        <v>0.47263071895424852</v>
      </c>
      <c r="G6">
        <v>0.463336783988958</v>
      </c>
      <c r="I6">
        <v>0.42015810276679838</v>
      </c>
      <c r="K6">
        <v>0.32220496894409933</v>
      </c>
      <c r="L6">
        <v>0.45063405797101447</v>
      </c>
      <c r="M6">
        <v>0.49473775017253291</v>
      </c>
      <c r="O6">
        <v>0.45244565217391314</v>
      </c>
      <c r="P6">
        <v>0.41046698872785831</v>
      </c>
      <c r="Q6">
        <v>0.35869565217391303</v>
      </c>
      <c r="R6">
        <v>0.31959345002823258</v>
      </c>
      <c r="S6">
        <v>0.55479641131815061</v>
      </c>
      <c r="U6">
        <v>0.30369220151828846</v>
      </c>
      <c r="V6">
        <v>0.41046698872785831</v>
      </c>
      <c r="W6">
        <v>0.32608695652173914</v>
      </c>
      <c r="X6">
        <v>0.28778467908902688</v>
      </c>
      <c r="Y6">
        <v>0.53397170462387866</v>
      </c>
    </row>
    <row r="7" spans="1:93" x14ac:dyDescent="0.2">
      <c r="A7" t="s">
        <v>156</v>
      </c>
      <c r="B7" t="s">
        <v>110</v>
      </c>
      <c r="C7">
        <v>0.44152046783625742</v>
      </c>
      <c r="E7">
        <v>0.44736842105263158</v>
      </c>
      <c r="F7">
        <v>0.63377192982456154</v>
      </c>
      <c r="G7">
        <v>0.76378446115288212</v>
      </c>
      <c r="I7">
        <v>0.62942583732057411</v>
      </c>
      <c r="K7">
        <v>0.406015037593985</v>
      </c>
      <c r="L7">
        <v>0.54174498746867161</v>
      </c>
      <c r="M7">
        <v>0.75856307435254811</v>
      </c>
      <c r="O7">
        <v>0.69133771929824561</v>
      </c>
      <c r="P7">
        <v>0.44931773879142306</v>
      </c>
      <c r="Q7">
        <v>0.40789473684210525</v>
      </c>
      <c r="R7">
        <v>0.54877836301984906</v>
      </c>
      <c r="S7">
        <v>0.80843776106933996</v>
      </c>
      <c r="U7">
        <v>0.6667919799498746</v>
      </c>
      <c r="V7">
        <v>0.4502923976608188</v>
      </c>
      <c r="W7">
        <v>0.36842105263157893</v>
      </c>
      <c r="X7">
        <v>0.3672984544695071</v>
      </c>
      <c r="Y7">
        <v>0.79525898078529655</v>
      </c>
    </row>
    <row r="8" spans="1:93" x14ac:dyDescent="0.2">
      <c r="C8">
        <v>0.42982456140350894</v>
      </c>
      <c r="E8">
        <v>0.35307017543859648</v>
      </c>
      <c r="F8">
        <v>0.58980478156174743</v>
      </c>
      <c r="G8">
        <v>0.56798245614035081</v>
      </c>
    </row>
    <row r="9" spans="1:93" x14ac:dyDescent="0.2">
      <c r="A9" s="13" t="s">
        <v>373</v>
      </c>
    </row>
    <row r="14" spans="1:93" x14ac:dyDescent="0.2">
      <c r="C14" t="s">
        <v>48</v>
      </c>
      <c r="E14" t="s">
        <v>50</v>
      </c>
      <c r="F14" t="s">
        <v>51</v>
      </c>
      <c r="G14" t="s">
        <v>52</v>
      </c>
    </row>
    <row r="15" spans="1:93" x14ac:dyDescent="0.2">
      <c r="A15" t="s">
        <v>16</v>
      </c>
      <c r="B15" t="s">
        <v>269</v>
      </c>
      <c r="C15">
        <v>0.15942028985507245</v>
      </c>
      <c r="E15">
        <v>0.39311594202898548</v>
      </c>
      <c r="F15">
        <v>0.47263071895424852</v>
      </c>
      <c r="G15">
        <v>0.463336783988958</v>
      </c>
    </row>
    <row r="16" spans="1:93" x14ac:dyDescent="0.2">
      <c r="B16" t="s">
        <v>110</v>
      </c>
      <c r="C16">
        <v>0.44152046783625742</v>
      </c>
      <c r="E16">
        <v>0.44736842105263158</v>
      </c>
      <c r="F16">
        <v>0.63377192982456154</v>
      </c>
      <c r="G16">
        <v>0.76378446115288212</v>
      </c>
    </row>
    <row r="17" spans="1:7" x14ac:dyDescent="0.2">
      <c r="C17">
        <v>0.42982456140350894</v>
      </c>
      <c r="E17">
        <v>0.35307017543859648</v>
      </c>
      <c r="F17">
        <v>0.58980478156174743</v>
      </c>
      <c r="G17">
        <v>0.56798245614035081</v>
      </c>
    </row>
    <row r="18" spans="1:7" x14ac:dyDescent="0.2">
      <c r="B18" s="13" t="s">
        <v>374</v>
      </c>
      <c r="C18">
        <f>((C16/C15)-1)*100</f>
        <v>176.9537480063797</v>
      </c>
      <c r="E18">
        <f>((E16/E15)-1)*100</f>
        <v>13.800630608780029</v>
      </c>
      <c r="F18">
        <f>((F16/F15)-1)*100</f>
        <v>34.094527589500956</v>
      </c>
      <c r="G18">
        <f>((G16/G15)-1)*100</f>
        <v>64.844339483973329</v>
      </c>
    </row>
    <row r="20" spans="1:7" x14ac:dyDescent="0.2">
      <c r="C20" t="s">
        <v>48</v>
      </c>
      <c r="E20" t="s">
        <v>50</v>
      </c>
      <c r="F20" t="s">
        <v>51</v>
      </c>
      <c r="G20" t="s">
        <v>52</v>
      </c>
    </row>
    <row r="21" spans="1:7" x14ac:dyDescent="0.2">
      <c r="A21" t="s">
        <v>17</v>
      </c>
      <c r="B21" t="s">
        <v>269</v>
      </c>
      <c r="C21">
        <v>0.42015810276679838</v>
      </c>
      <c r="E21">
        <v>0.32220496894409933</v>
      </c>
      <c r="F21">
        <v>0.45063405797101447</v>
      </c>
      <c r="G21">
        <v>0.49473775017253291</v>
      </c>
    </row>
    <row r="22" spans="1:7" x14ac:dyDescent="0.2">
      <c r="B22" t="s">
        <v>110</v>
      </c>
      <c r="C22">
        <v>0.62942583732057411</v>
      </c>
      <c r="E22">
        <v>0.406015037593985</v>
      </c>
      <c r="F22">
        <v>0.54174498746867161</v>
      </c>
      <c r="G22">
        <v>0.75856307435254811</v>
      </c>
    </row>
    <row r="23" spans="1:7" x14ac:dyDescent="0.2">
      <c r="C23">
        <v>0.43971291866028711</v>
      </c>
      <c r="E23">
        <v>0.28759398496240601</v>
      </c>
      <c r="F23">
        <v>0.44783834586466176</v>
      </c>
      <c r="G23">
        <v>0.45655806182121966</v>
      </c>
    </row>
    <row r="24" spans="1:7" x14ac:dyDescent="0.2">
      <c r="B24" s="13" t="s">
        <v>374</v>
      </c>
      <c r="C24">
        <f>((C22/C21)-1)*100</f>
        <v>49.806902015150769</v>
      </c>
      <c r="E24">
        <f>((E22/E21)-1)*100</f>
        <v>26.011414077362115</v>
      </c>
      <c r="F24">
        <f>((F22/F21)-1)*100</f>
        <v>20.218385158877084</v>
      </c>
      <c r="G24">
        <f>((G22/G21)-1)*100</f>
        <v>53.32629743495616</v>
      </c>
    </row>
    <row r="26" spans="1:7" x14ac:dyDescent="0.2">
      <c r="C26" t="s">
        <v>48</v>
      </c>
      <c r="D26" t="s">
        <v>49</v>
      </c>
      <c r="E26" t="s">
        <v>50</v>
      </c>
      <c r="F26" t="s">
        <v>51</v>
      </c>
      <c r="G26" t="s">
        <v>52</v>
      </c>
    </row>
    <row r="27" spans="1:7" x14ac:dyDescent="0.2">
      <c r="A27" t="s">
        <v>18</v>
      </c>
      <c r="B27" t="s">
        <v>269</v>
      </c>
      <c r="C27">
        <v>0.45244565217391314</v>
      </c>
      <c r="D27">
        <v>0.41046698872785831</v>
      </c>
      <c r="E27">
        <v>0.35869565217391303</v>
      </c>
      <c r="F27">
        <v>0.31959345002823258</v>
      </c>
      <c r="G27">
        <v>0.55479641131815061</v>
      </c>
    </row>
    <row r="28" spans="1:7" x14ac:dyDescent="0.2">
      <c r="B28" t="s">
        <v>110</v>
      </c>
      <c r="C28">
        <v>0.69133771929824561</v>
      </c>
      <c r="D28">
        <v>0.4502923976608188</v>
      </c>
      <c r="E28">
        <v>0.40789473684210525</v>
      </c>
      <c r="F28">
        <v>0.54877836301984906</v>
      </c>
      <c r="G28">
        <v>0.80843776106933996</v>
      </c>
    </row>
    <row r="29" spans="1:7" x14ac:dyDescent="0.2">
      <c r="C29">
        <v>0.65942982456140342</v>
      </c>
      <c r="D29">
        <v>0.42592592592592587</v>
      </c>
      <c r="E29">
        <v>0.26315789473684209</v>
      </c>
      <c r="F29">
        <v>0.56607762722313804</v>
      </c>
      <c r="G29">
        <v>0.65</v>
      </c>
    </row>
    <row r="30" spans="1:7" x14ac:dyDescent="0.2">
      <c r="B30" s="13" t="s">
        <v>374</v>
      </c>
      <c r="C30">
        <f>((C28/C27)-1)*100</f>
        <v>52.800168589642247</v>
      </c>
      <c r="D30">
        <f t="shared" ref="D30:G30" si="0">((D28/D27)-1)*100</f>
        <v>9.7024632983006889</v>
      </c>
      <c r="E30">
        <f t="shared" si="0"/>
        <v>13.716108452950571</v>
      </c>
      <c r="F30">
        <f t="shared" si="0"/>
        <v>71.711392386599442</v>
      </c>
      <c r="G30">
        <f t="shared" si="0"/>
        <v>45.717914639815049</v>
      </c>
    </row>
    <row r="32" spans="1:7" x14ac:dyDescent="0.2">
      <c r="C32" t="s">
        <v>48</v>
      </c>
      <c r="D32" t="s">
        <v>49</v>
      </c>
      <c r="E32" t="s">
        <v>50</v>
      </c>
      <c r="F32" t="s">
        <v>51</v>
      </c>
      <c r="G32" t="s">
        <v>52</v>
      </c>
    </row>
    <row r="33" spans="1:7" x14ac:dyDescent="0.2">
      <c r="A33" t="s">
        <v>19</v>
      </c>
      <c r="B33" t="s">
        <v>269</v>
      </c>
      <c r="C33">
        <v>0.30369220151828846</v>
      </c>
      <c r="D33">
        <v>0.41046698872785831</v>
      </c>
      <c r="E33">
        <v>0.32608695652173914</v>
      </c>
      <c r="F33">
        <v>0.28778467908902688</v>
      </c>
      <c r="G33">
        <v>0.53397170462387866</v>
      </c>
    </row>
    <row r="34" spans="1:7" x14ac:dyDescent="0.2">
      <c r="B34" t="s">
        <v>110</v>
      </c>
      <c r="C34">
        <v>0.6667919799498746</v>
      </c>
      <c r="D34">
        <v>0.4502923976608188</v>
      </c>
      <c r="E34">
        <v>0.36842105263157893</v>
      </c>
      <c r="F34">
        <v>0.3672984544695071</v>
      </c>
      <c r="G34">
        <v>0.79525898078529655</v>
      </c>
    </row>
    <row r="35" spans="1:7" x14ac:dyDescent="0.2">
      <c r="C35">
        <v>0.65730994152046784</v>
      </c>
      <c r="D35">
        <v>0.42592592592592587</v>
      </c>
      <c r="E35">
        <v>0.36842105263157893</v>
      </c>
      <c r="F35">
        <v>0.35166040100250623</v>
      </c>
      <c r="G35">
        <v>0.61714703425229744</v>
      </c>
    </row>
    <row r="36" spans="1:7" x14ac:dyDescent="0.2">
      <c r="B36" s="13" t="s">
        <v>374</v>
      </c>
      <c r="C36">
        <f>((C34/C33)-1)*100</f>
        <v>119.56177228664204</v>
      </c>
      <c r="D36">
        <f t="shared" ref="D36:G36" si="1">((D34/D33)-1)*100</f>
        <v>9.7024632983006889</v>
      </c>
      <c r="E36">
        <f t="shared" si="1"/>
        <v>12.982456140350873</v>
      </c>
      <c r="F36">
        <f t="shared" si="1"/>
        <v>27.629606840843124</v>
      </c>
      <c r="G36">
        <f t="shared" si="1"/>
        <v>48.932794359481015</v>
      </c>
    </row>
    <row r="39" spans="1:7" x14ac:dyDescent="0.2">
      <c r="C39" t="s">
        <v>48</v>
      </c>
      <c r="D39" t="s">
        <v>375</v>
      </c>
      <c r="E39" t="s">
        <v>50</v>
      </c>
      <c r="F39" t="s">
        <v>51</v>
      </c>
      <c r="G39" t="s">
        <v>52</v>
      </c>
    </row>
    <row r="40" spans="1:7" x14ac:dyDescent="0.2">
      <c r="A40" t="s">
        <v>376</v>
      </c>
      <c r="B40" t="s">
        <v>269</v>
      </c>
      <c r="C40">
        <f>AVERAGE(C15,C21,C27,C33)</f>
        <v>0.33392906157851809</v>
      </c>
      <c r="D40">
        <f>AVERAGE(D27,D33)</f>
        <v>0.41046698872785831</v>
      </c>
      <c r="E40">
        <f>AVERAGE(E15,E21,E27,E33)</f>
        <v>0.35002587991718426</v>
      </c>
      <c r="F40">
        <f>AVERAGE(F15,F21,F27,F33)</f>
        <v>0.3826607265106306</v>
      </c>
      <c r="G40">
        <f>AVERAGE(G15,G21,G27,G33)</f>
        <v>0.51171066252588004</v>
      </c>
    </row>
    <row r="41" spans="1:7" x14ac:dyDescent="0.2">
      <c r="B41" t="s">
        <v>110</v>
      </c>
      <c r="C41">
        <f>AVERAGE(C16,C22,C28,C34)</f>
        <v>0.60726900110123794</v>
      </c>
      <c r="D41">
        <f>AVERAGE(D28,D34)</f>
        <v>0.4502923976608188</v>
      </c>
      <c r="E41">
        <f t="shared" ref="E41:G41" si="2">AVERAGE(E16,E22,E28,E34)</f>
        <v>0.40742481203007519</v>
      </c>
      <c r="F41">
        <f t="shared" si="2"/>
        <v>0.52289843369564737</v>
      </c>
      <c r="G41">
        <f t="shared" si="2"/>
        <v>0.78151106934001668</v>
      </c>
    </row>
    <row r="42" spans="1:7" x14ac:dyDescent="0.2">
      <c r="B42" t="s">
        <v>377</v>
      </c>
      <c r="C42">
        <f>AVERAGE(C17,C23,C29,C35)</f>
        <v>0.54656931153641686</v>
      </c>
      <c r="D42">
        <f>AVERAGE(D29,D41)</f>
        <v>0.43810916179337234</v>
      </c>
      <c r="E42">
        <f>AVERAGE(E17,E23,E29,E35)</f>
        <v>0.31806077694235591</v>
      </c>
      <c r="F42">
        <f>AVERAGE(F17,F23,F29,F35)</f>
        <v>0.48884528891301332</v>
      </c>
      <c r="G42">
        <f>AVERAGE(G17,G23,G29,G35)</f>
        <v>0.572921888053467</v>
      </c>
    </row>
    <row r="46" spans="1:7" x14ac:dyDescent="0.2">
      <c r="C46" t="s">
        <v>48</v>
      </c>
      <c r="D46" t="s">
        <v>375</v>
      </c>
      <c r="E46" t="s">
        <v>50</v>
      </c>
      <c r="F46" t="s">
        <v>51</v>
      </c>
      <c r="G46" t="s">
        <v>52</v>
      </c>
    </row>
    <row r="47" spans="1:7" x14ac:dyDescent="0.2">
      <c r="B47" t="s">
        <v>374</v>
      </c>
      <c r="C47" s="10">
        <f>((C41/C40)-1)*100</f>
        <v>81.855690616028738</v>
      </c>
      <c r="D47" s="10">
        <f t="shared" ref="D47:G48" si="3">((D41/D40)-1)*100</f>
        <v>9.7024632983006889</v>
      </c>
      <c r="E47" s="10">
        <f t="shared" si="3"/>
        <v>16.398482342640342</v>
      </c>
      <c r="F47" s="10">
        <f t="shared" si="3"/>
        <v>36.648053345793464</v>
      </c>
      <c r="G47" s="10">
        <f t="shared" si="3"/>
        <v>52.725187605503798</v>
      </c>
    </row>
    <row r="48" spans="1:7" x14ac:dyDescent="0.2">
      <c r="A48" t="s">
        <v>378</v>
      </c>
      <c r="B48" t="s">
        <v>379</v>
      </c>
      <c r="C48" s="10">
        <f>((C42/C40)-1)*100</f>
        <v>63.678270154962171</v>
      </c>
      <c r="D48" s="10">
        <f t="shared" si="3"/>
        <v>-2.7056277056277223</v>
      </c>
      <c r="E48" s="10">
        <f t="shared" si="3"/>
        <v>-21.933871587850827</v>
      </c>
      <c r="F48" s="10">
        <f>((F42/F41)-1)*100</f>
        <v>-6.5123822502124113</v>
      </c>
      <c r="G48" s="10">
        <f t="shared" si="3"/>
        <v>-26.690496074828797</v>
      </c>
    </row>
    <row r="49" spans="1:7" x14ac:dyDescent="0.2">
      <c r="A49" t="s">
        <v>380</v>
      </c>
      <c r="B49" t="s">
        <v>374</v>
      </c>
      <c r="C49" s="26">
        <f>((C41/C42)-1)*100</f>
        <v>11.105579527360042</v>
      </c>
      <c r="D49" s="26">
        <f t="shared" ref="D49:G49" si="4">((D41/D42)-1)*100</f>
        <v>2.7808676307008007</v>
      </c>
      <c r="E49" s="26">
        <f t="shared" si="4"/>
        <v>28.09652794878108</v>
      </c>
      <c r="F49" s="26">
        <f t="shared" si="4"/>
        <v>6.9660372217872801</v>
      </c>
      <c r="G49" s="26">
        <f t="shared" si="4"/>
        <v>36.407961649927991</v>
      </c>
    </row>
    <row r="50" spans="1:7" x14ac:dyDescent="0.2">
      <c r="A50" s="11"/>
      <c r="B50" s="11"/>
      <c r="C50" s="12"/>
      <c r="D50" s="12"/>
      <c r="E50" s="12"/>
      <c r="F50" s="12"/>
      <c r="G50" s="12"/>
    </row>
    <row r="51" spans="1:7" x14ac:dyDescent="0.2">
      <c r="B51" t="s">
        <v>381</v>
      </c>
      <c r="C51">
        <f>AVERAGE(C36,C30,C24,C18)</f>
        <v>99.780647724453686</v>
      </c>
      <c r="D51">
        <f>AVERAGE(D36,D30)</f>
        <v>9.7024632983006889</v>
      </c>
      <c r="E51">
        <f t="shared" ref="E51:G51" si="5">AVERAGE(E36,E30,E24,E18)</f>
        <v>16.627652319860896</v>
      </c>
      <c r="F51">
        <f t="shared" si="5"/>
        <v>38.413477993955155</v>
      </c>
      <c r="G51">
        <f t="shared" si="5"/>
        <v>53.205336479556387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8E7E-8DA9-4115-A3B7-601E60849862}">
  <dimension ref="A3:R47"/>
  <sheetViews>
    <sheetView workbookViewId="0">
      <selection activeCell="H36" sqref="H36"/>
    </sheetView>
  </sheetViews>
  <sheetFormatPr baseColWidth="10" defaultColWidth="8.83203125" defaultRowHeight="15" x14ac:dyDescent="0.2"/>
  <sheetData>
    <row r="3" spans="1:18" x14ac:dyDescent="0.2">
      <c r="B3" s="1" t="s">
        <v>2</v>
      </c>
    </row>
    <row r="5" spans="1:18" x14ac:dyDescent="0.2">
      <c r="B5" s="9" t="s">
        <v>16</v>
      </c>
      <c r="C5" s="9" t="s">
        <v>17</v>
      </c>
      <c r="D5" s="2"/>
      <c r="E5" s="2"/>
      <c r="F5" s="9" t="s">
        <v>18</v>
      </c>
      <c r="G5" s="2"/>
      <c r="H5" s="2"/>
      <c r="I5" s="2"/>
      <c r="J5" s="9" t="s">
        <v>19</v>
      </c>
      <c r="K5" s="2"/>
      <c r="L5" s="2"/>
      <c r="M5" s="2"/>
      <c r="N5" s="2"/>
      <c r="O5" s="2"/>
      <c r="P5" s="9" t="s">
        <v>146</v>
      </c>
      <c r="Q5" s="9" t="s">
        <v>147</v>
      </c>
      <c r="R5" s="9" t="s">
        <v>148</v>
      </c>
    </row>
    <row r="6" spans="1:18" x14ac:dyDescent="0.2"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61</v>
      </c>
      <c r="K6" s="2" t="s">
        <v>62</v>
      </c>
      <c r="L6" s="2" t="s">
        <v>63</v>
      </c>
      <c r="M6" s="2" t="s">
        <v>64</v>
      </c>
      <c r="N6" s="2" t="s">
        <v>65</v>
      </c>
      <c r="O6" s="2" t="s">
        <v>66</v>
      </c>
      <c r="P6" s="2"/>
      <c r="Q6" s="2"/>
      <c r="R6" s="2"/>
    </row>
    <row r="7" spans="1:18" x14ac:dyDescent="0.2">
      <c r="A7" t="s">
        <v>269</v>
      </c>
      <c r="B7">
        <v>0.10869565217391304</v>
      </c>
      <c r="C7">
        <v>0.17391304347826086</v>
      </c>
      <c r="D7">
        <v>0.13043478260869565</v>
      </c>
      <c r="E7">
        <v>4.3478260869565216E-2</v>
      </c>
      <c r="F7">
        <v>0.2391304347826087</v>
      </c>
      <c r="G7">
        <v>0.2608695652173913</v>
      </c>
      <c r="H7">
        <v>0.2608695652173913</v>
      </c>
      <c r="I7">
        <v>8.6956521739130432E-2</v>
      </c>
      <c r="J7">
        <v>0.2391304347826087</v>
      </c>
      <c r="K7">
        <v>0.10869565217391304</v>
      </c>
      <c r="L7">
        <v>0</v>
      </c>
      <c r="M7">
        <v>6.5217391304347824E-2</v>
      </c>
      <c r="N7">
        <v>6.5217391304347824E-2</v>
      </c>
      <c r="O7">
        <v>0.13043478260869565</v>
      </c>
      <c r="P7">
        <v>0.45652173913043476</v>
      </c>
      <c r="Q7">
        <v>1.4565217391304348</v>
      </c>
      <c r="R7">
        <v>1.9130434782608696</v>
      </c>
    </row>
    <row r="8" spans="1:18" x14ac:dyDescent="0.2">
      <c r="A8" t="s">
        <v>110</v>
      </c>
      <c r="B8">
        <v>0.10526315789473684</v>
      </c>
      <c r="C8">
        <v>7.8947368421052627E-2</v>
      </c>
      <c r="D8">
        <v>0.23684210526315788</v>
      </c>
      <c r="E8">
        <v>0</v>
      </c>
      <c r="F8">
        <v>0.5</v>
      </c>
      <c r="G8">
        <v>0.52631578947368418</v>
      </c>
      <c r="H8">
        <v>0.34210526315789475</v>
      </c>
      <c r="I8">
        <v>0.39473684210526316</v>
      </c>
      <c r="J8">
        <v>0.57894736842105265</v>
      </c>
      <c r="K8">
        <v>0.42105263157894735</v>
      </c>
      <c r="L8">
        <v>0.21052631578947367</v>
      </c>
      <c r="M8">
        <v>0.21052631578947367</v>
      </c>
      <c r="N8">
        <v>0.15789473684210525</v>
      </c>
      <c r="O8">
        <v>0.10526315789473684</v>
      </c>
      <c r="P8">
        <v>0.42105263157894735</v>
      </c>
      <c r="Q8">
        <v>3.4473684210526314</v>
      </c>
      <c r="R8">
        <v>3.8684210526315788</v>
      </c>
    </row>
    <row r="13" spans="1:18" x14ac:dyDescent="0.2">
      <c r="D13" t="s">
        <v>53</v>
      </c>
    </row>
    <row r="14" spans="1:18" x14ac:dyDescent="0.2">
      <c r="B14" t="s">
        <v>16</v>
      </c>
      <c r="C14" t="s">
        <v>269</v>
      </c>
      <c r="D14">
        <v>0.10869565217391304</v>
      </c>
    </row>
    <row r="15" spans="1:18" x14ac:dyDescent="0.2">
      <c r="C15" t="s">
        <v>110</v>
      </c>
      <c r="D15">
        <v>0.10526315789473684</v>
      </c>
    </row>
    <row r="18" spans="2:9" x14ac:dyDescent="0.2">
      <c r="D18" t="s">
        <v>54</v>
      </c>
      <c r="E18" t="s">
        <v>55</v>
      </c>
      <c r="F18" t="s">
        <v>56</v>
      </c>
    </row>
    <row r="19" spans="2:9" x14ac:dyDescent="0.2">
      <c r="B19" t="s">
        <v>17</v>
      </c>
      <c r="C19" t="s">
        <v>269</v>
      </c>
      <c r="D19">
        <v>0.17391304347826086</v>
      </c>
      <c r="E19">
        <v>0.13043478260869565</v>
      </c>
      <c r="F19">
        <v>4.3478260869565216E-2</v>
      </c>
    </row>
    <row r="20" spans="2:9" x14ac:dyDescent="0.2">
      <c r="C20" t="s">
        <v>110</v>
      </c>
      <c r="D20">
        <v>7.8947368421052627E-2</v>
      </c>
      <c r="E20">
        <v>0.23684210526315788</v>
      </c>
      <c r="F20">
        <v>0</v>
      </c>
    </row>
    <row r="23" spans="2:9" x14ac:dyDescent="0.2">
      <c r="D23" s="2" t="s">
        <v>57</v>
      </c>
      <c r="E23" s="2" t="s">
        <v>58</v>
      </c>
      <c r="F23" s="2" t="s">
        <v>59</v>
      </c>
      <c r="G23" s="2" t="s">
        <v>60</v>
      </c>
    </row>
    <row r="24" spans="2:9" x14ac:dyDescent="0.2">
      <c r="B24" t="s">
        <v>18</v>
      </c>
      <c r="C24" t="s">
        <v>269</v>
      </c>
      <c r="D24">
        <v>0.2391304347826087</v>
      </c>
      <c r="E24">
        <v>0.2608695652173913</v>
      </c>
      <c r="F24">
        <v>0.2608695652173913</v>
      </c>
      <c r="G24">
        <v>8.6956521739130432E-2</v>
      </c>
    </row>
    <row r="25" spans="2:9" x14ac:dyDescent="0.2">
      <c r="C25" t="s">
        <v>110</v>
      </c>
      <c r="D25">
        <v>0.5</v>
      </c>
      <c r="E25">
        <v>0.52631578947368418</v>
      </c>
      <c r="F25">
        <v>0.34210526315789475</v>
      </c>
      <c r="G25">
        <v>0.39473684210526316</v>
      </c>
    </row>
    <row r="28" spans="2:9" x14ac:dyDescent="0.2">
      <c r="D28" s="2" t="s">
        <v>61</v>
      </c>
      <c r="E28" s="2" t="s">
        <v>62</v>
      </c>
      <c r="F28" s="2" t="s">
        <v>63</v>
      </c>
      <c r="G28" s="2" t="s">
        <v>64</v>
      </c>
      <c r="H28" s="2" t="s">
        <v>65</v>
      </c>
      <c r="I28" s="2" t="s">
        <v>66</v>
      </c>
    </row>
    <row r="29" spans="2:9" x14ac:dyDescent="0.2">
      <c r="B29" t="s">
        <v>19</v>
      </c>
      <c r="C29" t="s">
        <v>269</v>
      </c>
      <c r="D29">
        <v>0.2391304347826087</v>
      </c>
      <c r="E29">
        <v>0.10869565217391304</v>
      </c>
      <c r="F29">
        <v>0</v>
      </c>
      <c r="G29">
        <v>6.5217391304347824E-2</v>
      </c>
      <c r="H29">
        <v>6.5217391304347824E-2</v>
      </c>
      <c r="I29">
        <v>0.13043478260869565</v>
      </c>
    </row>
    <row r="30" spans="2:9" x14ac:dyDescent="0.2">
      <c r="C30" t="s">
        <v>110</v>
      </c>
      <c r="D30">
        <v>0.57894736842105265</v>
      </c>
      <c r="E30">
        <v>0.42105263157894735</v>
      </c>
      <c r="F30">
        <v>0.21052631578947367</v>
      </c>
      <c r="G30">
        <v>0.21052631578947367</v>
      </c>
      <c r="H30">
        <v>0.15789473684210525</v>
      </c>
      <c r="I30">
        <v>0.10526315789473684</v>
      </c>
    </row>
    <row r="36" spans="2:7" x14ac:dyDescent="0.2">
      <c r="B36" t="s">
        <v>382</v>
      </c>
      <c r="C36" t="s">
        <v>269</v>
      </c>
      <c r="D36">
        <v>0.45652173913043476</v>
      </c>
      <c r="F36" t="s">
        <v>374</v>
      </c>
      <c r="G36">
        <f>((D37/D36)-1)*100</f>
        <v>-7.7694235588972482</v>
      </c>
    </row>
    <row r="37" spans="2:7" x14ac:dyDescent="0.2">
      <c r="C37" t="s">
        <v>110</v>
      </c>
      <c r="D37">
        <v>0.42105263157894735</v>
      </c>
    </row>
    <row r="41" spans="2:7" x14ac:dyDescent="0.2">
      <c r="B41" t="s">
        <v>383</v>
      </c>
      <c r="C41" t="s">
        <v>269</v>
      </c>
      <c r="D41">
        <v>1.4565217391304348</v>
      </c>
      <c r="F41" t="s">
        <v>374</v>
      </c>
      <c r="G41">
        <f>((D42/D41)-1)*100</f>
        <v>136.6849960722702</v>
      </c>
    </row>
    <row r="42" spans="2:7" x14ac:dyDescent="0.2">
      <c r="C42" t="s">
        <v>110</v>
      </c>
      <c r="D42">
        <v>3.4473684210526314</v>
      </c>
    </row>
    <row r="46" spans="2:7" x14ac:dyDescent="0.2">
      <c r="B46" t="s">
        <v>384</v>
      </c>
      <c r="C46" t="s">
        <v>269</v>
      </c>
      <c r="D46">
        <v>1.9130434782608696</v>
      </c>
      <c r="F46" t="s">
        <v>374</v>
      </c>
      <c r="G46">
        <f>((D47/D46)-1)*100</f>
        <v>102.21291866028706</v>
      </c>
    </row>
    <row r="47" spans="2:7" x14ac:dyDescent="0.2">
      <c r="C47" t="s">
        <v>110</v>
      </c>
      <c r="D47">
        <v>3.8684210526315788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4D8656BC5BFB4E881383E5B9340AF3" ma:contentTypeVersion="16" ma:contentTypeDescription="Create a new document." ma:contentTypeScope="" ma:versionID="d6e2ccf85cf347ea57a057bf599dff04">
  <xsd:schema xmlns:xsd="http://www.w3.org/2001/XMLSchema" xmlns:xs="http://www.w3.org/2001/XMLSchema" xmlns:p="http://schemas.microsoft.com/office/2006/metadata/properties" xmlns:ns3="03492c2e-e56c-4043-a265-8599459b6c0a" xmlns:ns4="dba7d471-02ce-42d7-8132-af256fc0fdcc" targetNamespace="http://schemas.microsoft.com/office/2006/metadata/properties" ma:root="true" ma:fieldsID="c9f805680f49971235b35ea115503adb" ns3:_="" ns4:_="">
    <xsd:import namespace="03492c2e-e56c-4043-a265-8599459b6c0a"/>
    <xsd:import namespace="dba7d471-02ce-42d7-8132-af256fc0fdc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492c2e-e56c-4043-a265-8599459b6c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a7d471-02ce-42d7-8132-af256fc0fdc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492c2e-e56c-4043-a265-8599459b6c0a" xsi:nil="true"/>
  </documentManagement>
</p:properties>
</file>

<file path=customXml/itemProps1.xml><?xml version="1.0" encoding="utf-8"?>
<ds:datastoreItem xmlns:ds="http://schemas.openxmlformats.org/officeDocument/2006/customXml" ds:itemID="{89095DD2-C50D-4660-A99B-14561EEF33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A4189D-6C23-4A55-8C9F-823289E319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492c2e-e56c-4043-a265-8599459b6c0a"/>
    <ds:schemaRef ds:uri="dba7d471-02ce-42d7-8132-af256fc0fd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EF64D3-F205-43B9-9BB1-1D15FE22652A}">
  <ds:schemaRefs>
    <ds:schemaRef ds:uri="03492c2e-e56c-4043-a265-8599459b6c0a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dba7d471-02ce-42d7-8132-af256fc0fdc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All</vt:lpstr>
      <vt:lpstr>Didactic plus mSTAT</vt:lpstr>
      <vt:lpstr>Didactic only</vt:lpstr>
      <vt:lpstr>All Groups</vt:lpstr>
      <vt:lpstr>USE THIS</vt:lpstr>
      <vt:lpstr>Sheet6</vt:lpstr>
      <vt:lpstr>Sheet4</vt:lpstr>
      <vt:lpstr>Sheet2</vt:lpstr>
      <vt:lpstr>Sheet5</vt:lpstr>
      <vt:lpstr>IPS and Adj_IPS Correlations</vt:lpstr>
      <vt:lpstr>mstat only </vt:lpstr>
      <vt:lpstr>IPS summary</vt:lpstr>
      <vt:lpstr>Success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Fuller, Kristina</dc:creator>
  <cp:keywords/>
  <dc:description/>
  <cp:lastModifiedBy>Collett, Zachariah Ellis</cp:lastModifiedBy>
  <cp:revision/>
  <dcterms:created xsi:type="dcterms:W3CDTF">2024-01-26T17:07:30Z</dcterms:created>
  <dcterms:modified xsi:type="dcterms:W3CDTF">2026-04-08T16:10:22Z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0x0101003B4D8656BC5BFB4E881383E5B9340AF3</vt:lpwstr>
  </property>
</Properties>
</file>